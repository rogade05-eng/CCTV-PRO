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Resumen" sheetId="2" state="visible" r:id="rId4"/>
    <sheet name="Base de Datos" sheetId="3" state="visible" r:id="rId5"/>
    <sheet name="Equipamiento" sheetId="4" state="visible" r:id="rId6"/>
    <sheet name="Comparativa" sheetId="5" state="visible" r:id="rId7"/>
    <sheet name="Lista de Precios" sheetId="6" state="visible" r:id="rId8"/>
  </sheets>
  <definedNames>
    <definedName function="false" hidden="false" localSheetId="2" name="_xlnm.Print_Titles" vbProcedure="false">'Base de Datos'!$4:$4</definedName>
    <definedName function="false" hidden="true" localSheetId="2" name="_xlnm._FilterDatabase" vbProcedure="false">'Base de Datos'!$B$4:$AE$972</definedName>
    <definedName function="false" hidden="false" localSheetId="3" name="_xlnm.Print_Titles" vbProcedure="false">Equipamiento!$4:$4</definedName>
    <definedName function="false" hidden="true" localSheetId="3" name="_xlnm._FilterDatabase" vbProcedure="false">Equipamiento!$B$4:$R$66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<sst xmlns="http://schemas.openxmlformats.org/spreadsheetml/2006/main" count="27975" uniqueCount="2368">
  <si>
    <t xml:space="preserve">BASE DE DATOS TÉCNICA — SISTEMA CCTV INTEGRAL</t>
  </si>
  <si>
    <t xml:space="preserve">Plantilla editable · 20 marcas · 14 tipos de cámara · 5 variantes por tipo · 10 categorías de equipamiento · Precios en USD</t>
  </si>
  <si>
    <t xml:space="preserve">Marcas</t>
  </si>
  <si>
    <t xml:space="preserve">Tipos de cámara</t>
  </si>
  <si>
    <t xml:space="preserve">Modelos de cámara</t>
  </si>
  <si>
    <t xml:space="preserve">Cámaras activas</t>
  </si>
  <si>
    <t xml:space="preserve">Categorías de equipo</t>
  </si>
  <si>
    <t xml:space="preserve">Equipos registrados</t>
  </si>
  <si>
    <t xml:space="preserve">Hoja</t>
  </si>
  <si>
    <t xml:space="preserve">Contenido</t>
  </si>
  <si>
    <t xml:space="preserve">Cobertura marca × tipo, estadísticas de cámaras y equipamiento</t>
  </si>
  <si>
    <t xml:space="preserve">Hoja maestra: 968 registros (5 variantes por tipo y marca) filtrables</t>
  </si>
  <si>
    <t xml:space="preserve">NVR/DVR, HDD, switch PoE, UPS, monitores, rack, cableado, accesorios, fuentes y VMS</t>
  </si>
  <si>
    <t xml:space="preserve">Ficha comparativa por tipo (modelo premium / medio / económico)</t>
  </si>
  <si>
    <t xml:space="preserve">Cotización integral: sección A cámaras + sección B equipamiento</t>
  </si>
  <si>
    <t xml:space="preserve">Niveles de marca incluidos</t>
  </si>
  <si>
    <t xml:space="preserve">Nivel</t>
  </si>
  <si>
    <t xml:space="preserve">Enfoque</t>
  </si>
  <si>
    <t xml:space="preserve">Premium</t>
  </si>
  <si>
    <t xml:space="preserve">Axis, Bosch, Hanwha Vision, Avigilon, Pelco, Honeywell, MOBOTIX</t>
  </si>
  <si>
    <t xml:space="preserve">Máxima calidad óptica, analíticas y soporte; precio alto</t>
  </si>
  <si>
    <t xml:space="preserve">Premium (Cloud) / Medio-Alto</t>
  </si>
  <si>
    <t xml:space="preserve">Verkada · Vivotek, IDIS</t>
  </si>
  <si>
    <t xml:space="preserve">Gestión en la nube o gama profesional intermedia</t>
  </si>
  <si>
    <t xml:space="preserve">Medio</t>
  </si>
  <si>
    <t xml:space="preserve">Hikvision, Dahua, Uniview, Ubiquiti (UniFi Protect)</t>
  </si>
  <si>
    <t xml:space="preserve">La mejor relación precio/rendimiento del mercado</t>
  </si>
  <si>
    <t xml:space="preserve">Económico</t>
  </si>
  <si>
    <t xml:space="preserve">HiLook, Imou, EZVIZ, Reolink, TP-Link VIGI, Tenda</t>
  </si>
  <si>
    <t xml:space="preserve">Proyectos de bajo presupuesto; matrículas de las matrices Hikvision/Dahua</t>
  </si>
  <si>
    <t xml:space="preserve">Notas de uso</t>
  </si>
  <si>
    <t xml:space="preserve">1. Las especificaciones y precios son referenciales (USD, mercado 2026); verifique siempre la ficha técnica vigente del fabricante antes de cotizar o instalar.</t>
  </si>
  <si>
    <t xml:space="preserve">2. Filas «No disponible en portafolio» (marcadas en ámbar): la marca no fabrica ese tipo de cámara; en Observaciones se sugiere el equivalente de su matriz u otra marca.</t>
  </si>
  <si>
    <t xml:space="preserve">3. Use los filtros de la fila de encabezados en Base de Datos (panel congelado en H5) y en Equipamiento (panel congelado en G5) para segmentar por marca, categoría, nivel o precio.</t>
  </si>
  <si>
    <t xml:space="preserve">4. Hoja Equipamiento: NVR/DVR, discos de vigilancia, switch PoE, UPS, monitores, rack, cableado, accesorios, fuentes/PoE y software VMS (62 modelos de referencia).</t>
  </si>
  <si>
    <t xml:space="preserve">5. En Lista de Precios, complete Cantidad y Descuento en ambas secciones (A cámaras / B equipamiento); los subtotales y el TOTAL GENERAL se calculan automáticamente.</t>
  </si>
  <si>
    <t xml:space="preserve">6. Las columnas Proveedor y Stock están listas para registrar sus distribuidores locales (con listas desplegables en Categoría, Nivel, Stock y Uso).</t>
  </si>
  <si>
    <t xml:space="preserve">7. Hoja Comparativa: fichas de los 14 tipos de cámara con un modelo de referencia por nivel (premium / medio / económico).</t>
  </si>
  <si>
    <t xml:space="preserve">Resumen — Cobertura Marca × Tipo y Estadísticas de Equipamiento</t>
  </si>
  <si>
    <t xml:space="preserve">Tipo de Cámara \ Marca</t>
  </si>
  <si>
    <t xml:space="preserve">Axis Communications</t>
  </si>
  <si>
    <t xml:space="preserve">Bosch Security Systems</t>
  </si>
  <si>
    <t xml:space="preserve">Hanwha Vision (Wisenet)</t>
  </si>
  <si>
    <t xml:space="preserve">Avigilon (Motorola)</t>
  </si>
  <si>
    <t xml:space="preserve">Pelco (Motorola)</t>
  </si>
  <si>
    <t xml:space="preserve">Honeywell Security</t>
  </si>
  <si>
    <t xml:space="preserve">MOBOTIX</t>
  </si>
  <si>
    <t xml:space="preserve">Vivotek</t>
  </si>
  <si>
    <t xml:space="preserve">IDIS</t>
  </si>
  <si>
    <t xml:space="preserve">Verkada</t>
  </si>
  <si>
    <t xml:space="preserve">Ubiquiti (UniFi Protect)</t>
  </si>
  <si>
    <t xml:space="preserve">Hikvision</t>
  </si>
  <si>
    <t xml:space="preserve">Dahua Technology</t>
  </si>
  <si>
    <t xml:space="preserve">Uniview (UNV)</t>
  </si>
  <si>
    <t xml:space="preserve">HiLook (Hikvision)</t>
  </si>
  <si>
    <t xml:space="preserve">Imou (Dahua)</t>
  </si>
  <si>
    <t xml:space="preserve">EZVIZ (Hikvision)</t>
  </si>
  <si>
    <t xml:space="preserve">Reolink</t>
  </si>
  <si>
    <t xml:space="preserve">TP-Link VIGI</t>
  </si>
  <si>
    <t xml:space="preserve">Tenda Security</t>
  </si>
  <si>
    <t xml:space="preserve">Total</t>
  </si>
  <si>
    <t xml:space="preserve">Domo</t>
  </si>
  <si>
    <t xml:space="preserve">Domo Antivandálica</t>
  </si>
  <si>
    <t xml:space="preserve">Bala</t>
  </si>
  <si>
    <t xml:space="preserve">PTZ</t>
  </si>
  <si>
    <t xml:space="preserve">Mini PTZ</t>
  </si>
  <si>
    <t xml:space="preserve">Turrón (Box)</t>
  </si>
  <si>
    <t xml:space="preserve">Ojo de Pez (Fisheye)</t>
  </si>
  <si>
    <t xml:space="preserve">Multisensor / Panorámica</t>
  </si>
  <si>
    <t xml:space="preserve">Oculta (Pinhole)</t>
  </si>
  <si>
    <t xml:space="preserve">Térmica</t>
  </si>
  <si>
    <t xml:space="preserve">LPR (Matrículas)</t>
  </si>
  <si>
    <t xml:space="preserve">Dual-Lente</t>
  </si>
  <si>
    <t xml:space="preserve">IA Integrada</t>
  </si>
  <si>
    <t xml:space="preserve">Interior WiFi</t>
  </si>
  <si>
    <t xml:space="preserve">Modelos activos por marca</t>
  </si>
  <si>
    <t xml:space="preserve">Estadísticas por marca</t>
  </si>
  <si>
    <t xml:space="preserve">Marca</t>
  </si>
  <si>
    <t xml:space="preserve">País</t>
  </si>
  <si>
    <t xml:space="preserve">Modelos activos</t>
  </si>
  <si>
    <t xml:space="preserve">Precio mín. (USD)</t>
  </si>
  <si>
    <t xml:space="preserve">Precio máx. (USD)</t>
  </si>
  <si>
    <t xml:space="preserve">Precio promedio (USD)</t>
  </si>
  <si>
    <t xml:space="preserve">Suecia</t>
  </si>
  <si>
    <t xml:space="preserve">Alemania</t>
  </si>
  <si>
    <t xml:space="preserve">Corea del Sur</t>
  </si>
  <si>
    <t xml:space="preserve">Canadá</t>
  </si>
  <si>
    <t xml:space="preserve">EE. UU.</t>
  </si>
  <si>
    <t xml:space="preserve">Medio-Alto</t>
  </si>
  <si>
    <t xml:space="preserve">Taiwán</t>
  </si>
  <si>
    <t xml:space="preserve">Premium (Cloud)</t>
  </si>
  <si>
    <t xml:space="preserve">China</t>
  </si>
  <si>
    <t xml:space="preserve">TOTAL / GENERAL</t>
  </si>
  <si>
    <t xml:space="preserve">Estadísticas de equipamiento por categoría</t>
  </si>
  <si>
    <t xml:space="preserve">Categoría de Equipamiento</t>
  </si>
  <si>
    <t xml:space="preserve">Modelos</t>
  </si>
  <si>
    <t xml:space="preserve">NVR / DVR</t>
  </si>
  <si>
    <t xml:space="preserve">Almacenamiento (HDD)</t>
  </si>
  <si>
    <t xml:space="preserve">Switch PoE</t>
  </si>
  <si>
    <t xml:space="preserve">UPS</t>
  </si>
  <si>
    <t xml:space="preserve">Monitor</t>
  </si>
  <si>
    <t xml:space="preserve">Rack / Gabinete</t>
  </si>
  <si>
    <t xml:space="preserve">Cableado y Conectores</t>
  </si>
  <si>
    <t xml:space="preserve">Accesorios de Instalación</t>
  </si>
  <si>
    <t xml:space="preserve">Alimentación / PoE</t>
  </si>
  <si>
    <t xml:space="preserve">Software VMS</t>
  </si>
  <si>
    <t xml:space="preserve">Nota: la matriz cuenta modelos activos (excluye filas «No disponible en portafolio»); cada marca × tipo activo incluye 5 variantes de gama. Celda 0 = la marca no fabrica ese tipo; en Base de Datos se sugiere el equivalente. Las estadísticas de precio de cámaras leen el bloque de filas de cada marca en la Base de Datos y las del equipamiento el bloque de cada categoría en la hoja Equipamiento; si reordena los registros, ajuste los rangos de las fórmulas.</t>
  </si>
  <si>
    <t xml:space="preserve">Base de Datos Técnica — Cámaras CCTV (20 marcas × 14 tipos × 5 variantes)</t>
  </si>
  <si>
    <t xml:space="preserve">N°</t>
  </si>
  <si>
    <t xml:space="preserve">Tipo de Cámara</t>
  </si>
  <si>
    <t xml:space="preserve">Modelo</t>
  </si>
  <si>
    <t xml:space="preserve">Resolución (MP)</t>
  </si>
  <si>
    <t xml:space="preserve">Resolución Máx.</t>
  </si>
  <si>
    <t xml:space="preserve">Sensor</t>
  </si>
  <si>
    <t xml:space="preserve">Lente</t>
  </si>
  <si>
    <t xml:space="preserve">Visión Nocturna</t>
  </si>
  <si>
    <t xml:space="preserve">WDR</t>
  </si>
  <si>
    <t xml:space="preserve">Analíticas IA</t>
  </si>
  <si>
    <t xml:space="preserve">Compresión</t>
  </si>
  <si>
    <t xml:space="preserve">ONVIF</t>
  </si>
  <si>
    <t xml:space="preserve">Audio</t>
  </si>
  <si>
    <t xml:space="preserve">E/S Alarma</t>
  </si>
  <si>
    <t xml:space="preserve">Almac. Local</t>
  </si>
  <si>
    <t xml:space="preserve">Protección</t>
  </si>
  <si>
    <t xml:space="preserve">PoE</t>
  </si>
  <si>
    <t xml:space="preserve">Consumo</t>
  </si>
  <si>
    <t xml:space="preserve">Temp. Operación</t>
  </si>
  <si>
    <t xml:space="preserve">Dimensiones</t>
  </si>
  <si>
    <t xml:space="preserve">Peso</t>
  </si>
  <si>
    <t xml:space="preserve">Certificaciones</t>
  </si>
  <si>
    <t xml:space="preserve">Uso Recomendado</t>
  </si>
  <si>
    <t xml:space="preserve">Precio Ref. (USD)</t>
  </si>
  <si>
    <t xml:space="preserve">Proveedor</t>
  </si>
  <si>
    <t xml:space="preserve">Stock</t>
  </si>
  <si>
    <t xml:space="preserve">Observaciones</t>
  </si>
  <si>
    <t xml:space="preserve">AXIS M3086-V</t>
  </si>
  <si>
    <t xml:space="preserve">2 MP</t>
  </si>
  <si>
    <t xml:space="preserve">1920 × 1080</t>
  </si>
  <si>
    <t xml:space="preserve">1/2.8" Sony Starvis</t>
  </si>
  <si>
    <t xml:space="preserve">3–9 mm varifocal P-Iris</t>
  </si>
  <si>
    <t xml:space="preserve">OptimizedIR 40 m</t>
  </si>
  <si>
    <t xml:space="preserve">Forensic WDR</t>
  </si>
  <si>
    <t xml:space="preserve">AXIS Object Analytics</t>
  </si>
  <si>
    <t xml:space="preserve">H.265 (Zipstream) / H.264</t>
  </si>
  <si>
    <t xml:space="preserve">Perfil S, T, G</t>
  </si>
  <si>
    <t xml:space="preserve">E/S (según modelo)</t>
  </si>
  <si>
    <t xml:space="preserve">microSD 256 GB (AXIS Surveillance)</t>
  </si>
  <si>
    <t xml:space="preserve">IP66 / IK10</t>
  </si>
  <si>
    <t xml:space="preserve">802.3af</t>
  </si>
  <si>
    <t xml:space="preserve">12.9 W máx</t>
  </si>
  <si>
    <t xml:space="preserve">-30 °C a +50 °C</t>
  </si>
  <si>
    <t xml:space="preserve">Ø 160 × 120 mm</t>
  </si>
  <si>
    <t xml:space="preserve">1.0 kg</t>
  </si>
  <si>
    <t xml:space="preserve">CE, FCC, EN 50121</t>
  </si>
  <si>
    <t xml:space="preserve">Interior/Exterior</t>
  </si>
  <si>
    <t xml:space="preserve">Variante económica de la gama</t>
  </si>
  <si>
    <t xml:space="preserve">AXIS M3206-LVE</t>
  </si>
  <si>
    <t xml:space="preserve">4 MP</t>
  </si>
  <si>
    <t xml:space="preserve">2560 × 1440</t>
  </si>
  <si>
    <t xml:space="preserve">Gama de entrada</t>
  </si>
  <si>
    <t xml:space="preserve">AXIS P3245-LVE</t>
  </si>
  <si>
    <t xml:space="preserve">Starlight para baja luz</t>
  </si>
  <si>
    <t xml:space="preserve">AXIS P3265-LVE</t>
  </si>
  <si>
    <t xml:space="preserve">8 MP (4K)</t>
  </si>
  <si>
    <t xml:space="preserve">3840 × 2160</t>
  </si>
  <si>
    <t xml:space="preserve">Resolución y rendimiento mejorados</t>
  </si>
  <si>
    <t xml:space="preserve">AXIS P3268-LVE</t>
  </si>
  <si>
    <t xml:space="preserve">Tope de gama — máxima especificación</t>
  </si>
  <si>
    <t xml:space="preserve">3–9 mm varifocal</t>
  </si>
  <si>
    <t xml:space="preserve">IR 20 m</t>
  </si>
  <si>
    <t xml:space="preserve">Zipstream + analíticas básicas</t>
  </si>
  <si>
    <t xml:space="preserve">7.5 W máx</t>
  </si>
  <si>
    <t xml:space="preserve">Ø 149 × 110 mm</t>
  </si>
  <si>
    <t xml:space="preserve">850 g</t>
  </si>
  <si>
    <t xml:space="preserve">Montaje antivandálico</t>
  </si>
  <si>
    <t xml:space="preserve">AXIS Q3511-LVE</t>
  </si>
  <si>
    <t xml:space="preserve">AXIS Q3536-SLVE</t>
  </si>
  <si>
    <t xml:space="preserve">AXIS M1135</t>
  </si>
  <si>
    <t xml:space="preserve">OptimizedIR 50 m</t>
  </si>
  <si>
    <t xml:space="preserve">IP66 / IK09</t>
  </si>
  <si>
    <t xml:space="preserve">11.5 W máx</t>
  </si>
  <si>
    <t xml:space="preserve">265 × 96 × 86 mm</t>
  </si>
  <si>
    <t xml:space="preserve">950 g</t>
  </si>
  <si>
    <t xml:space="preserve">Exterior</t>
  </si>
  <si>
    <t xml:space="preserve">AXIS P1465-LE</t>
  </si>
  <si>
    <t xml:space="preserve">AXIS P1467-LE</t>
  </si>
  <si>
    <t xml:space="preserve">ARTPEC-7</t>
  </si>
  <si>
    <t xml:space="preserve">AXIS P1468-LE</t>
  </si>
  <si>
    <t xml:space="preserve">AXIS Q1798-LE</t>
  </si>
  <si>
    <t xml:space="preserve">AXIS M5525-E</t>
  </si>
  <si>
    <t xml:space="preserve">32× zoom óptico (4.3–138 mm)</t>
  </si>
  <si>
    <t xml:space="preserve">OptimizedIR 150 m</t>
  </si>
  <si>
    <t xml:space="preserve">Autotracking 2, guarda activa</t>
  </si>
  <si>
    <t xml:space="preserve">IP66 / NEMA 4X</t>
  </si>
  <si>
    <t xml:space="preserve">802.3at</t>
  </si>
  <si>
    <t xml:space="preserve">45 W máx</t>
  </si>
  <si>
    <t xml:space="preserve">Ø 185 × 326 mm</t>
  </si>
  <si>
    <t xml:space="preserve">5.5 kg</t>
  </si>
  <si>
    <t xml:space="preserve">AXIS P5654-E</t>
  </si>
  <si>
    <t xml:space="preserve">AXIS P5655-E</t>
  </si>
  <si>
    <t xml:space="preserve">PTZ profesional antibandas</t>
  </si>
  <si>
    <t xml:space="preserve">AXIS Q6075-C</t>
  </si>
  <si>
    <t xml:space="preserve">AXIS Q6075-E</t>
  </si>
  <si>
    <t xml:space="preserve">1/2.8" CMOS</t>
  </si>
  <si>
    <t xml:space="preserve">10× zoom óptico (4.7–47 mm)</t>
  </si>
  <si>
    <t xml:space="preserve">IR 30 m</t>
  </si>
  <si>
    <t xml:space="preserve">Autotracking básico</t>
  </si>
  <si>
    <t xml:space="preserve">IP55</t>
  </si>
  <si>
    <t xml:space="preserve">25 W máx</t>
  </si>
  <si>
    <t xml:space="preserve">Ø 161 × 128 mm</t>
  </si>
  <si>
    <t xml:space="preserve">1.4 kg</t>
  </si>
  <si>
    <t xml:space="preserve">AXIS M5526-E</t>
  </si>
  <si>
    <t xml:space="preserve">AXIS P5522-E</t>
  </si>
  <si>
    <t xml:space="preserve">PTZ compacto</t>
  </si>
  <si>
    <t xml:space="preserve">AXIS Q6124-LE</t>
  </si>
  <si>
    <t xml:space="preserve">AXIS Q6225-LE</t>
  </si>
  <si>
    <t xml:space="preserve">AXIS P1375</t>
  </si>
  <si>
    <t xml:space="preserve">C/CS — lente no incluida</t>
  </si>
  <si>
    <t xml:space="preserve">Según lente instalada</t>
  </si>
  <si>
    <t xml:space="preserve">IP52 (interior)</t>
  </si>
  <si>
    <t xml:space="preserve">5 W máx</t>
  </si>
  <si>
    <t xml:space="preserve">70 × 174 × 60 mm</t>
  </si>
  <si>
    <t xml:space="preserve">560 g</t>
  </si>
  <si>
    <t xml:space="preserve">Interior</t>
  </si>
  <si>
    <t xml:space="preserve">AXIS P1367-LE</t>
  </si>
  <si>
    <t xml:space="preserve">AXIS P1377</t>
  </si>
  <si>
    <t xml:space="preserve">Requiere lente C/CS por separado</t>
  </si>
  <si>
    <t xml:space="preserve">AXIS P1378</t>
  </si>
  <si>
    <t xml:space="preserve">AXIS Q1656-LE</t>
  </si>
  <si>
    <t xml:space="preserve">AXIS M3057-PLVE</t>
  </si>
  <si>
    <t xml:space="preserve">8 MP</t>
  </si>
  <si>
    <t xml:space="preserve">3840 × 2160 (360°)</t>
  </si>
  <si>
    <t xml:space="preserve">1/2.3" CMOS</t>
  </si>
  <si>
    <t xml:space="preserve">1.4 mm fijo — 360°</t>
  </si>
  <si>
    <t xml:space="preserve">IR integrada 5 m</t>
  </si>
  <si>
    <t xml:space="preserve">Panorámica dewarped + analíticas</t>
  </si>
  <si>
    <t xml:space="preserve">10 W máx</t>
  </si>
  <si>
    <t xml:space="preserve">900 g</t>
  </si>
  <si>
    <t xml:space="preserve">AXIS M3058-PLVE</t>
  </si>
  <si>
    <t xml:space="preserve">AXIS M3075-PLVE</t>
  </si>
  <si>
    <t xml:space="preserve">12 MP</t>
  </si>
  <si>
    <t xml:space="preserve">4000 × 3000 (360°)</t>
  </si>
  <si>
    <t xml:space="preserve">Panorámica 360° con ePTZ</t>
  </si>
  <si>
    <t xml:space="preserve">AXIS M3076-PLVE</t>
  </si>
  <si>
    <t xml:space="preserve">AXIS M3077-PLVE</t>
  </si>
  <si>
    <t xml:space="preserve">AXIS P3718-PLE</t>
  </si>
  <si>
    <t xml:space="preserve">12 MP (4× 3 MP)</t>
  </si>
  <si>
    <t xml:space="preserve">4× 2304 × 1296</t>
  </si>
  <si>
    <t xml:space="preserve">4× 1/2.8" Sony Starvis</t>
  </si>
  <si>
    <t xml:space="preserve">4× varifocal integrada</t>
  </si>
  <si>
    <t xml:space="preserve">Multidireccional independiente por sensor</t>
  </si>
  <si>
    <t xml:space="preserve">Ø 260 × 80 mm</t>
  </si>
  <si>
    <t xml:space="preserve">2.2 kg</t>
  </si>
  <si>
    <t xml:space="preserve">AXIS P3719-PLE</t>
  </si>
  <si>
    <t xml:space="preserve">20 MP (4× 5 MP)</t>
  </si>
  <si>
    <t xml:space="preserve">4× 2592 × 1944</t>
  </si>
  <si>
    <t xml:space="preserve">AXIS P3727-PLE</t>
  </si>
  <si>
    <t xml:space="preserve">32 MP (4× 8 MP)</t>
  </si>
  <si>
    <t xml:space="preserve">4× 3840 × 2160</t>
  </si>
  <si>
    <t xml:space="preserve">Cobertura 180° sin puntos ciegos</t>
  </si>
  <si>
    <t xml:space="preserve">AXIS P3735-PLE</t>
  </si>
  <si>
    <t xml:space="preserve">AXIS P3737-PLE</t>
  </si>
  <si>
    <t xml:space="preserve">48 MP (4× 12 MP)</t>
  </si>
  <si>
    <t xml:space="preserve">4× 4000 × 3000</t>
  </si>
  <si>
    <t xml:space="preserve">AXIS P1264</t>
  </si>
  <si>
    <t xml:space="preserve">Pinhole C/CS (opcional)</t>
  </si>
  <si>
    <t xml:space="preserve">Vigilancia discreta</t>
  </si>
  <si>
    <t xml:space="preserve">4.5 W máx</t>
  </si>
  <si>
    <t xml:space="preserve">26 × 152 × 45 mm</t>
  </si>
  <si>
    <t xml:space="preserve">270 g</t>
  </si>
  <si>
    <t xml:space="preserve">AXIS P1265</t>
  </si>
  <si>
    <t xml:space="preserve">AXIS P1275</t>
  </si>
  <si>
    <t xml:space="preserve">Montaje tras placa o panel</t>
  </si>
  <si>
    <t xml:space="preserve">AXIS F2135-RE</t>
  </si>
  <si>
    <t xml:space="preserve">AXIS F2136-RE</t>
  </si>
  <si>
    <t xml:space="preserve">AXIS Q1941-E 60 mm</t>
  </si>
  <si>
    <t xml:space="preserve">Térmico 384 × 288</t>
  </si>
  <si>
    <t xml:space="preserve">384 × 288 px</t>
  </si>
  <si>
    <t xml:space="preserve">Microbolómetro LWIR</t>
  </si>
  <si>
    <t xml:space="preserve">60 mm fijo</t>
  </si>
  <si>
    <t xml:space="preserve">Detección térmica 460 m</t>
  </si>
  <si>
    <t xml:space="preserve">—</t>
  </si>
  <si>
    <t xml:space="preserve">Detección de movimiento y cruces de línea</t>
  </si>
  <si>
    <t xml:space="preserve">Ø 140 × 360 mm</t>
  </si>
  <si>
    <t xml:space="preserve">2.4 kg</t>
  </si>
  <si>
    <t xml:space="preserve">AXIS Q1952-E 60 mm</t>
  </si>
  <si>
    <t xml:space="preserve">AXIS Q1971-E 35 mm</t>
  </si>
  <si>
    <t xml:space="preserve">Térmico 640 × 480</t>
  </si>
  <si>
    <t xml:space="preserve">640 × 480 px</t>
  </si>
  <si>
    <t xml:space="preserve">Sensibilidad &lt; 50 mK</t>
  </si>
  <si>
    <t xml:space="preserve">AXIS Q1971-E 60 mm</t>
  </si>
  <si>
    <t xml:space="preserve">AXIS Q8742-LE</t>
  </si>
  <si>
    <t xml:space="preserve">AXIS P1448-LE</t>
  </si>
  <si>
    <t xml:space="preserve">1/2" CMOS</t>
  </si>
  <si>
    <t xml:space="preserve">4.3–10 mm varifocal</t>
  </si>
  <si>
    <t xml:space="preserve">AXIS License Plate Verifier</t>
  </si>
  <si>
    <t xml:space="preserve">30 W máx</t>
  </si>
  <si>
    <t xml:space="preserve">336 × 138 × 106 mm</t>
  </si>
  <si>
    <t xml:space="preserve">Optimizada tráfico (60 fps)</t>
  </si>
  <si>
    <t xml:space="preserve">AXIS Q1798-C</t>
  </si>
  <si>
    <t xml:space="preserve">AXIS P4705-PLVE</t>
  </si>
  <si>
    <t xml:space="preserve">8 MP (2× 4 MP)</t>
  </si>
  <si>
    <t xml:space="preserve">2× 2560 × 1440</t>
  </si>
  <si>
    <t xml:space="preserve">2× 1/2.8" Sony Starvis</t>
  </si>
  <si>
    <t xml:space="preserve">2× varifocal integrada</t>
  </si>
  <si>
    <t xml:space="preserve">Multidireccional — 2 escenas independientes</t>
  </si>
  <si>
    <t xml:space="preserve">Ø 173 × 96 mm</t>
  </si>
  <si>
    <t xml:space="preserve">1.6 kg</t>
  </si>
  <si>
    <t xml:space="preserve">AXIS P4706-PLVE</t>
  </si>
  <si>
    <t xml:space="preserve">16 MP (2× 8 MP)</t>
  </si>
  <si>
    <t xml:space="preserve">2× 3840 × 2160</t>
  </si>
  <si>
    <t xml:space="preserve">AXIS P4707-PLVE</t>
  </si>
  <si>
    <t xml:space="preserve">Doble sensor independiente</t>
  </si>
  <si>
    <t xml:space="preserve">AXIS P4708-PLVE</t>
  </si>
  <si>
    <t xml:space="preserve">AXIS P4718-PLVE</t>
  </si>
  <si>
    <t xml:space="preserve">32 MP (2× 16 MP)</t>
  </si>
  <si>
    <t xml:space="preserve">2× 4608 × 3456</t>
  </si>
  <si>
    <t xml:space="preserve">ARTPEC-8 — Object Analytics (personas/vehículos)</t>
  </si>
  <si>
    <t xml:space="preserve">AXIS Q1786-LE</t>
  </si>
  <si>
    <t xml:space="preserve">IA en el borde</t>
  </si>
  <si>
    <t xml:space="preserve">AXIS Q1786-SLE</t>
  </si>
  <si>
    <t xml:space="preserve">No disponible en portafolio</t>
  </si>
  <si>
    <t xml:space="preserve">AXIS no comercializa cámaras WiFi de interior; referencia PoE: AXIS M1065-L (1080p)</t>
  </si>
  <si>
    <t xml:space="preserve">FLEXIDOME IP indoor 3000i (NDI-3502-AL)</t>
  </si>
  <si>
    <t xml:space="preserve">2.8–10 mm varifocal</t>
  </si>
  <si>
    <t xml:space="preserve">Día/Noche — IR 20 m</t>
  </si>
  <si>
    <t xml:space="preserve">WDR 120 dB</t>
  </si>
  <si>
    <t xml:space="preserve">Analíticas Bosch (movimiento inteligente)</t>
  </si>
  <si>
    <t xml:space="preserve">H.265 / H.264 (Smart Encoding)</t>
  </si>
  <si>
    <t xml:space="preserve">E/S integrada</t>
  </si>
  <si>
    <t xml:space="preserve">1 E / 1 S</t>
  </si>
  <si>
    <t xml:space="preserve">microSD 512 GB</t>
  </si>
  <si>
    <t xml:space="preserve">IK10 (interior)</t>
  </si>
  <si>
    <t xml:space="preserve">7 W máx</t>
  </si>
  <si>
    <t xml:space="preserve">-30 °C a +55 °C</t>
  </si>
  <si>
    <t xml:space="preserve">Ø 140 × 95 mm</t>
  </si>
  <si>
    <t xml:space="preserve">700 g</t>
  </si>
  <si>
    <t xml:space="preserve">CE, FCC, UL</t>
  </si>
  <si>
    <t xml:space="preserve">FLEXIDOME IP indoor 3000i (NDI-3503-AL)</t>
  </si>
  <si>
    <t xml:space="preserve">FLEXIDOME IP indoor 5000i (NDI-5502-AL)</t>
  </si>
  <si>
    <t xml:space="preserve">Línea 5000i con IVA básico</t>
  </si>
  <si>
    <t xml:space="preserve">FLEXIDOME IP indoor 5000i (NDI-5503-AL)</t>
  </si>
  <si>
    <t xml:space="preserve">FLEXIDOME IP indoor 7000i (NDI-7503-Z12)</t>
  </si>
  <si>
    <t xml:space="preserve">FLEXIDOME IP outdoor 3000i (NDE-3502-AL)</t>
  </si>
  <si>
    <t xml:space="preserve">9 W máx</t>
  </si>
  <si>
    <t xml:space="preserve">Ø 140 × 100 mm</t>
  </si>
  <si>
    <t xml:space="preserve">780 g</t>
  </si>
  <si>
    <t xml:space="preserve">FLEXIDOME IP outdoor 3000i (NDE-3503-AL)</t>
  </si>
  <si>
    <t xml:space="preserve">FLEXIDOME IP outdoor 5000i (NDE-5502-AL)</t>
  </si>
  <si>
    <t xml:space="preserve">Antivandálica IK10</t>
  </si>
  <si>
    <t xml:space="preserve">FLEXIDOME IP outdoor 5000i (NDE-5503-AL)</t>
  </si>
  <si>
    <t xml:space="preserve">FLEXIDOME IP outdoor 7000i (NDE-7503-Z12)</t>
  </si>
  <si>
    <t xml:space="preserve">DINION IP 3000i IR (NBE-3502-AL)</t>
  </si>
  <si>
    <t xml:space="preserve">3–10 mm varifocal</t>
  </si>
  <si>
    <t xml:space="preserve">IR 40 m</t>
  </si>
  <si>
    <t xml:space="preserve">Analíticas Bosch</t>
  </si>
  <si>
    <t xml:space="preserve">IP66</t>
  </si>
  <si>
    <t xml:space="preserve">240 × 90 × 90 mm</t>
  </si>
  <si>
    <t xml:space="preserve">1.1 kg</t>
  </si>
  <si>
    <t xml:space="preserve">DINION IP 3000i IR (NBE-3503-AL)</t>
  </si>
  <si>
    <t xml:space="preserve">DINION IP bullet 5000i (NBE-5502-AL)</t>
  </si>
  <si>
    <t xml:space="preserve">Bala profesional IR</t>
  </si>
  <si>
    <t xml:space="preserve">DINION IP bullet 5000i IR (NBE-5503-AL)</t>
  </si>
  <si>
    <t xml:space="preserve">DINION IP 7000i IR (NBE-7503-Z30)</t>
  </si>
  <si>
    <t xml:space="preserve">AUTODOME IP 4000i (NDU-4502-IX)</t>
  </si>
  <si>
    <t xml:space="preserve">30× zoom óptico</t>
  </si>
  <si>
    <t xml:space="preserve">Día/Noche (iluminador externo)</t>
  </si>
  <si>
    <t xml:space="preserve">Seguimiento automático de movimiento</t>
  </si>
  <si>
    <t xml:space="preserve">20 W máx</t>
  </si>
  <si>
    <t xml:space="preserve">Ø 238 × 275 mm</t>
  </si>
  <si>
    <t xml:space="preserve">3.2 kg</t>
  </si>
  <si>
    <t xml:space="preserve">AUTODOME IP 5000i (NDU-5502-IX)</t>
  </si>
  <si>
    <t xml:space="preserve">AUTODOME IP 5000i (NDU-5503-IX)</t>
  </si>
  <si>
    <t xml:space="preserve">Domo de velocidad 30×</t>
  </si>
  <si>
    <t xml:space="preserve">MIC IP fusion 9000i</t>
  </si>
  <si>
    <t xml:space="preserve">MIC IP starion 8000i</t>
  </si>
  <si>
    <t xml:space="preserve">AUTODOME IP micro 5000i (NDI-5502-MS)</t>
  </si>
  <si>
    <t xml:space="preserve">12× zoom óptico</t>
  </si>
  <si>
    <t xml:space="preserve">Día/Noche</t>
  </si>
  <si>
    <t xml:space="preserve">Seguimiento automático</t>
  </si>
  <si>
    <t xml:space="preserve">12 W máx</t>
  </si>
  <si>
    <t xml:space="preserve">Ø 158 × 118 mm</t>
  </si>
  <si>
    <t xml:space="preserve">AUTODOME IP micro 5000i (NDI-5503-MS)</t>
  </si>
  <si>
    <t xml:space="preserve">AUTODOME IP micro 7000i (NDI-7502-Z12)</t>
  </si>
  <si>
    <t xml:space="preserve">PTZ discreto para interiores</t>
  </si>
  <si>
    <t xml:space="preserve">AUTODOME IP micro 7000i (NDI-7503-Z12)</t>
  </si>
  <si>
    <t xml:space="preserve">DINION IP 4000i (NII-4002-IP)</t>
  </si>
  <si>
    <t xml:space="preserve">6 W máx</t>
  </si>
  <si>
    <t xml:space="preserve">78 × 76 × 196 mm</t>
  </si>
  <si>
    <t xml:space="preserve">750 g</t>
  </si>
  <si>
    <t xml:space="preserve">DINION IP 5000i (NII-5502-AL)</t>
  </si>
  <si>
    <t xml:space="preserve">DINION IP 5000i (NII-5503-AL)</t>
  </si>
  <si>
    <t xml:space="preserve">Cuerpo modular</t>
  </si>
  <si>
    <t xml:space="preserve">DINION IP 7000i (NII-7502-Z12)</t>
  </si>
  <si>
    <t xml:space="preserve">DINION IP 7000i (NII-7503-Z12)</t>
  </si>
  <si>
    <t xml:space="preserve">FLEXIDOME IP panoramic 5000i (NDS-5002-Q36)</t>
  </si>
  <si>
    <t xml:space="preserve">1/1.8" CMOS</t>
  </si>
  <si>
    <t xml:space="preserve">Panorámica dewarped + analíticas avanzadas</t>
  </si>
  <si>
    <t xml:space="preserve">IK10</t>
  </si>
  <si>
    <t xml:space="preserve">Ø 162 × 55 mm</t>
  </si>
  <si>
    <t xml:space="preserve">650 g</t>
  </si>
  <si>
    <t xml:space="preserve">FLEXIDOME IP panoramic 5000i (NDS-5003-Q36)</t>
  </si>
  <si>
    <t xml:space="preserve">FLEXIDOME IP panoramic 7000i RD (NDS-7003-X12)</t>
  </si>
  <si>
    <t xml:space="preserve">Vista 360° Raptor</t>
  </si>
  <si>
    <t xml:space="preserve">FLEXIDOME IP panoramic 7000i RD (NDS-7004-X20)</t>
  </si>
  <si>
    <t xml:space="preserve">FLEXIDOME IP panoramic 7000i S21 (NDS-7021-X20)</t>
  </si>
  <si>
    <t xml:space="preserve">FLEXIDOME IP multi 7000i (NDS-7002-X10)</t>
  </si>
  <si>
    <t xml:space="preserve">4× 1/2.7" CMOS</t>
  </si>
  <si>
    <t xml:space="preserve">Multidireccional 180° + IVA</t>
  </si>
  <si>
    <t xml:space="preserve">Ø 240 × 85 mm</t>
  </si>
  <si>
    <t xml:space="preserve">1.9 kg</t>
  </si>
  <si>
    <t xml:space="preserve">FLEXIDOME IP multi 7000i (NDS-7003-X20)</t>
  </si>
  <si>
    <t xml:space="preserve">FLEXIDOME IP multi 7000i (NDS-7004-X20)</t>
  </si>
  <si>
    <t xml:space="preserve">Cobertura 180° ajustable</t>
  </si>
  <si>
    <t xml:space="preserve">FLEXIDOME IP multi 7000i (NDS-7004-X30)</t>
  </si>
  <si>
    <t xml:space="preserve">FLEXIDOME IP multi 9000i (NDS-9004-X40)</t>
  </si>
  <si>
    <t xml:space="preserve">Bosch no ofrece cámara oculta; alternativa micro-discreta: FLEXIDOME IP micro 5000i</t>
  </si>
  <si>
    <t xml:space="preserve">MIC IP thermal 7100i (35 mm)</t>
  </si>
  <si>
    <t xml:space="preserve">35/60/95 mm (según versión)</t>
  </si>
  <si>
    <t xml:space="preserve">Detección térmica 1.2 km</t>
  </si>
  <si>
    <t xml:space="preserve">PTZ térmico + analíticas perimetrales</t>
  </si>
  <si>
    <t xml:space="preserve">65 W máx</t>
  </si>
  <si>
    <t xml:space="preserve">Ø 245 × 545 mm</t>
  </si>
  <si>
    <t xml:space="preserve">9.5 kg</t>
  </si>
  <si>
    <t xml:space="preserve">MIC IP thermal 7100i (60 mm)</t>
  </si>
  <si>
    <t xml:space="preserve">MIC IP thermal 7100i (95 mm)</t>
  </si>
  <si>
    <t xml:space="preserve">PTZ térmico rotatorio 360°</t>
  </si>
  <si>
    <t xml:space="preserve">MIC IP dynamic 7000i</t>
  </si>
  <si>
    <t xml:space="preserve">DINION 7100i IR ANPR (8–32 mm)</t>
  </si>
  <si>
    <t xml:space="preserve">8–32 mm varifocal</t>
  </si>
  <si>
    <t xml:space="preserve">IR 40 m — obturador rápido</t>
  </si>
  <si>
    <t xml:space="preserve">ANPR vía Video Analytics (licencia)</t>
  </si>
  <si>
    <t xml:space="preserve">250 × 92 × 90 mm</t>
  </si>
  <si>
    <t xml:space="preserve">DINION 7100i IR ANPR (16–50 mm)</t>
  </si>
  <si>
    <t xml:space="preserve">DINION 7100i IR ANPR (35–80 mm)</t>
  </si>
  <si>
    <t xml:space="preserve">Lectura de matrículas con VMS</t>
  </si>
  <si>
    <t xml:space="preserve">FLEXIDOME 7100i IR ANPR (8–32 mm)</t>
  </si>
  <si>
    <t xml:space="preserve">AUTODOME 7000i ANPR</t>
  </si>
  <si>
    <t xml:space="preserve">Sin dual-lente convencional; referencia multidireccional: FLEXIDOME IP multi 7000i</t>
  </si>
  <si>
    <t xml:space="preserve">FLEXIDOME IP indoor 5000i (IVA)</t>
  </si>
  <si>
    <t xml:space="preserve">IVA Pro — IA en el borde (personas/vehículos)</t>
  </si>
  <si>
    <t xml:space="preserve">Ø 150 × 100 mm</t>
  </si>
  <si>
    <t xml:space="preserve">760 g</t>
  </si>
  <si>
    <t xml:space="preserve">FLEXIDOME IP outdoor 5000i (IVA)</t>
  </si>
  <si>
    <t xml:space="preserve">DINION IP bullet 5000i (IVA)</t>
  </si>
  <si>
    <t xml:space="preserve">Analíticas deep learning Bosch</t>
  </si>
  <si>
    <t xml:space="preserve">FLEXIDOME IP 7000i (IVA avanzado)</t>
  </si>
  <si>
    <t xml:space="preserve">MIC IP fusion 9000i (IVA)</t>
  </si>
  <si>
    <t xml:space="preserve">Bosch Smart Home Camera 360°</t>
  </si>
  <si>
    <t xml:space="preserve">CMOS</t>
  </si>
  <si>
    <t xml:space="preserve">Gran angular 180°</t>
  </si>
  <si>
    <t xml:space="preserve">IR 5 m</t>
  </si>
  <si>
    <t xml:space="preserve">Detección de personas (app Bosch Smart Home)</t>
  </si>
  <si>
    <t xml:space="preserve">H.264</t>
  </si>
  <si>
    <t xml:space="preserve">— (ecosistema Bosch)</t>
  </si>
  <si>
    <t xml:space="preserve">Micrófono/altavoz integrado</t>
  </si>
  <si>
    <t xml:space="preserve">No — grabación en Bosch Smart Home Controller</t>
  </si>
  <si>
    <t xml:space="preserve">WiFi 2.4/5 GHz</t>
  </si>
  <si>
    <t xml:space="preserve">0 °C a +40 °C</t>
  </si>
  <si>
    <t xml:space="preserve">Ø 56 × 108 mm</t>
  </si>
  <si>
    <t xml:space="preserve">210 g</t>
  </si>
  <si>
    <t xml:space="preserve">CE, FCC</t>
  </si>
  <si>
    <t xml:space="preserve">Bosch Smart Home Camera II</t>
  </si>
  <si>
    <t xml:space="preserve">Bosch Smart Home Eyes II (interior)</t>
  </si>
  <si>
    <t xml:space="preserve">Ecosistema Bosch Smart Home</t>
  </si>
  <si>
    <t xml:space="preserve">Bosch Smart Home Eyes (exterior)</t>
  </si>
  <si>
    <t xml:space="preserve">Bosch Smart Home Eyes II (exterior)</t>
  </si>
  <si>
    <t xml:space="preserve">XNV-6011</t>
  </si>
  <si>
    <t xml:space="preserve">1/2.7" CMOS</t>
  </si>
  <si>
    <t xml:space="preserve">2.8 mm fijo (3.6 mm opcional)</t>
  </si>
  <si>
    <t xml:space="preserve">WiseStream III + analíticas básicas</t>
  </si>
  <si>
    <t xml:space="preserve">H.265 (WiseStream II) / H.264</t>
  </si>
  <si>
    <t xml:space="preserve">microSD 256 GB</t>
  </si>
  <si>
    <t xml:space="preserve">8 W máx</t>
  </si>
  <si>
    <t xml:space="preserve">Ø 128 × 96 mm</t>
  </si>
  <si>
    <t xml:space="preserve">600 g</t>
  </si>
  <si>
    <t xml:space="preserve">XNV-6081R</t>
  </si>
  <si>
    <t xml:space="preserve">XNV-L6083R</t>
  </si>
  <si>
    <t xml:space="preserve">Gama Q alta relación valor/precio</t>
  </si>
  <si>
    <t xml:space="preserve">XNV-C6083R</t>
  </si>
  <si>
    <t xml:space="preserve">PNV-A9081R</t>
  </si>
  <si>
    <t xml:space="preserve">2.8–12 mm varifocal</t>
  </si>
  <si>
    <t xml:space="preserve">IR 25 m</t>
  </si>
  <si>
    <t xml:space="preserve">WiseStream II</t>
  </si>
  <si>
    <t xml:space="preserve">Ø 145 × 111 mm</t>
  </si>
  <si>
    <t xml:space="preserve">Antivandálica X series</t>
  </si>
  <si>
    <t xml:space="preserve">PNV-A6081R</t>
  </si>
  <si>
    <t xml:space="preserve">XNO-6083R</t>
  </si>
  <si>
    <t xml:space="preserve">2.8 mm fijo</t>
  </si>
  <si>
    <t xml:space="preserve">WiseStream III</t>
  </si>
  <si>
    <t xml:space="preserve">283 × 89 × 88 mm</t>
  </si>
  <si>
    <t xml:space="preserve">800 g</t>
  </si>
  <si>
    <t xml:space="preserve">XNO-L6083R</t>
  </si>
  <si>
    <t xml:space="preserve">XNO-C6083R</t>
  </si>
  <si>
    <t xml:space="preserve">Bala exterior IR</t>
  </si>
  <si>
    <t xml:space="preserve">PNO-A6081R</t>
  </si>
  <si>
    <t xml:space="preserve">PNO-A9081R</t>
  </si>
  <si>
    <t xml:space="preserve">XNP-6120RW</t>
  </si>
  <si>
    <t xml:space="preserve">32× zoom óptico</t>
  </si>
  <si>
    <t xml:space="preserve">IR 50 m + LED blanco</t>
  </si>
  <si>
    <t xml:space="preserve">WiseAI II — autotracking IA</t>
  </si>
  <si>
    <t xml:space="preserve">55 W máx</t>
  </si>
  <si>
    <t xml:space="preserve">Ø 249 × 430 mm</t>
  </si>
  <si>
    <t xml:space="preserve">7.0 kg</t>
  </si>
  <si>
    <t xml:space="preserve">XNP-6400RW</t>
  </si>
  <si>
    <t xml:space="preserve">XNP-C6403RW</t>
  </si>
  <si>
    <t xml:space="preserve">PTZ 4K con IA</t>
  </si>
  <si>
    <t xml:space="preserve">XNP-8250R</t>
  </si>
  <si>
    <t xml:space="preserve">PNP-9200RH</t>
  </si>
  <si>
    <t xml:space="preserve">SNP-3120VH</t>
  </si>
  <si>
    <t xml:space="preserve">IR 30 m + LED blanco</t>
  </si>
  <si>
    <t xml:space="preserve">Autotracking</t>
  </si>
  <si>
    <t xml:space="preserve">Ø 175 × 279 mm</t>
  </si>
  <si>
    <t xml:space="preserve">2.8 kg</t>
  </si>
  <si>
    <t xml:space="preserve">SNP-5200H</t>
  </si>
  <si>
    <t xml:space="preserve">SNP-6230H</t>
  </si>
  <si>
    <t xml:space="preserve">SNP-6320H</t>
  </si>
  <si>
    <t xml:space="preserve">SNP-C62345H</t>
  </si>
  <si>
    <t xml:space="preserve">SNB-6004</t>
  </si>
  <si>
    <t xml:space="preserve">Analíticas Wisenet</t>
  </si>
  <si>
    <t xml:space="preserve">80 × 64 × 196 mm</t>
  </si>
  <si>
    <t xml:space="preserve">SNB-7004</t>
  </si>
  <si>
    <t xml:space="preserve">SNB-8004</t>
  </si>
  <si>
    <t xml:space="preserve">Box 4K profesional</t>
  </si>
  <si>
    <t xml:space="preserve">PNB-A73051</t>
  </si>
  <si>
    <t xml:space="preserve">SNB-C74043BF</t>
  </si>
  <si>
    <t xml:space="preserve">XNF-8010RW</t>
  </si>
  <si>
    <t xml:space="preserve">1.05 mm fijo — 360°</t>
  </si>
  <si>
    <t xml:space="preserve">IR 15 m</t>
  </si>
  <si>
    <t xml:space="preserve">Panorámica dewarped</t>
  </si>
  <si>
    <t xml:space="preserve">Ø 162 × 58 mm</t>
  </si>
  <si>
    <t xml:space="preserve">XNF-8010ZM</t>
  </si>
  <si>
    <t xml:space="preserve">XNF-9010RW</t>
  </si>
  <si>
    <t xml:space="preserve">Fisheye 360°</t>
  </si>
  <si>
    <t xml:space="preserve">PNF-9010RV</t>
  </si>
  <si>
    <t xml:space="preserve">XNF-C9083RW</t>
  </si>
  <si>
    <t xml:space="preserve">PNM-9022V</t>
  </si>
  <si>
    <t xml:space="preserve">4× 1/2.8" + 1× fisheye</t>
  </si>
  <si>
    <t xml:space="preserve">4× 2.8 mm + 1× 1.05 mm</t>
  </si>
  <si>
    <t xml:space="preserve">4 cabezas direccionales + panorámica 360°</t>
  </si>
  <si>
    <t xml:space="preserve">Ø 330 × 95 mm</t>
  </si>
  <si>
    <t xml:space="preserve">2.6 kg</t>
  </si>
  <si>
    <t xml:space="preserve">PNM-9020V</t>
  </si>
  <si>
    <t xml:space="preserve">PNM-9320VQP</t>
  </si>
  <si>
    <t xml:space="preserve">Cabezas desmontables con servos</t>
  </si>
  <si>
    <t xml:space="preserve">PNM-9322VQP</t>
  </si>
  <si>
    <t xml:space="preserve">PNM-C34404RQPZ</t>
  </si>
  <si>
    <t xml:space="preserve">Hanwha no ofrece cámara oculta; alternativa discreta: domos XND compactos</t>
  </si>
  <si>
    <t xml:space="preserve">XNT-6800 (384 × 288)</t>
  </si>
  <si>
    <t xml:space="preserve">Microbolómetro + CMOS</t>
  </si>
  <si>
    <t xml:space="preserve">Óptica fija</t>
  </si>
  <si>
    <t xml:space="preserve">Detección térmica 500 m</t>
  </si>
  <si>
    <t xml:space="preserve">Detección térmica + óptica superpuesta</t>
  </si>
  <si>
    <t xml:space="preserve">Ø 160 × 268 mm</t>
  </si>
  <si>
    <t xml:space="preserve">3.5 kg</t>
  </si>
  <si>
    <t xml:space="preserve">XNT-6800 (640 × 480)</t>
  </si>
  <si>
    <t xml:space="preserve">TNO-4040TLP</t>
  </si>
  <si>
    <t xml:space="preserve">Cámara térmica biespectral</t>
  </si>
  <si>
    <t xml:space="preserve">TNO-7180RLP</t>
  </si>
  <si>
    <t xml:space="preserve">TNO-C80D-TLP</t>
  </si>
  <si>
    <t xml:space="preserve">XNO-6083R (ANPR)</t>
  </si>
  <si>
    <t xml:space="preserve">IR 30 m — obturador rápido</t>
  </si>
  <si>
    <t xml:space="preserve">LPR vía licencia Wisenet WAVE</t>
  </si>
  <si>
    <t xml:space="preserve">XNO-L6083R (ANPR)</t>
  </si>
  <si>
    <t xml:space="preserve">XNO-C6083R (ANPR)</t>
  </si>
  <si>
    <t xml:space="preserve">Requiere licencia LPR del VMS</t>
  </si>
  <si>
    <t xml:space="preserve">PNM-C34404RQPZ (ANPR)</t>
  </si>
  <si>
    <t xml:space="preserve">2× 1/2.8" CMOS</t>
  </si>
  <si>
    <t xml:space="preserve">2× varifocal</t>
  </si>
  <si>
    <t xml:space="preserve">Multidireccional 180°</t>
  </si>
  <si>
    <t xml:space="preserve">IK10 / IP66</t>
  </si>
  <si>
    <t xml:space="preserve">Ø 156 × 92 mm</t>
  </si>
  <si>
    <t xml:space="preserve">Doble sensor direccionable</t>
  </si>
  <si>
    <t xml:space="preserve">PNM-C54404RQPZ</t>
  </si>
  <si>
    <t xml:space="preserve">XND-6081RV (WiseAI)</t>
  </si>
  <si>
    <t xml:space="preserve">WiseAI II — IA en el borde (personas/vehículos/matrículas)</t>
  </si>
  <si>
    <t xml:space="preserve">Ø 140 × 107 mm</t>
  </si>
  <si>
    <t xml:space="preserve">740 g</t>
  </si>
  <si>
    <t xml:space="preserve">XNV-L6083R (WiseAI)</t>
  </si>
  <si>
    <t xml:space="preserve">XNO-L6083R (WiseAI)</t>
  </si>
  <si>
    <t xml:space="preserve">Gama X con IA</t>
  </si>
  <si>
    <t xml:space="preserve">PNV-A6081R (WiseAI)</t>
  </si>
  <si>
    <t xml:space="preserve">PNV-A9081R (WiseAI)</t>
  </si>
  <si>
    <t xml:space="preserve">Wisenet WEM-1W</t>
  </si>
  <si>
    <t xml:space="preserve">Fija gran angular</t>
  </si>
  <si>
    <t xml:space="preserve">Detección de movimiento (app Wisenet)</t>
  </si>
  <si>
    <t xml:space="preserve">— (app Wisenet)</t>
  </si>
  <si>
    <t xml:space="preserve">microSD 128 GB</t>
  </si>
  <si>
    <t xml:space="preserve">WiFi 2.4 GHz</t>
  </si>
  <si>
    <t xml:space="preserve">Ø 100 × 100 mm</t>
  </si>
  <si>
    <t xml:space="preserve">200 g</t>
  </si>
  <si>
    <t xml:space="preserve">SNH-V6431BN SmartCam</t>
  </si>
  <si>
    <t xml:space="preserve">SNH-V6410PN SmartCam</t>
  </si>
  <si>
    <t xml:space="preserve">Línea descontinuada — verificar disponibilidad</t>
  </si>
  <si>
    <t xml:space="preserve">SNH-E6413BN SmartCam</t>
  </si>
  <si>
    <t xml:space="preserve">Wisenet X Plus WiFi</t>
  </si>
  <si>
    <t xml:space="preserve">H4A-D1</t>
  </si>
  <si>
    <t xml:space="preserve">Self-Learning Analytics</t>
  </si>
  <si>
    <t xml:space="preserve">H.265 (HDSM SmartCodec) / H.264</t>
  </si>
  <si>
    <t xml:space="preserve">Perfil S, T</t>
  </si>
  <si>
    <t xml:space="preserve">-40 °C a +50 °C</t>
  </si>
  <si>
    <t xml:space="preserve">Ø 158 × 109 mm</t>
  </si>
  <si>
    <t xml:space="preserve">UL, CE, FCC</t>
  </si>
  <si>
    <t xml:space="preserve">H5A-D1</t>
  </si>
  <si>
    <t xml:space="preserve">H5A-DZ</t>
  </si>
  <si>
    <t xml:space="preserve">Analíticas self-learning</t>
  </si>
  <si>
    <t xml:space="preserve">H6A-DP1</t>
  </si>
  <si>
    <t xml:space="preserve">H6X-D1</t>
  </si>
  <si>
    <t xml:space="preserve">H4A-DO1</t>
  </si>
  <si>
    <t xml:space="preserve">H5A-DO1-IR</t>
  </si>
  <si>
    <t xml:space="preserve">H5A-DOB1-IR</t>
  </si>
  <si>
    <t xml:space="preserve">Montaje antivandálico certificado</t>
  </si>
  <si>
    <t xml:space="preserve">H6A-DO1-IR</t>
  </si>
  <si>
    <t xml:space="preserve">H6X-DO1-IR</t>
  </si>
  <si>
    <t xml:space="preserve">H4A-B1</t>
  </si>
  <si>
    <t xml:space="preserve">82 × 89 × 244 mm</t>
  </si>
  <si>
    <t xml:space="preserve">1.3 kg</t>
  </si>
  <si>
    <t xml:space="preserve">H5A-B1</t>
  </si>
  <si>
    <t xml:space="preserve">H5A-BB1</t>
  </si>
  <si>
    <t xml:space="preserve">Bala profesional</t>
  </si>
  <si>
    <t xml:space="preserve">H6A-B1</t>
  </si>
  <si>
    <t xml:space="preserve">H6X-B1</t>
  </si>
  <si>
    <t xml:space="preserve">H4-PTZ</t>
  </si>
  <si>
    <t xml:space="preserve">IR 100 m</t>
  </si>
  <si>
    <t xml:space="preserve">Seguimiento automático + analíticas</t>
  </si>
  <si>
    <t xml:space="preserve">Ø 216 × 375 mm</t>
  </si>
  <si>
    <t xml:space="preserve">5.0 kg</t>
  </si>
  <si>
    <t xml:space="preserve">H5A-PTZ</t>
  </si>
  <si>
    <t xml:space="preserve">H5A-PTZ-A</t>
  </si>
  <si>
    <t xml:space="preserve">PTZ con IR integrada</t>
  </si>
  <si>
    <t xml:space="preserve">H5A-PTZ-AC</t>
  </si>
  <si>
    <t xml:space="preserve">H6A-PTZ-AC</t>
  </si>
  <si>
    <t xml:space="preserve">Avigilon no ofrece mini PTZ; ver H5A PTZ</t>
  </si>
  <si>
    <t xml:space="preserve">Sin cámara box en portafolio (líneas dome/bullet/PTZ/fisheye)</t>
  </si>
  <si>
    <t xml:space="preserve">H4-FE</t>
  </si>
  <si>
    <t xml:space="preserve">IR integrada 20 m</t>
  </si>
  <si>
    <t xml:space="preserve">Ø 168 × 68 mm</t>
  </si>
  <si>
    <t xml:space="preserve">H5A-FE</t>
  </si>
  <si>
    <t xml:space="preserve">H5A-FEB</t>
  </si>
  <si>
    <t xml:space="preserve">H6A-FE</t>
  </si>
  <si>
    <t xml:space="preserve">H6A-FEB</t>
  </si>
  <si>
    <t xml:space="preserve">H4-M2</t>
  </si>
  <si>
    <t xml:space="preserve">4× 1/2.8" CMOS</t>
  </si>
  <si>
    <t xml:space="preserve">4× lentes integradas</t>
  </si>
  <si>
    <t xml:space="preserve">Multidireccional 180° + analíticas</t>
  </si>
  <si>
    <t xml:space="preserve">220 × 220 × 95 mm</t>
  </si>
  <si>
    <t xml:space="preserve">H5A-M1</t>
  </si>
  <si>
    <t xml:space="preserve">H5A-M2</t>
  </si>
  <si>
    <t xml:space="preserve">4 sensores independientes</t>
  </si>
  <si>
    <t xml:space="preserve">H5A-M3</t>
  </si>
  <si>
    <t xml:space="preserve">H6A-M4</t>
  </si>
  <si>
    <t xml:space="preserve">Avigilon no fabrica cámaras ocultas</t>
  </si>
  <si>
    <t xml:space="preserve">H4-THR</t>
  </si>
  <si>
    <t xml:space="preserve">Microbolómetro + CMOS 4K</t>
  </si>
  <si>
    <t xml:space="preserve">Detección térmica 700 m</t>
  </si>
  <si>
    <t xml:space="preserve">Detección perimetral térmica + óptica superpuesta</t>
  </si>
  <si>
    <t xml:space="preserve">Ø 150 × 300 mm</t>
  </si>
  <si>
    <t xml:space="preserve">3.0 kg</t>
  </si>
  <si>
    <t xml:space="preserve">H5A-THR-DZ1</t>
  </si>
  <si>
    <t xml:space="preserve">H5A-THR-B1</t>
  </si>
  <si>
    <t xml:space="preserve">Térmica y óptica en un cuerpo</t>
  </si>
  <si>
    <t xml:space="preserve">H6A-THR-DZ1</t>
  </si>
  <si>
    <t xml:space="preserve">H6A-THR-B2</t>
  </si>
  <si>
    <t xml:space="preserve">H4-LPR</t>
  </si>
  <si>
    <t xml:space="preserve">Optimizada captura de matrículas</t>
  </si>
  <si>
    <t xml:space="preserve">ALPR integrado con Avigilon AI Center</t>
  </si>
  <si>
    <t xml:space="preserve">H5A-LPR-1</t>
  </si>
  <si>
    <t xml:space="preserve">H5A-LPR-2</t>
  </si>
  <si>
    <t xml:space="preserve">Requiere licencia AI Center</t>
  </si>
  <si>
    <t xml:space="preserve">H5A-LPR-3</t>
  </si>
  <si>
    <t xml:space="preserve">H6A-LPR-4</t>
  </si>
  <si>
    <t xml:space="preserve">Sin dual-lente; referencia multidireccional: H5A Multisensor</t>
  </si>
  <si>
    <t xml:space="preserve">Appearance Search + reconocimiento facial (IA)</t>
  </si>
  <si>
    <t xml:space="preserve">Ø 158 × 110 mm</t>
  </si>
  <si>
    <t xml:space="preserve">H6A-B2</t>
  </si>
  <si>
    <t xml:space="preserve">Gama H6A con IA avanzada</t>
  </si>
  <si>
    <t xml:space="preserve">H6X-B2</t>
  </si>
  <si>
    <t xml:space="preserve">Portafolio 100% PoE administrado en Avigilon Cloud / ACC</t>
  </si>
  <si>
    <t xml:space="preserve">IME219-1IS</t>
  </si>
  <si>
    <t xml:space="preserve">Día/Noche — IR 30 m</t>
  </si>
  <si>
    <t xml:space="preserve">Analíticas Sarix</t>
  </si>
  <si>
    <t xml:space="preserve">H.265 / H.264 (Smart Compression)</t>
  </si>
  <si>
    <t xml:space="preserve">-30 °C a +60 °C</t>
  </si>
  <si>
    <t xml:space="preserve">Ø 148 × 100 mm</t>
  </si>
  <si>
    <t xml:space="preserve">UL, CE, FCC, NEMA 4X</t>
  </si>
  <si>
    <t xml:space="preserve">IME319-1IS</t>
  </si>
  <si>
    <t xml:space="preserve">IME419-1IS</t>
  </si>
  <si>
    <t xml:space="preserve">Sarix Enhanced serie 3</t>
  </si>
  <si>
    <t xml:space="preserve">IME619-1IS</t>
  </si>
  <si>
    <t xml:space="preserve">IME819-1IS</t>
  </si>
  <si>
    <t xml:space="preserve">IME219-1IV</t>
  </si>
  <si>
    <t xml:space="preserve">720 g</t>
  </si>
  <si>
    <t xml:space="preserve">IME319-1IV</t>
  </si>
  <si>
    <t xml:space="preserve">IME419-1IV</t>
  </si>
  <si>
    <t xml:space="preserve">Domo antivandálico</t>
  </si>
  <si>
    <t xml:space="preserve">IME619-1IV</t>
  </si>
  <si>
    <t xml:space="preserve">IME819-1IV</t>
  </si>
  <si>
    <t xml:space="preserve">IBE219-1I</t>
  </si>
  <si>
    <t xml:space="preserve">250 × 92 × 92 mm</t>
  </si>
  <si>
    <t xml:space="preserve">IBE319-1I</t>
  </si>
  <si>
    <t xml:space="preserve">IBE419-1I</t>
  </si>
  <si>
    <t xml:space="preserve">Bala Sarix Enhanced</t>
  </si>
  <si>
    <t xml:space="preserve">IBE619-1I</t>
  </si>
  <si>
    <t xml:space="preserve">IBE819-1I</t>
  </si>
  <si>
    <t xml:space="preserve">S6130-L</t>
  </si>
  <si>
    <t xml:space="preserve">IR integrada</t>
  </si>
  <si>
    <t xml:space="preserve">Autotracking + guarda activa</t>
  </si>
  <si>
    <t xml:space="preserve">NEMA 4X</t>
  </si>
  <si>
    <t xml:space="preserve">Ø 237 × 297 mm</t>
  </si>
  <si>
    <t xml:space="preserve">4.5 kg</t>
  </si>
  <si>
    <t xml:space="preserve">S6230-L</t>
  </si>
  <si>
    <t xml:space="preserve">S6330-L</t>
  </si>
  <si>
    <t xml:space="preserve">Domo de velocidad Spectra 7</t>
  </si>
  <si>
    <t xml:space="preserve">S6430-L</t>
  </si>
  <si>
    <t xml:space="preserve">S6C-L</t>
  </si>
  <si>
    <t xml:space="preserve">Spectra Mini IP MS</t>
  </si>
  <si>
    <t xml:space="preserve">Ø 160 × 122 mm</t>
  </si>
  <si>
    <t xml:space="preserve">Spectra Mini IP IR</t>
  </si>
  <si>
    <t xml:space="preserve">Spectra Mini IP IR LED</t>
  </si>
  <si>
    <t xml:space="preserve">Mini PTZ empotrable</t>
  </si>
  <si>
    <t xml:space="preserve">Spectra Mini IP 2MP IR</t>
  </si>
  <si>
    <t xml:space="preserve">Spectra Enhanced Mini</t>
  </si>
  <si>
    <t xml:space="preserve">Sin cámara box en portafolio actual; referencia histórica: Sarix IXE</t>
  </si>
  <si>
    <t xml:space="preserve">IFE109</t>
  </si>
  <si>
    <t xml:space="preserve">1/2.5" CMOS</t>
  </si>
  <si>
    <t xml:space="preserve">Ø 150 × 55 mm</t>
  </si>
  <si>
    <t xml:space="preserve">IFE209</t>
  </si>
  <si>
    <t xml:space="preserve">IFE309</t>
  </si>
  <si>
    <t xml:space="preserve">Fisheye Evolution 360</t>
  </si>
  <si>
    <t xml:space="preserve">IFE409</t>
  </si>
  <si>
    <t xml:space="preserve">IFE509</t>
  </si>
  <si>
    <t xml:space="preserve">IME219-4MS</t>
  </si>
  <si>
    <t xml:space="preserve">3× CMOS</t>
  </si>
  <si>
    <t xml:space="preserve">3× lentes integradas</t>
  </si>
  <si>
    <t xml:space="preserve">Panorámica 180° cosida sin distorsión</t>
  </si>
  <si>
    <t xml:space="preserve">420 × 90 × 95 mm</t>
  </si>
  <si>
    <t xml:space="preserve">IME319-4MS</t>
  </si>
  <si>
    <t xml:space="preserve">IME419-4MS</t>
  </si>
  <si>
    <t xml:space="preserve">Cámara multidireccional Optera</t>
  </si>
  <si>
    <t xml:space="preserve">IME619-4MS</t>
  </si>
  <si>
    <t xml:space="preserve">IME819-4MS</t>
  </si>
  <si>
    <t xml:space="preserve">Pelco no fabrica cámaras ocultas</t>
  </si>
  <si>
    <t xml:space="preserve">Sarix ITS-100</t>
  </si>
  <si>
    <t xml:space="preserve">Detección térmica 300 m</t>
  </si>
  <si>
    <t xml:space="preserve">Analíticas térmicas perimetrales</t>
  </si>
  <si>
    <t xml:space="preserve">120 × 110 × 250 mm</t>
  </si>
  <si>
    <t xml:space="preserve">1.8 kg</t>
  </si>
  <si>
    <t xml:space="preserve">Sarix ITS-200</t>
  </si>
  <si>
    <t xml:space="preserve">Sarix ITS-400</t>
  </si>
  <si>
    <t xml:space="preserve">Línea térmica Sarix Enhanced</t>
  </si>
  <si>
    <t xml:space="preserve">ExSite Enhanced Thermal</t>
  </si>
  <si>
    <t xml:space="preserve">Sarix Thermal 640</t>
  </si>
  <si>
    <t xml:space="preserve">ANPR vía integraciones con VMS (VideoManager/terceros)</t>
  </si>
  <si>
    <t xml:space="preserve">Sin dual-lente; referencia: Optera (multisensor)</t>
  </si>
  <si>
    <t xml:space="preserve">IME619 (Sarix 4)</t>
  </si>
  <si>
    <t xml:space="preserve">IA Sarix (intrusión, cruce de línea, objetos abandonados)</t>
  </si>
  <si>
    <t xml:space="preserve">IME819 (Sarix 4)</t>
  </si>
  <si>
    <t xml:space="preserve">IBE819 (Sarix 4)</t>
  </si>
  <si>
    <t xml:space="preserve">Analíticas avanzadas en el borde</t>
  </si>
  <si>
    <t xml:space="preserve">S6C-L (Sarix 4)</t>
  </si>
  <si>
    <t xml:space="preserve">IFE509 (Sarix 4)</t>
  </si>
  <si>
    <t xml:space="preserve">Portafolio profesional PoE; sin línea consumer WiFi</t>
  </si>
  <si>
    <t xml:space="preserve">HBD6PR1</t>
  </si>
  <si>
    <t xml:space="preserve">Analíticas Performance Series</t>
  </si>
  <si>
    <t xml:space="preserve">H.265+ / H.264+</t>
  </si>
  <si>
    <t xml:space="preserve">Ø 140 × 105 mm</t>
  </si>
  <si>
    <t xml:space="preserve">HBD8PR3</t>
  </si>
  <si>
    <t xml:space="preserve">H2W2PRV2</t>
  </si>
  <si>
    <t xml:space="preserve">Línea Performance equIP</t>
  </si>
  <si>
    <t xml:space="preserve">H2W4PER3</t>
  </si>
  <si>
    <t xml:space="preserve">H4D10PRV</t>
  </si>
  <si>
    <t xml:space="preserve">HBD2PRV1</t>
  </si>
  <si>
    <t xml:space="preserve">Analíticas básicas</t>
  </si>
  <si>
    <t xml:space="preserve">Ø 128 × 95 mm</t>
  </si>
  <si>
    <t xml:space="preserve">HBD6PRV3</t>
  </si>
  <si>
    <t xml:space="preserve">Serie 30 económica</t>
  </si>
  <si>
    <t xml:space="preserve">H2W4PRV3</t>
  </si>
  <si>
    <t xml:space="preserve">HC30W45R3</t>
  </si>
  <si>
    <t xml:space="preserve">80 × 80 × 230 mm</t>
  </si>
  <si>
    <t xml:space="preserve">HC50W45R3</t>
  </si>
  <si>
    <t xml:space="preserve">H4W8PER3</t>
  </si>
  <si>
    <t xml:space="preserve">H4W10PERV</t>
  </si>
  <si>
    <t xml:space="preserve">H2S-PTZ</t>
  </si>
  <si>
    <t xml:space="preserve">40 W máx</t>
  </si>
  <si>
    <t xml:space="preserve">Ø 230 × 300 mm</t>
  </si>
  <si>
    <t xml:space="preserve">4.0 kg</t>
  </si>
  <si>
    <t xml:space="preserve">H4S-PTZ</t>
  </si>
  <si>
    <t xml:space="preserve">H6S-PTZ</t>
  </si>
  <si>
    <t xml:space="preserve">Verificar código con distribuidor autorizado</t>
  </si>
  <si>
    <t xml:space="preserve">H8S-PTZ</t>
  </si>
  <si>
    <t xml:space="preserve">H10S-PTZ</t>
  </si>
  <si>
    <t xml:space="preserve">Sin mini PTZ en portafolio actual</t>
  </si>
  <si>
    <t xml:space="preserve">HC30WB5R3</t>
  </si>
  <si>
    <t xml:space="preserve">70 × 76 × 195 mm</t>
  </si>
  <si>
    <t xml:space="preserve">HC50WB5R3</t>
  </si>
  <si>
    <t xml:space="preserve">H2D3PRV</t>
  </si>
  <si>
    <t xml:space="preserve">H4D8PRV</t>
  </si>
  <si>
    <t xml:space="preserve">Sin fisheye en línea CCTV actual; consultar con distribuidor</t>
  </si>
  <si>
    <t xml:space="preserve">Sin multisensor en portafolio actual</t>
  </si>
  <si>
    <t xml:space="preserve">Honeywell no fabrica cámaras ocultas</t>
  </si>
  <si>
    <t xml:space="preserve">Honeywell ofrece cribado térmico corporativo (Temperature Screening), no cámara térmica CCTV estándar</t>
  </si>
  <si>
    <t xml:space="preserve">ANPR vía integraciones con MAXPRO VMS</t>
  </si>
  <si>
    <t xml:space="preserve">Sin dual-lente en portafolio actual</t>
  </si>
  <si>
    <t xml:space="preserve">Analíticas IA vía MAXPRO VMS (intrusión, objetos, colas)</t>
  </si>
  <si>
    <t xml:space="preserve">H8W8PER3</t>
  </si>
  <si>
    <t xml:space="preserve">Analíticas avanzadas requieren VMS</t>
  </si>
  <si>
    <t xml:space="preserve">H8D10PRV</t>
  </si>
  <si>
    <t xml:space="preserve">H10D12PRV</t>
  </si>
  <si>
    <t xml:space="preserve">Resideo C1 WI</t>
  </si>
  <si>
    <t xml:space="preserve">Gran angular 145°</t>
  </si>
  <si>
    <t xml:space="preserve">Detección de personas/movimiento (app Lyric)</t>
  </si>
  <si>
    <t xml:space="preserve">— (app Lyric)</t>
  </si>
  <si>
    <t xml:space="preserve">No — almacenamiento en la nube</t>
  </si>
  <si>
    <t xml:space="preserve">Ø 68 × 68 mm</t>
  </si>
  <si>
    <t xml:space="preserve">180 g</t>
  </si>
  <si>
    <t xml:space="preserve">Resideo C2 WI</t>
  </si>
  <si>
    <t xml:space="preserve">Resideo VistaCam 700</t>
  </si>
  <si>
    <t xml:space="preserve">Ecosistema Honeywell Home</t>
  </si>
  <si>
    <t xml:space="preserve">VistaCam 1200</t>
  </si>
  <si>
    <t xml:space="preserve">VistaCam 360</t>
  </si>
  <si>
    <t xml:space="preserve">D16B</t>
  </si>
  <si>
    <t xml:space="preserve">B237 panorámica 180°</t>
  </si>
  <si>
    <t xml:space="preserve">Vista 180° dewarped + MxActivitySensor</t>
  </si>
  <si>
    <t xml:space="preserve">MxPEG + H.264/H.265</t>
  </si>
  <si>
    <t xml:space="preserve">Perfil S (MxPEG nativo)</t>
  </si>
  <si>
    <t xml:space="preserve">Micrófono/altavoz integrado (MxAudio)</t>
  </si>
  <si>
    <t xml:space="preserve">Señal integrada (MxBell)</t>
  </si>
  <si>
    <t xml:space="preserve">microSD 256 GB integrada</t>
  </si>
  <si>
    <t xml:space="preserve">Interior (techo)</t>
  </si>
  <si>
    <t xml:space="preserve">Ø 156 × 36 mm</t>
  </si>
  <si>
    <t xml:space="preserve">300 g</t>
  </si>
  <si>
    <t xml:space="preserve">CE, FCC, IK09/IK10</t>
  </si>
  <si>
    <t xml:space="preserve">D16M</t>
  </si>
  <si>
    <t xml:space="preserve">D73B</t>
  </si>
  <si>
    <t xml:space="preserve">Panorámica 180° empotrable</t>
  </si>
  <si>
    <t xml:space="preserve">D73M</t>
  </si>
  <si>
    <t xml:space="preserve">P26M</t>
  </si>
  <si>
    <t xml:space="preserve">P25M</t>
  </si>
  <si>
    <t xml:space="preserve">L23 fija — 360°</t>
  </si>
  <si>
    <t xml:space="preserve">Hemisférica reforzada + MxActivitySensor</t>
  </si>
  <si>
    <t xml:space="preserve">Ø 156 × 45 mm</t>
  </si>
  <si>
    <t xml:space="preserve">350 g</t>
  </si>
  <si>
    <t xml:space="preserve">P26B</t>
  </si>
  <si>
    <t xml:space="preserve">Hemisférica antivandálica</t>
  </si>
  <si>
    <t xml:space="preserve">M16B</t>
  </si>
  <si>
    <t xml:space="preserve">2× 1/1.8" CMOS</t>
  </si>
  <si>
    <t xml:space="preserve">2× módulos con lente intercambiable</t>
  </si>
  <si>
    <t xml:space="preserve">Según módulo (IR externa)</t>
  </si>
  <si>
    <t xml:space="preserve">AllRoundDual + MxActivitySensor</t>
  </si>
  <si>
    <t xml:space="preserve">Ø 148 × 44 mm</t>
  </si>
  <si>
    <t xml:space="preserve">450 g</t>
  </si>
  <si>
    <t xml:space="preserve">M16M</t>
  </si>
  <si>
    <t xml:space="preserve">M16M-IR</t>
  </si>
  <si>
    <t xml:space="preserve">Doble sensor con módulos intercambiables</t>
  </si>
  <si>
    <t xml:space="preserve">M73B</t>
  </si>
  <si>
    <t xml:space="preserve">M73M</t>
  </si>
  <si>
    <t xml:space="preserve">S16B</t>
  </si>
  <si>
    <t xml:space="preserve">Zoom óptico motorizado</t>
  </si>
  <si>
    <t xml:space="preserve">Ø 180 × 290 mm</t>
  </si>
  <si>
    <t xml:space="preserve">S16M</t>
  </si>
  <si>
    <t xml:space="preserve">S74B</t>
  </si>
  <si>
    <t xml:space="preserve">Línea MOVE motorizada</t>
  </si>
  <si>
    <t xml:space="preserve">S74M</t>
  </si>
  <si>
    <t xml:space="preserve">M16B (PTZ virtual)</t>
  </si>
  <si>
    <t xml:space="preserve">Sin mini PTZ; ver línea MOVE PTZ</t>
  </si>
  <si>
    <t xml:space="preserve">M15B</t>
  </si>
  <si>
    <t xml:space="preserve">2× CMOS</t>
  </si>
  <si>
    <t xml:space="preserve">Módulos con lente intercambiable</t>
  </si>
  <si>
    <t xml:space="preserve">Según módulo</t>
  </si>
  <si>
    <t xml:space="preserve">Módulos separables hasta 3 m (incluye pinhole)</t>
  </si>
  <si>
    <t xml:space="preserve">Interior (módulos IP66)</t>
  </si>
  <si>
    <t xml:space="preserve">62 × 62 × 40 mm</t>
  </si>
  <si>
    <t xml:space="preserve">250 g</t>
  </si>
  <si>
    <t xml:space="preserve">M15M</t>
  </si>
  <si>
    <t xml:space="preserve">M15B-IR</t>
  </si>
  <si>
    <t xml:space="preserve">Módulos duales flexibles</t>
  </si>
  <si>
    <t xml:space="preserve">M15M-IR</t>
  </si>
  <si>
    <t xml:space="preserve">S16M (módulos C/CS)</t>
  </si>
  <si>
    <t xml:space="preserve">Q24M</t>
  </si>
  <si>
    <t xml:space="preserve">Hemisférica interior + MxActivitySensor</t>
  </si>
  <si>
    <t xml:space="preserve">Q25M</t>
  </si>
  <si>
    <t xml:space="preserve">Q26B</t>
  </si>
  <si>
    <t xml:space="preserve">Hemisférica discreta</t>
  </si>
  <si>
    <t xml:space="preserve">Q26M</t>
  </si>
  <si>
    <t xml:space="preserve">Q38B</t>
  </si>
  <si>
    <t xml:space="preserve">M16B (2 módulos)</t>
  </si>
  <si>
    <t xml:space="preserve">L43 panorámica 180°</t>
  </si>
  <si>
    <t xml:space="preserve">Panorámica 180° sin distorsión</t>
  </si>
  <si>
    <t xml:space="preserve">M16M (2 módulos)</t>
  </si>
  <si>
    <t xml:space="preserve">S16B (2 módulos)</t>
  </si>
  <si>
    <t xml:space="preserve">Panorámica empotrable</t>
  </si>
  <si>
    <t xml:space="preserve">S16M (2 módulos)</t>
  </si>
  <si>
    <t xml:space="preserve">S74M (4 módulos)</t>
  </si>
  <si>
    <t xml:space="preserve">MOBOTIX ofrece módulos pinhole vía S16; no cámara pinhole dedicada</t>
  </si>
  <si>
    <t xml:space="preserve">M16B-T</t>
  </si>
  <si>
    <t xml:space="preserve">Dual (térmica + óptica)</t>
  </si>
  <si>
    <t xml:space="preserve">Detección térmica 400 m</t>
  </si>
  <si>
    <t xml:space="preserve">MxActivitySensor térmico perimetral</t>
  </si>
  <si>
    <t xml:space="preserve">M16M-T</t>
  </si>
  <si>
    <t xml:space="preserve">M73B-T</t>
  </si>
  <si>
    <t xml:space="preserve">Detección perimetral térmica</t>
  </si>
  <si>
    <t xml:space="preserve">M73M-T</t>
  </si>
  <si>
    <t xml:space="preserve">S16M-T</t>
  </si>
  <si>
    <t xml:space="preserve">Lectura de matrículas vía MOBOTIX MOVE + software de terceros</t>
  </si>
  <si>
    <t xml:space="preserve">D15Di</t>
  </si>
  <si>
    <t xml:space="preserve">Multidireccional doble + MxActivitySensor</t>
  </si>
  <si>
    <t xml:space="preserve">2× Ø 148 mm</t>
  </si>
  <si>
    <t xml:space="preserve">Dos hemisféricas en un cuerpo</t>
  </si>
  <si>
    <t xml:space="preserve">D73B (MxAnalytics)</t>
  </si>
  <si>
    <t xml:space="preserve">Módulos intercambiables</t>
  </si>
  <si>
    <t xml:space="preserve">MxActivitySensor 2.0 (IA perimetral en el borde)</t>
  </si>
  <si>
    <t xml:space="preserve">D73M (MxAnalytics)</t>
  </si>
  <si>
    <t xml:space="preserve">M73B (MxAnalytics)</t>
  </si>
  <si>
    <t xml:space="preserve">Serie 7 con IA</t>
  </si>
  <si>
    <t xml:space="preserve">M73M (MxAnalytics)</t>
  </si>
  <si>
    <t xml:space="preserve">Q38M (MxAnalytics)</t>
  </si>
  <si>
    <t xml:space="preserve">MOBOTIX no comercializa cámaras WiFi consumer</t>
  </si>
  <si>
    <t xml:space="preserve">FD9367-EHTV</t>
  </si>
  <si>
    <t xml:space="preserve">2.8 mm fijo (4 mm opcional)</t>
  </si>
  <si>
    <t xml:space="preserve">Smart Stream II + analíticas</t>
  </si>
  <si>
    <t xml:space="preserve">H.265 (Smart Stream) / H.264</t>
  </si>
  <si>
    <t xml:space="preserve">-20 °C a +50 °C</t>
  </si>
  <si>
    <t xml:space="preserve">Ø 138 × 102 mm</t>
  </si>
  <si>
    <t xml:space="preserve">680 g</t>
  </si>
  <si>
    <t xml:space="preserve">FD9371-HTV</t>
  </si>
  <si>
    <t xml:space="preserve">FD9380-HV</t>
  </si>
  <si>
    <t xml:space="preserve">Serie FD profesional</t>
  </si>
  <si>
    <t xml:space="preserve">FD9381-HTV</t>
  </si>
  <si>
    <t xml:space="preserve">FD9391-EHTV</t>
  </si>
  <si>
    <t xml:space="preserve">Smart Stream II</t>
  </si>
  <si>
    <t xml:space="preserve">FD9365-EHTV</t>
  </si>
  <si>
    <t xml:space="preserve">Variante con calefactor</t>
  </si>
  <si>
    <t xml:space="preserve">FD9380-ETV</t>
  </si>
  <si>
    <t xml:space="preserve">FD9390-EHTV</t>
  </si>
  <si>
    <t xml:space="preserve">IB9380-H</t>
  </si>
  <si>
    <t xml:space="preserve">80 × 78 × 200 mm</t>
  </si>
  <si>
    <t xml:space="preserve">IB9381-HT</t>
  </si>
  <si>
    <t xml:space="preserve">IB9365-EHT</t>
  </si>
  <si>
    <t xml:space="preserve">Bala IR profesional</t>
  </si>
  <si>
    <t xml:space="preserve">IB9391-EHT</t>
  </si>
  <si>
    <t xml:space="preserve">IB9390-EHT</t>
  </si>
  <si>
    <t xml:space="preserve">SD9161-H</t>
  </si>
  <si>
    <t xml:space="preserve">IR 250 m</t>
  </si>
  <si>
    <t xml:space="preserve">Ø 220 × 348 mm</t>
  </si>
  <si>
    <t xml:space="preserve">SD9364-X</t>
  </si>
  <si>
    <t xml:space="preserve">SD9364-RL X</t>
  </si>
  <si>
    <t xml:space="preserve">Speed dome 30×</t>
  </si>
  <si>
    <t xml:space="preserve">SD9366-RL X</t>
  </si>
  <si>
    <t xml:space="preserve">SD9424-T</t>
  </si>
  <si>
    <t xml:space="preserve">SD9361-SS</t>
  </si>
  <si>
    <t xml:space="preserve">10× zoom óptico</t>
  </si>
  <si>
    <t xml:space="preserve">15 W máx</t>
  </si>
  <si>
    <t xml:space="preserve">Ø 122 × 110 mm</t>
  </si>
  <si>
    <t xml:space="preserve">SD9362-EH</t>
  </si>
  <si>
    <t xml:space="preserve">SD9363-EH</t>
  </si>
  <si>
    <t xml:space="preserve">Mini PTZ compacto</t>
  </si>
  <si>
    <t xml:space="preserve">SD9362-EHT</t>
  </si>
  <si>
    <t xml:space="preserve">SD9363-EHT</t>
  </si>
  <si>
    <t xml:space="preserve">IB8369A</t>
  </si>
  <si>
    <t xml:space="preserve">Analíticas VADP</t>
  </si>
  <si>
    <t xml:space="preserve">78 × 61 × 188 mm</t>
  </si>
  <si>
    <t xml:space="preserve">IB9360-HT</t>
  </si>
  <si>
    <t xml:space="preserve">IP9160-HT</t>
  </si>
  <si>
    <t xml:space="preserve">Box 4K</t>
  </si>
  <si>
    <t xml:space="preserve">IP9171-HP</t>
  </si>
  <si>
    <t xml:space="preserve">IP9191-HP</t>
  </si>
  <si>
    <t xml:space="preserve">FE9180-H</t>
  </si>
  <si>
    <t xml:space="preserve">Ø 158 × 50 mm</t>
  </si>
  <si>
    <t xml:space="preserve">620 g</t>
  </si>
  <si>
    <t xml:space="preserve">FE9181-HT</t>
  </si>
  <si>
    <t xml:space="preserve">FE9380-HV</t>
  </si>
  <si>
    <t xml:space="preserve">FE9381-HTV</t>
  </si>
  <si>
    <t xml:space="preserve">FE9391-EHV</t>
  </si>
  <si>
    <t xml:space="preserve">MS8391-EV</t>
  </si>
  <si>
    <t xml:space="preserve">4× CMOS</t>
  </si>
  <si>
    <t xml:space="preserve">330 × 130 × 100 mm</t>
  </si>
  <si>
    <t xml:space="preserve">2.0 kg</t>
  </si>
  <si>
    <t xml:space="preserve">MS9381-HV</t>
  </si>
  <si>
    <t xml:space="preserve">MS9390-HV</t>
  </si>
  <si>
    <t xml:space="preserve">Multisensor panorámico</t>
  </si>
  <si>
    <t xml:space="preserve">MS9390-HVT</t>
  </si>
  <si>
    <t xml:space="preserve">MS9390-EHVT</t>
  </si>
  <si>
    <t xml:space="preserve">Vivotek no fabrica cámaras ocultas</t>
  </si>
  <si>
    <t xml:space="preserve">ST8213</t>
  </si>
  <si>
    <t xml:space="preserve">Detección térmica + Smart VCA</t>
  </si>
  <si>
    <t xml:space="preserve">Ø 120 × 260 mm</t>
  </si>
  <si>
    <t xml:space="preserve">1.5 kg</t>
  </si>
  <si>
    <t xml:space="preserve">ST8213-ER</t>
  </si>
  <si>
    <t xml:space="preserve">ST8211</t>
  </si>
  <si>
    <t xml:space="preserve">Térmica para niebla y oscuridad</t>
  </si>
  <si>
    <t xml:space="preserve">ST8215</t>
  </si>
  <si>
    <t xml:space="preserve">ST8313W</t>
  </si>
  <si>
    <t xml:space="preserve">IP9171-HP (LPR)</t>
  </si>
  <si>
    <t xml:space="preserve">Optimizada matrículas</t>
  </si>
  <si>
    <t xml:space="preserve">LPR vía app VADP (partners)</t>
  </si>
  <si>
    <t xml:space="preserve">85 × 79 × 230 mm</t>
  </si>
  <si>
    <t xml:space="preserve">IP9191-HP (LPR)</t>
  </si>
  <si>
    <t xml:space="preserve">IB9360-HT (LPR)</t>
  </si>
  <si>
    <t xml:space="preserve">Requiere licencia VADP de terceros</t>
  </si>
  <si>
    <t xml:space="preserve">IP9160-HT (LPR)</t>
  </si>
  <si>
    <t xml:space="preserve">SD9364-X (LPR)</t>
  </si>
  <si>
    <t xml:space="preserve">Sin dual-lente; referencia: MS9390-H (multisensor)</t>
  </si>
  <si>
    <t xml:space="preserve">FD9381-HTV (VADP)</t>
  </si>
  <si>
    <t xml:space="preserve">Smart VCA III — IA en el borde (personas/vehículos)</t>
  </si>
  <si>
    <t xml:space="preserve">IB9381-HT (VADP)</t>
  </si>
  <si>
    <t xml:space="preserve">SD9364-X (VADP)</t>
  </si>
  <si>
    <t xml:space="preserve">Analíticas deep learning</t>
  </si>
  <si>
    <t xml:space="preserve">FE9391-EHV (VADP)</t>
  </si>
  <si>
    <t xml:space="preserve">IP9191-HP (VADP)</t>
  </si>
  <si>
    <t xml:space="preserve">Vivotek se enfoca en cámaras PoE profesionales</t>
  </si>
  <si>
    <t xml:space="preserve">DC-D3612R</t>
  </si>
  <si>
    <t xml:space="preserve">1/3" CMOS</t>
  </si>
  <si>
    <t xml:space="preserve">Analíticas IDIS Intelligent Video</t>
  </si>
  <si>
    <t xml:space="preserve">H.265 (Smart Codec) / H.264</t>
  </si>
  <si>
    <t xml:space="preserve">Ø 122 × 92 mm</t>
  </si>
  <si>
    <t xml:space="preserve">520 g</t>
  </si>
  <si>
    <t xml:space="preserve">DC-D4612R</t>
  </si>
  <si>
    <t xml:space="preserve">DC-D4612RX</t>
  </si>
  <si>
    <t xml:space="preserve">Plug-and-play con NVR IDIS</t>
  </si>
  <si>
    <t xml:space="preserve">DC-D4613RX</t>
  </si>
  <si>
    <t xml:space="preserve">DC-D8613R</t>
  </si>
  <si>
    <t xml:space="preserve">DC-D3612RX</t>
  </si>
  <si>
    <t xml:space="preserve">Analíticas IDIS</t>
  </si>
  <si>
    <t xml:space="preserve">540 g</t>
  </si>
  <si>
    <t xml:space="preserve">Domo antivandálico IK10</t>
  </si>
  <si>
    <t xml:space="preserve">DC-D8613RX</t>
  </si>
  <si>
    <t xml:space="preserve">DC-D8623RX</t>
  </si>
  <si>
    <t xml:space="preserve">DC-T3612R</t>
  </si>
  <si>
    <t xml:space="preserve">70 × 70 × 190 mm</t>
  </si>
  <si>
    <t xml:space="preserve">550 g</t>
  </si>
  <si>
    <t xml:space="preserve">DC-T4612R</t>
  </si>
  <si>
    <t xml:space="preserve">DC-T4613RX</t>
  </si>
  <si>
    <t xml:space="preserve">Bala IR</t>
  </si>
  <si>
    <t xml:space="preserve">DC-T8613RX</t>
  </si>
  <si>
    <t xml:space="preserve">DC-T8623R</t>
  </si>
  <si>
    <t xml:space="preserve">DC-Y3612R</t>
  </si>
  <si>
    <t xml:space="preserve">Ø 220 × 370 mm</t>
  </si>
  <si>
    <t xml:space="preserve">DC-Y4613R</t>
  </si>
  <si>
    <t xml:space="preserve">DC-Y8113R</t>
  </si>
  <si>
    <t xml:space="preserve">PTZ 4K 32×</t>
  </si>
  <si>
    <t xml:space="preserve">DC-Y8613R</t>
  </si>
  <si>
    <t xml:space="preserve">DC-Y8623R</t>
  </si>
  <si>
    <t xml:space="preserve">Sin mini PTZ; ver DC-Y8T32R</t>
  </si>
  <si>
    <t xml:space="preserve">Sin cámara box en portafolio actual</t>
  </si>
  <si>
    <t xml:space="preserve">DC-N3612R</t>
  </si>
  <si>
    <t xml:space="preserve">IR 10 m</t>
  </si>
  <si>
    <t xml:space="preserve">Ø 110 × 46 mm</t>
  </si>
  <si>
    <t xml:space="preserve">DC-N4612R</t>
  </si>
  <si>
    <t xml:space="preserve">DC-N8612R</t>
  </si>
  <si>
    <t xml:space="preserve">Fisheye 360° interior</t>
  </si>
  <si>
    <t xml:space="preserve">DC-N8613R</t>
  </si>
  <si>
    <t xml:space="preserve">DC-N8623R</t>
  </si>
  <si>
    <t xml:space="preserve">Sin multisensor; referencia: combinación de domos con NVR IDIS</t>
  </si>
  <si>
    <t xml:space="preserve">IDIS no fabrica cámaras ocultas</t>
  </si>
  <si>
    <t xml:space="preserve">Sin térmicas en portafolio actual</t>
  </si>
  <si>
    <t xml:space="preserve">DC-T3612R (LPR)</t>
  </si>
  <si>
    <t xml:space="preserve">LPR vía IDIS SolutionSuite</t>
  </si>
  <si>
    <t xml:space="preserve">DC-T4612R (LPR)</t>
  </si>
  <si>
    <t xml:space="preserve">DC-T4613RX (LPR)</t>
  </si>
  <si>
    <t xml:space="preserve">Requiere licencia LPR</t>
  </si>
  <si>
    <t xml:space="preserve">DC-T8613RX (LPR)</t>
  </si>
  <si>
    <t xml:space="preserve">DC-T8623R (LPR)</t>
  </si>
  <si>
    <t xml:space="preserve">DC-D4613RX (IA)</t>
  </si>
  <si>
    <t xml:space="preserve">IA en el borde (personas/vehículos)</t>
  </si>
  <si>
    <t xml:space="preserve">DC-T4613RX (IA)</t>
  </si>
  <si>
    <t xml:space="preserve">DC-Y8113R (IA)</t>
  </si>
  <si>
    <t xml:space="preserve">Serie IA IDIS</t>
  </si>
  <si>
    <t xml:space="preserve">DC-N8613R (IA)</t>
  </si>
  <si>
    <t xml:space="preserve">DC-D8623RX (IA)</t>
  </si>
  <si>
    <t xml:space="preserve">IDIS se enfoca en soluciones PoE profesionales</t>
  </si>
  <si>
    <t xml:space="preserve">CD41</t>
  </si>
  <si>
    <t xml:space="preserve">2.8–8 mm varifocal</t>
  </si>
  <si>
    <t xml:space="preserve">Analíticas en Command (IA en nube)</t>
  </si>
  <si>
    <t xml:space="preserve">H.265 (nube)</t>
  </si>
  <si>
    <t xml:space="preserve">No (ecosistema cerrado)</t>
  </si>
  <si>
    <t xml:space="preserve">Micrófono integrado (opción)</t>
  </si>
  <si>
    <t xml:space="preserve">— (gestión en nube)</t>
  </si>
  <si>
    <t xml:space="preserve">No — nube + buffer local</t>
  </si>
  <si>
    <t xml:space="preserve">UL, CE, FCC, IK10</t>
  </si>
  <si>
    <t xml:space="preserve">CD42</t>
  </si>
  <si>
    <t xml:space="preserve">CD43</t>
  </si>
  <si>
    <t xml:space="preserve">Requiere licencia de nube Verkada</t>
  </si>
  <si>
    <t xml:space="preserve">CD52</t>
  </si>
  <si>
    <t xml:space="preserve">CD62</t>
  </si>
  <si>
    <t xml:space="preserve">CD42-E</t>
  </si>
  <si>
    <t xml:space="preserve">Varifocal motorizada</t>
  </si>
  <si>
    <t xml:space="preserve">Analíticas Command</t>
  </si>
  <si>
    <t xml:space="preserve">CD43-E</t>
  </si>
  <si>
    <t xml:space="preserve">CD52-E</t>
  </si>
  <si>
    <t xml:space="preserve">Domo 4K exterior</t>
  </si>
  <si>
    <t xml:space="preserve">CD62-E</t>
  </si>
  <si>
    <t xml:space="preserve">CD63-E</t>
  </si>
  <si>
    <t xml:space="preserve">CB41</t>
  </si>
  <si>
    <t xml:space="preserve">8 mm fijo (tele)</t>
  </si>
  <si>
    <t xml:space="preserve">Analíticas Command + LPR opcional</t>
  </si>
  <si>
    <t xml:space="preserve">82 × 82 × 200 mm</t>
  </si>
  <si>
    <t xml:space="preserve">CB51</t>
  </si>
  <si>
    <t xml:space="preserve">CB52</t>
  </si>
  <si>
    <t xml:space="preserve">Alcance tele; requiere licencia</t>
  </si>
  <si>
    <t xml:space="preserve">CB61</t>
  </si>
  <si>
    <t xml:space="preserve">CB62</t>
  </si>
  <si>
    <t xml:space="preserve">Sin PTZ; el seguimiento se cubre con cámaras fijas + IA de Command</t>
  </si>
  <si>
    <t xml:space="preserve">Sin mini PTZ en portafolio</t>
  </si>
  <si>
    <t xml:space="preserve">Sin cámara box en portafolio</t>
  </si>
  <si>
    <t xml:space="preserve">CF41-E</t>
  </si>
  <si>
    <t xml:space="preserve">Panorámica dewarped + analíticas Command</t>
  </si>
  <si>
    <t xml:space="preserve">Ø 150 × 52 mm</t>
  </si>
  <si>
    <t xml:space="preserve">CF61-E</t>
  </si>
  <si>
    <t xml:space="preserve">CF71-E</t>
  </si>
  <si>
    <t xml:space="preserve">Fisheye 360° en la nube</t>
  </si>
  <si>
    <t xml:space="preserve">CF81</t>
  </si>
  <si>
    <t xml:space="preserve">CF81-E</t>
  </si>
  <si>
    <t xml:space="preserve">Sin multisensor en portafolio</t>
  </si>
  <si>
    <t xml:space="preserve">Verkada no fabrica cámaras ocultas</t>
  </si>
  <si>
    <t xml:space="preserve">Sin cámaras térmicas en portafolio</t>
  </si>
  <si>
    <t xml:space="preserve">CD62-LPR</t>
  </si>
  <si>
    <t xml:space="preserve">LPR incluido en plataforma Command</t>
  </si>
  <si>
    <t xml:space="preserve">CD62-LPR-E</t>
  </si>
  <si>
    <t xml:space="preserve">CB62-LPR</t>
  </si>
  <si>
    <t xml:space="preserve">LPR vía nube (requiere licencia)</t>
  </si>
  <si>
    <t xml:space="preserve">CB62-LPR-E</t>
  </si>
  <si>
    <t xml:space="preserve">CB63-LPR</t>
  </si>
  <si>
    <t xml:space="preserve">Sin dual-lente en portafolio</t>
  </si>
  <si>
    <t xml:space="preserve">IA en Command (rostros, personas, vehículos)</t>
  </si>
  <si>
    <t xml:space="preserve">Ø 118 × 42 mm</t>
  </si>
  <si>
    <t xml:space="preserve">CD63</t>
  </si>
  <si>
    <t xml:space="preserve">IA nativa de la plataforma</t>
  </si>
  <si>
    <t xml:space="preserve">CB63</t>
  </si>
  <si>
    <t xml:space="preserve">Todas las cámaras Verkada son PoE (sin WiFi)</t>
  </si>
  <si>
    <t xml:space="preserve">G3 Dome</t>
  </si>
  <si>
    <t xml:space="preserve">3.6 mm fijo</t>
  </si>
  <si>
    <t xml:space="preserve">IR 6 m</t>
  </si>
  <si>
    <t xml:space="preserve">Smart detections (UniFi Protect)</t>
  </si>
  <si>
    <t xml:space="preserve">H.264 (UniFi Protect)</t>
  </si>
  <si>
    <t xml:space="preserve">No (ecosistema UniFi Protect)</t>
  </si>
  <si>
    <t xml:space="preserve">Micrófono integrado</t>
  </si>
  <si>
    <t xml:space="preserve">No — grabación en NVR UniFi Protect</t>
  </si>
  <si>
    <t xml:space="preserve">IK08</t>
  </si>
  <si>
    <t xml:space="preserve">6.5 W máx</t>
  </si>
  <si>
    <t xml:space="preserve">Ø 100 × 45 mm</t>
  </si>
  <si>
    <t xml:space="preserve">G4 Dome</t>
  </si>
  <si>
    <t xml:space="preserve">G5 Dome</t>
  </si>
  <si>
    <t xml:space="preserve">Requiere NVR UniFi Protect (UNVR)</t>
  </si>
  <si>
    <t xml:space="preserve">AI Dome</t>
  </si>
  <si>
    <t xml:space="preserve">AI Dome Pro</t>
  </si>
  <si>
    <t xml:space="preserve">G4 Dome Pro</t>
  </si>
  <si>
    <t xml:space="preserve">Domo reforzado IK08 — la opción más robusta del portafolio</t>
  </si>
  <si>
    <t xml:space="preserve">G3 Bullet</t>
  </si>
  <si>
    <t xml:space="preserve">Smart detections</t>
  </si>
  <si>
    <t xml:space="preserve">Ø 54 × 172 mm</t>
  </si>
  <si>
    <t xml:space="preserve">320 g</t>
  </si>
  <si>
    <t xml:space="preserve">G4 Bullet</t>
  </si>
  <si>
    <t xml:space="preserve">G5 Bullet</t>
  </si>
  <si>
    <t xml:space="preserve">Requiere NVR UniFi Protect</t>
  </si>
  <si>
    <t xml:space="preserve">G4 Pro</t>
  </si>
  <si>
    <t xml:space="preserve">G5 Pro</t>
  </si>
  <si>
    <t xml:space="preserve">G4 PTZ</t>
  </si>
  <si>
    <t xml:space="preserve">22× zoom óptico</t>
  </si>
  <si>
    <t xml:space="preserve">Ø 150 × 250 mm</t>
  </si>
  <si>
    <t xml:space="preserve">G5 PTZ</t>
  </si>
  <si>
    <t xml:space="preserve">AI PTZ</t>
  </si>
  <si>
    <t xml:space="preserve">PTZ con motor silencioso</t>
  </si>
  <si>
    <t xml:space="preserve">AI PTZ Pro</t>
  </si>
  <si>
    <t xml:space="preserve">AI PTZ Ultra</t>
  </si>
  <si>
    <t xml:space="preserve">Sin mini PTZ; ver G4 PTZ</t>
  </si>
  <si>
    <t xml:space="preserve">G4 Fisheye</t>
  </si>
  <si>
    <t xml:space="preserve">IA — detección de personas/vehículos 360°</t>
  </si>
  <si>
    <t xml:space="preserve">Ø 100 × 40 mm</t>
  </si>
  <si>
    <t xml:space="preserve">AI 360</t>
  </si>
  <si>
    <t xml:space="preserve">AI 360 Pro</t>
  </si>
  <si>
    <t xml:space="preserve">Fisheye con IA</t>
  </si>
  <si>
    <t xml:space="preserve">AI Theta 360</t>
  </si>
  <si>
    <t xml:space="preserve">AI Theta 360 Pro</t>
  </si>
  <si>
    <t xml:space="preserve">Ubiquiti no fabrica cámaras ocultas</t>
  </si>
  <si>
    <t xml:space="preserve">Detección de matrículas no disponible; integración con VMS de terceros</t>
  </si>
  <si>
    <t xml:space="preserve">AI Pro</t>
  </si>
  <si>
    <t xml:space="preserve">Lente integrada</t>
  </si>
  <si>
    <t xml:space="preserve">IA en el borde — personas/vehículos</t>
  </si>
  <si>
    <t xml:space="preserve">AI Key</t>
  </si>
  <si>
    <t xml:space="preserve">AI Theta Pro</t>
  </si>
  <si>
    <t xml:space="preserve">Camara IA gama alta UniFi</t>
  </si>
  <si>
    <t xml:space="preserve">AI XG</t>
  </si>
  <si>
    <t xml:space="preserve">Portafolio 100% PoE (UniFi Protect); sin cámaras WiFi</t>
  </si>
  <si>
    <t xml:space="preserve">DS-2CD2111G-I</t>
  </si>
  <si>
    <t xml:space="preserve">EasyIP 4.0 — analíticas básicas</t>
  </si>
  <si>
    <t xml:space="preserve">H.265+ / H.265 / H.264+ / H.264</t>
  </si>
  <si>
    <t xml:space="preserve">1 E / 1 S (según modelo)</t>
  </si>
  <si>
    <t xml:space="preserve">Ø 129 × 96 mm</t>
  </si>
  <si>
    <t xml:space="preserve">630 g</t>
  </si>
  <si>
    <t xml:space="preserve">DS-2CD2121G0-I</t>
  </si>
  <si>
    <t xml:space="preserve">DS-2CD2131G0-I</t>
  </si>
  <si>
    <t xml:space="preserve">Línea EasyIP 4.0</t>
  </si>
  <si>
    <t xml:space="preserve">DS-2CD2143G0-I</t>
  </si>
  <si>
    <t xml:space="preserve">DS-2CD2155FWD-I</t>
  </si>
  <si>
    <t xml:space="preserve">DS-2CD2723G0-IZS</t>
  </si>
  <si>
    <t xml:space="preserve">Ø 145 × 116 mm</t>
  </si>
  <si>
    <t xml:space="preserve">DS-2CD2743G0-IZS</t>
  </si>
  <si>
    <t xml:space="preserve">DS-2CD2755FWD-IZS</t>
  </si>
  <si>
    <t xml:space="preserve">Domo antivandálico varifocal</t>
  </si>
  <si>
    <t xml:space="preserve">DS-2CD2785G0-IZS</t>
  </si>
  <si>
    <t xml:space="preserve">DS-2CD2767G2-IZS</t>
  </si>
  <si>
    <t xml:space="preserve">DS-2CD2012-I</t>
  </si>
  <si>
    <t xml:space="preserve">1/1.8" CMOS ColorVu</t>
  </si>
  <si>
    <t xml:space="preserve">Full color 24/7 — LED blanco 30 m</t>
  </si>
  <si>
    <t xml:space="preserve">AcuSense (personas/vehículos)</t>
  </si>
  <si>
    <t xml:space="preserve">IP67</t>
  </si>
  <si>
    <t xml:space="preserve">88 × 79 × 232 mm</t>
  </si>
  <si>
    <t xml:space="preserve">DS-2CD2021G1-IDU1</t>
  </si>
  <si>
    <t xml:space="preserve">DS-2CD2043G0-I</t>
  </si>
  <si>
    <t xml:space="preserve">ColorVu + AcuSense</t>
  </si>
  <si>
    <t xml:space="preserve">DS-2CD2055FWD-I</t>
  </si>
  <si>
    <t xml:space="preserve">DS-2CD2087G2H-LU</t>
  </si>
  <si>
    <t xml:space="preserve">DS-2DE2A404IW-DE3</t>
  </si>
  <si>
    <t xml:space="preserve">25× zoom (4.8–120 mm)</t>
  </si>
  <si>
    <t xml:space="preserve">Autotracking + analíticas</t>
  </si>
  <si>
    <t xml:space="preserve">Ø 160 × 295 mm</t>
  </si>
  <si>
    <t xml:space="preserve">DS-2DE4A425IW-DE</t>
  </si>
  <si>
    <t xml:space="preserve">DS-2DE5A425IW-AE</t>
  </si>
  <si>
    <t xml:space="preserve">PTZ DarkFighter</t>
  </si>
  <si>
    <t xml:space="preserve">DS-2DE7A432IW-AEB</t>
  </si>
  <si>
    <t xml:space="preserve">DS-2DF8A842IX-AEL</t>
  </si>
  <si>
    <t xml:space="preserve">DS-2DE1A400W-DE3</t>
  </si>
  <si>
    <t xml:space="preserve">Zoom motorizado 2.8–8 mm</t>
  </si>
  <si>
    <t xml:space="preserve">Ø 116 × 121 mm</t>
  </si>
  <si>
    <t xml:space="preserve">DS-2DE2204IW-DE3/W</t>
  </si>
  <si>
    <t xml:space="preserve">Mini PTZ económico</t>
  </si>
  <si>
    <t xml:space="preserve">DS-2DE3304W-DE</t>
  </si>
  <si>
    <t xml:space="preserve">DS-2CD6026FWD-A</t>
  </si>
  <si>
    <t xml:space="preserve">78 × 74 × 200 mm</t>
  </si>
  <si>
    <t xml:space="preserve">DS-2CD6035FWD-A</t>
  </si>
  <si>
    <t xml:space="preserve">DS-2CD6047FWD-A</t>
  </si>
  <si>
    <t xml:space="preserve">Box modular</t>
  </si>
  <si>
    <t xml:space="preserve">DS-2CD6055FWD-A</t>
  </si>
  <si>
    <t xml:space="preserve">DS-2CD6085FWD-A</t>
  </si>
  <si>
    <t xml:space="preserve">DS-2CD6322FWD-IV</t>
  </si>
  <si>
    <t xml:space="preserve">Ø 155 × 60 mm</t>
  </si>
  <si>
    <t xml:space="preserve">DS-2CD6332FWD-I</t>
  </si>
  <si>
    <t xml:space="preserve">DS-2CD63C2F-IS</t>
  </si>
  <si>
    <t xml:space="preserve">DS-2CD63C5G0-IU</t>
  </si>
  <si>
    <t xml:space="preserve">DS-2CD63C7G0-IU</t>
  </si>
  <si>
    <t xml:space="preserve">DS-2CD6424G0-10</t>
  </si>
  <si>
    <t xml:space="preserve">4× CMOS + PTZ</t>
  </si>
  <si>
    <t xml:space="preserve">4× fijas + zoom 36×</t>
  </si>
  <si>
    <t xml:space="preserve">PanoVu — panorámica + PTZ combinados</t>
  </si>
  <si>
    <t xml:space="preserve">60 W máx</t>
  </si>
  <si>
    <t xml:space="preserve">Ø 260 × 300 mm</t>
  </si>
  <si>
    <t xml:space="preserve">DS-2CD6425G0E-10</t>
  </si>
  <si>
    <t xml:space="preserve">DS-2CD6W425G0E-10</t>
  </si>
  <si>
    <t xml:space="preserve">Combinación panorámica + PTZ</t>
  </si>
  <si>
    <t xml:space="preserve">DS-2DP1636Z-D</t>
  </si>
  <si>
    <t xml:space="preserve">DS-2DP2436Z-D</t>
  </si>
  <si>
    <t xml:space="preserve">DS-2CD6412FWD-C</t>
  </si>
  <si>
    <t xml:space="preserve">Pinhole fija</t>
  </si>
  <si>
    <t xml:space="preserve">4 W máx</t>
  </si>
  <si>
    <t xml:space="preserve">Ø 30 × 80 mm</t>
  </si>
  <si>
    <t xml:space="preserve">150 g</t>
  </si>
  <si>
    <t xml:space="preserve">DS-2CD6422FWD-C</t>
  </si>
  <si>
    <t xml:space="preserve">DS-2CD6412FWD-C/NF</t>
  </si>
  <si>
    <t xml:space="preserve">Cámara oculta para interiores</t>
  </si>
  <si>
    <t xml:space="preserve">DS-2CD6422FWD-C/NF</t>
  </si>
  <si>
    <t xml:space="preserve">DS-2CD6422FWD-C/S</t>
  </si>
  <si>
    <t xml:space="preserve">DS-2TD1217B-3/PA</t>
  </si>
  <si>
    <t xml:space="preserve">13 mm</t>
  </si>
  <si>
    <t xml:space="preserve">Termografía + alarma de temperatura</t>
  </si>
  <si>
    <t xml:space="preserve">Ø 110 × 320 mm</t>
  </si>
  <si>
    <t xml:space="preserve">DS-2TD1217-6/PA</t>
  </si>
  <si>
    <t xml:space="preserve">DS-2TD2617-10/PA</t>
  </si>
  <si>
    <t xml:space="preserve">Serie termográfica</t>
  </si>
  <si>
    <t xml:space="preserve">DS-2TD2637-15/PA</t>
  </si>
  <si>
    <t xml:space="preserve">DS-2TD6668-25/PA</t>
  </si>
  <si>
    <t xml:space="preserve">DS-2CD4A26FWD-IZHS</t>
  </si>
  <si>
    <t xml:space="preserve">IR 50 m — obturador rápido</t>
  </si>
  <si>
    <t xml:space="preserve">Smart ANPR (matrículas integrado)</t>
  </si>
  <si>
    <t xml:space="preserve">95 × 87 × 300 mm</t>
  </si>
  <si>
    <t xml:space="preserve">DS-2CD4A26FWD-IZHSP</t>
  </si>
  <si>
    <t xml:space="preserve">DS-2CD4A85FWD-IZHS</t>
  </si>
  <si>
    <t xml:space="preserve">Cámara dedicada ANPR</t>
  </si>
  <si>
    <t xml:space="preserve">DS-2CD4A85FWD-IZHSP</t>
  </si>
  <si>
    <t xml:space="preserve">iDS-2CD7A26G0/P-IZHS</t>
  </si>
  <si>
    <t xml:space="preserve">DS-2SE4C432MW-DE</t>
  </si>
  <si>
    <t xml:space="preserve">Tele + panorámica integradas</t>
  </si>
  <si>
    <t xml:space="preserve">IR 50 m</t>
  </si>
  <si>
    <t xml:space="preserve">TandemVu — vista panorámica + tele simultáneas</t>
  </si>
  <si>
    <t xml:space="preserve">Ø 140 × 260 mm</t>
  </si>
  <si>
    <t xml:space="preserve">DS-2SE4C442MW-DE</t>
  </si>
  <si>
    <t xml:space="preserve">DS-2SE6C432MW-DE</t>
  </si>
  <si>
    <t xml:space="preserve">Dual-lente TandemVu</t>
  </si>
  <si>
    <t xml:space="preserve">DS-2XS6A25G0-I/CH20S</t>
  </si>
  <si>
    <t xml:space="preserve">DS-2XS6A75G0-I/CH20S</t>
  </si>
  <si>
    <t xml:space="preserve">DS-2CD2146G2-ISU</t>
  </si>
  <si>
    <t xml:space="preserve">DeepinView — rostros, atributos y matrículas (IA)</t>
  </si>
  <si>
    <t xml:space="preserve">DS-2CD2346G2-ISU</t>
  </si>
  <si>
    <t xml:space="preserve">DS-2CD2147G2H-LU</t>
  </si>
  <si>
    <t xml:space="preserve">Gama DeepinView IA</t>
  </si>
  <si>
    <t xml:space="preserve">DS-2CD2347G2H-LU</t>
  </si>
  <si>
    <t xml:space="preserve">DS-2CD2387G2H-LU</t>
  </si>
  <si>
    <t xml:space="preserve">DS-2CD2423G0-W</t>
  </si>
  <si>
    <t xml:space="preserve">Detección de movimiento</t>
  </si>
  <si>
    <t xml:space="preserve">802.3af / WiFi</t>
  </si>
  <si>
    <t xml:space="preserve">Ø 112 × 35 mm</t>
  </si>
  <si>
    <t xml:space="preserve">DS-2CD2443G0-IW</t>
  </si>
  <si>
    <t xml:space="preserve">DS-2CD2447G2H-LUY</t>
  </si>
  <si>
    <t xml:space="preserve">Domo interior WiFi</t>
  </si>
  <si>
    <t xml:space="preserve">DS-2CD2466G2-IW</t>
  </si>
  <si>
    <t xml:space="preserve">DS-2CD2487G2H-LUY</t>
  </si>
  <si>
    <t xml:space="preserve">DH-IPC-HDW1230T1-AS</t>
  </si>
  <si>
    <t xml:space="preserve">Analíticas básicas (IVS)</t>
  </si>
  <si>
    <t xml:space="preserve">IP67 / IK10</t>
  </si>
  <si>
    <t xml:space="preserve">Ø 122 × 91 mm</t>
  </si>
  <si>
    <t xml:space="preserve">DH-IPC-HDW1430T1-AS-S2</t>
  </si>
  <si>
    <t xml:space="preserve">DH-IPC-HDW2431T1-AS-S2</t>
  </si>
  <si>
    <t xml:space="preserve">Serie IP Entry</t>
  </si>
  <si>
    <t xml:space="preserve">DH-IPC-HDW3849H-AS-PV</t>
  </si>
  <si>
    <t xml:space="preserve">DH-IPC-HDW5442T-ZE</t>
  </si>
  <si>
    <t xml:space="preserve">DH-IPC-HDBW1230T1-AS-S2</t>
  </si>
  <si>
    <t xml:space="preserve">2.7–13.5 mm varifocal</t>
  </si>
  <si>
    <t xml:space="preserve">IVS + analíticas</t>
  </si>
  <si>
    <t xml:space="preserve">IK10 / IP67</t>
  </si>
  <si>
    <t xml:space="preserve">Ø 150 × 113 mm</t>
  </si>
  <si>
    <t xml:space="preserve">DH-IPC-HDBW1430T1-AS-S2</t>
  </si>
  <si>
    <t xml:space="preserve">DH-IPC-HDBW2431T1-AS-S2</t>
  </si>
  <si>
    <t xml:space="preserve">Antivandálica varifocal 4K</t>
  </si>
  <si>
    <t xml:space="preserve">DH-IPC-HDBW5442T-ZE</t>
  </si>
  <si>
    <t xml:space="preserve">DH-IPC-HDBW5849H-1-AL</t>
  </si>
  <si>
    <t xml:space="preserve">DH-IPC-HFW1230T1-AS</t>
  </si>
  <si>
    <t xml:space="preserve">2.7–13.5 mm motorizada</t>
  </si>
  <si>
    <t xml:space="preserve">IR 60 m</t>
  </si>
  <si>
    <t xml:space="preserve">11 W máx</t>
  </si>
  <si>
    <t xml:space="preserve">90 × 85 × 245 mm</t>
  </si>
  <si>
    <t xml:space="preserve">DH-IPC-HFW1430T1-AS-S2</t>
  </si>
  <si>
    <t xml:space="preserve">DH-IPC-HFW2431T1-AS-S2</t>
  </si>
  <si>
    <t xml:space="preserve">Bala WizSense varifocal</t>
  </si>
  <si>
    <t xml:space="preserve">DH-IPC-HFW5442T-ZE</t>
  </si>
  <si>
    <t xml:space="preserve">DH-IPC-HFW5849H-1-AL</t>
  </si>
  <si>
    <t xml:space="preserve">DH-SD29204T-GN-W</t>
  </si>
  <si>
    <t xml:space="preserve">45× zoom óptico</t>
  </si>
  <si>
    <t xml:space="preserve">Autotracking + Starlight</t>
  </si>
  <si>
    <t xml:space="preserve">Ø 230 × 385 mm</t>
  </si>
  <si>
    <t xml:space="preserve">DH-SD49225XA-HNR</t>
  </si>
  <si>
    <t xml:space="preserve">DH-SD5A445XA-HNR</t>
  </si>
  <si>
    <t xml:space="preserve">PTZ Starlight 45×</t>
  </si>
  <si>
    <t xml:space="preserve">DH-SD6AL845XA-HNR</t>
  </si>
  <si>
    <t xml:space="preserve">DH-SD7A845GA-HNR</t>
  </si>
  <si>
    <t xml:space="preserve">DH-SD1A404XB-GNR-A</t>
  </si>
  <si>
    <t xml:space="preserve">25× zoom óptico</t>
  </si>
  <si>
    <t xml:space="preserve">18 W máx</t>
  </si>
  <si>
    <t xml:space="preserve">Ø 122 × 190 mm</t>
  </si>
  <si>
    <t xml:space="preserve">1.2 kg</t>
  </si>
  <si>
    <t xml:space="preserve">DH-SD22404T-GN-W</t>
  </si>
  <si>
    <t xml:space="preserve">Mini PTZ 25×</t>
  </si>
  <si>
    <t xml:space="preserve">DH-SD29404T-GN-W</t>
  </si>
  <si>
    <t xml:space="preserve">DH-SD3A404TN-GN-PV</t>
  </si>
  <si>
    <t xml:space="preserve">DH-IPC-HF5242E</t>
  </si>
  <si>
    <t xml:space="preserve">DH-IPC-HF5543E</t>
  </si>
  <si>
    <t xml:space="preserve">DH-IPC-HF82350E</t>
  </si>
  <si>
    <t xml:space="preserve">Box WizSense</t>
  </si>
  <si>
    <t xml:space="preserve">DH-IPC-HF82450E</t>
  </si>
  <si>
    <t xml:space="preserve">DH-IPC-HF84450E</t>
  </si>
  <si>
    <t xml:space="preserve">DH-IPC-EW4443-AS-W</t>
  </si>
  <si>
    <t xml:space="preserve">Ø 130 × 46 mm</t>
  </si>
  <si>
    <t xml:space="preserve">400 g</t>
  </si>
  <si>
    <t xml:space="preserve">DH-IPC-EW5541-AS</t>
  </si>
  <si>
    <t xml:space="preserve">DH-IPC-EW5541-AS-PV</t>
  </si>
  <si>
    <t xml:space="preserve">DH-IPC-EW5543-AS</t>
  </si>
  <si>
    <t xml:space="preserve">DH-IPC-EW9544H-AW</t>
  </si>
  <si>
    <t xml:space="preserve">DH-IPC-PDBW8800-A180</t>
  </si>
  <si>
    <t xml:space="preserve">2× lentes integradas</t>
  </si>
  <si>
    <t xml:space="preserve">280 × 80 × 60 mm</t>
  </si>
  <si>
    <t xml:space="preserve">DH-IPC-PDBW8800-A360</t>
  </si>
  <si>
    <t xml:space="preserve">DH-IPC-PFW8800-A180</t>
  </si>
  <si>
    <t xml:space="preserve">Serie panorámica WizMind</t>
  </si>
  <si>
    <t xml:space="preserve">DH-IPC-PFW8800-A360</t>
  </si>
  <si>
    <t xml:space="preserve">DH-IPC-PDBW9800-A180</t>
  </si>
  <si>
    <t xml:space="preserve">DH-IPC-C12EP</t>
  </si>
  <si>
    <t xml:space="preserve">Pinhole fija 3.6 mm</t>
  </si>
  <si>
    <t xml:space="preserve">3.5 W máx</t>
  </si>
  <si>
    <t xml:space="preserve">Ø 25 × 69 mm</t>
  </si>
  <si>
    <t xml:space="preserve">80 g</t>
  </si>
  <si>
    <t xml:space="preserve">DH-IPC-C15P</t>
  </si>
  <si>
    <t xml:space="preserve">DH-IPC-C22EP</t>
  </si>
  <si>
    <t xml:space="preserve">Pinhole compacta</t>
  </si>
  <si>
    <t xml:space="preserve">DH-IPC-C35P</t>
  </si>
  <si>
    <t xml:space="preserve">DH-IPC-C46P</t>
  </si>
  <si>
    <t xml:space="preserve">DH-TPC-BF1241-TB3F4</t>
  </si>
  <si>
    <t xml:space="preserve">Detección térmica perimetral</t>
  </si>
  <si>
    <t xml:space="preserve">Ø 100 × 280 mm</t>
  </si>
  <si>
    <t xml:space="preserve">DH-TPC-BF1241-TF3F4</t>
  </si>
  <si>
    <t xml:space="preserve">DH-TPC-BF5441-TB3F4</t>
  </si>
  <si>
    <t xml:space="preserve">Serie termográfica Dahua</t>
  </si>
  <si>
    <t xml:space="preserve">DH-TPC-SD8621-TB3F8</t>
  </si>
  <si>
    <t xml:space="preserve">DH-TPC-SD8431-TB3F8</t>
  </si>
  <si>
    <t xml:space="preserve">DH-ITC236-PV1.0</t>
  </si>
  <si>
    <t xml:space="preserve">Iluminador integrado — obturador rápido</t>
  </si>
  <si>
    <t xml:space="preserve">Smart ANPR integrado</t>
  </si>
  <si>
    <t xml:space="preserve">Ø 95 × 260 mm</t>
  </si>
  <si>
    <t xml:space="preserve">DH-ITC237-PV1.0</t>
  </si>
  <si>
    <t xml:space="preserve">DH-ITC413-PV1.0</t>
  </si>
  <si>
    <t xml:space="preserve">Cámara dedicada ANPR (ITC)</t>
  </si>
  <si>
    <t xml:space="preserve">DH-ITC525-PV1.0</t>
  </si>
  <si>
    <t xml:space="preserve">DH-ITC959-PV1.0</t>
  </si>
  <si>
    <t xml:space="preserve">DH-IPC-MBW2431-AS-M12</t>
  </si>
  <si>
    <t xml:space="preserve">Dual (panorámica + tele)</t>
  </si>
  <si>
    <t xml:space="preserve">LED blanco 40 m</t>
  </si>
  <si>
    <t xml:space="preserve">Full color 24/7 + vista dual</t>
  </si>
  <si>
    <t xml:space="preserve">Ø 90 × 250 mm</t>
  </si>
  <si>
    <t xml:space="preserve">DH-IPC-MBW4431-AS-M12</t>
  </si>
  <si>
    <t xml:space="preserve">DH-IPC-MBW5431-AS-M12</t>
  </si>
  <si>
    <t xml:space="preserve">Dual-lente full color</t>
  </si>
  <si>
    <t xml:space="preserve">DH-IPC-MBW8441-AS-M12</t>
  </si>
  <si>
    <t xml:space="preserve">DH-IPC-MBW2449-AS-M12</t>
  </si>
  <si>
    <t xml:space="preserve">DH-IPC-HDW5541H-ASE</t>
  </si>
  <si>
    <t xml:space="preserve">WizSense — IA perimetral de personas</t>
  </si>
  <si>
    <t xml:space="preserve">Ø 130 × 100 mm</t>
  </si>
  <si>
    <t xml:space="preserve">DH-IPC-HDBW5541H-ASE</t>
  </si>
  <si>
    <t xml:space="preserve">DH-IPC-HFW5541H-ASE</t>
  </si>
  <si>
    <t xml:space="preserve">Full color con proyector + IA</t>
  </si>
  <si>
    <t xml:space="preserve">DH-IPC-HDW5849H-ASE</t>
  </si>
  <si>
    <t xml:space="preserve">DH-SD5A845GA-HNR</t>
  </si>
  <si>
    <t xml:space="preserve">DH-IPC-A22P</t>
  </si>
  <si>
    <t xml:space="preserve">Pan 355° / tilt 90°</t>
  </si>
  <si>
    <t xml:space="preserve">IR 7 m</t>
  </si>
  <si>
    <t xml:space="preserve">Detección de movimiento + audio bidireccional</t>
  </si>
  <si>
    <t xml:space="preserve">Ø 85 × 115 mm</t>
  </si>
  <si>
    <t xml:space="preserve">DH-IPC-A26P</t>
  </si>
  <si>
    <t xml:space="preserve">DH-IPC-A42P</t>
  </si>
  <si>
    <t xml:space="preserve">Panorámica WiFi interior</t>
  </si>
  <si>
    <t xml:space="preserve">DH-IPC-A46P</t>
  </si>
  <si>
    <t xml:space="preserve">DH-IPC-A46LP</t>
  </si>
  <si>
    <t xml:space="preserve">IPC3612SB-ADF16KM-I0</t>
  </si>
  <si>
    <t xml:space="preserve">Analíticas básicas (Lighthouse)</t>
  </si>
  <si>
    <t xml:space="preserve">H.265 (Ultra 265) / H.264</t>
  </si>
  <si>
    <t xml:space="preserve">Ø 130 × 98 mm</t>
  </si>
  <si>
    <t xml:space="preserve">IPC3614SB-ADF28KM-I0</t>
  </si>
  <si>
    <t xml:space="preserve">IPC3618SB-ADF28KM-I0</t>
  </si>
  <si>
    <t xml:space="preserve">Serie value 4K</t>
  </si>
  <si>
    <t xml:space="preserve">IPC3615SS-ADF34KM-I0</t>
  </si>
  <si>
    <t xml:space="preserve">IPC3612SB-ADF28KM-I0S</t>
  </si>
  <si>
    <t xml:space="preserve">IPC3512SB-ADF16KM-I0</t>
  </si>
  <si>
    <t xml:space="preserve">Analíticas + autotracking básico</t>
  </si>
  <si>
    <t xml:space="preserve">Ø 145 × 110 mm</t>
  </si>
  <si>
    <t xml:space="preserve">IPC3514SB-ADF28KM-I0</t>
  </si>
  <si>
    <t xml:space="preserve">IPC3515SB-ADF28KM-I0</t>
  </si>
  <si>
    <t xml:space="preserve">IPC3518SB-ADF28KM-I0</t>
  </si>
  <si>
    <t xml:space="preserve">IPC3538SB-ADF28KM-I0</t>
  </si>
  <si>
    <t xml:space="preserve">IPC322SB-DF16KM-I0</t>
  </si>
  <si>
    <t xml:space="preserve">Ø 70 × 175 mm</t>
  </si>
  <si>
    <t xml:space="preserve">500 g</t>
  </si>
  <si>
    <t xml:space="preserve">IPC323SB-DF28KM-I0</t>
  </si>
  <si>
    <t xml:space="preserve">IPC324SB-DF40KM-I0</t>
  </si>
  <si>
    <t xml:space="preserve">Bala 4K económica</t>
  </si>
  <si>
    <t xml:space="preserve">IPC328SB-DF28KM-I0</t>
  </si>
  <si>
    <t xml:space="preserve">IPC328SB-DF40KM-I0</t>
  </si>
  <si>
    <t xml:space="preserve">IPC672S-X12UG</t>
  </si>
  <si>
    <t xml:space="preserve">Ø 190 × 320 mm</t>
  </si>
  <si>
    <t xml:space="preserve">IPC672S-X16UG</t>
  </si>
  <si>
    <t xml:space="preserve">IPC672S-X24UG</t>
  </si>
  <si>
    <t xml:space="preserve">PTZ 25×</t>
  </si>
  <si>
    <t xml:space="preserve">IPC672Z4-X30UG</t>
  </si>
  <si>
    <t xml:space="preserve">IPC65S-X32UG</t>
  </si>
  <si>
    <t xml:space="preserve">IPC6412S-X4F4</t>
  </si>
  <si>
    <t xml:space="preserve">18× zoom óptico</t>
  </si>
  <si>
    <t xml:space="preserve">Ø 130 × 200 mm</t>
  </si>
  <si>
    <t xml:space="preserve">IPC6414S-X4F4</t>
  </si>
  <si>
    <t xml:space="preserve">IPC6418S-X4F4</t>
  </si>
  <si>
    <t xml:space="preserve">Mini PTZ 18×</t>
  </si>
  <si>
    <t xml:space="preserve">IPC671S-X8UG</t>
  </si>
  <si>
    <t xml:space="preserve">IPC672S-X16 (compacto)</t>
  </si>
  <si>
    <t xml:space="preserve">Sin cámara box en portafolio estándar</t>
  </si>
  <si>
    <t xml:space="preserve">IPC868ER-VF18-B</t>
  </si>
  <si>
    <t xml:space="preserve">Ø 140 × 50 mm</t>
  </si>
  <si>
    <t xml:space="preserve">IPC868ER-VF28-B</t>
  </si>
  <si>
    <t xml:space="preserve">IPC868ER-VF18-B-M</t>
  </si>
  <si>
    <t xml:space="preserve">IPC868ER-VF28-B-M</t>
  </si>
  <si>
    <t xml:space="preserve">IPC858ER-VF18-B</t>
  </si>
  <si>
    <t xml:space="preserve">Sin multisensor; alternativa dual-lente: IPC94144SFW-X25-F40C</t>
  </si>
  <si>
    <t xml:space="preserve">UNV no fabrica cámaras ocultas</t>
  </si>
  <si>
    <t xml:space="preserve">UNV no comercializa térmicas en portafolio estándar</t>
  </si>
  <si>
    <t xml:space="preserve">IPC7536S-AF28KM-P</t>
  </si>
  <si>
    <t xml:space="preserve">ANPR vía plataforma Lighthouse</t>
  </si>
  <si>
    <t xml:space="preserve">IPC7536S-AF40KM-P</t>
  </si>
  <si>
    <t xml:space="preserve">IPC7536S-AF50KM-P</t>
  </si>
  <si>
    <t xml:space="preserve">Requiere plataforma Lighthouse</t>
  </si>
  <si>
    <t xml:space="preserve">IPC7546S-AF40KM-P</t>
  </si>
  <si>
    <t xml:space="preserve">IPC7556S-AF40KM-P</t>
  </si>
  <si>
    <t xml:space="preserve">IPC862SB-DF16KM-2I0</t>
  </si>
  <si>
    <t xml:space="preserve">Fija gran angular + PTZ 25×</t>
  </si>
  <si>
    <t xml:space="preserve">IR dual (fija 30 m / PTZ 100 m)</t>
  </si>
  <si>
    <t xml:space="preserve">Dual-lente — vista fija + PTZ simultáneos</t>
  </si>
  <si>
    <t xml:space="preserve">Ø 200 × 330 mm</t>
  </si>
  <si>
    <t xml:space="preserve">IPC863SB-DF28KM-2I0</t>
  </si>
  <si>
    <t xml:space="preserve">IPC864SB-DF40KM-2I0</t>
  </si>
  <si>
    <t xml:space="preserve">Dual fija + PTZ en un cuerpo</t>
  </si>
  <si>
    <t xml:space="preserve">IPC868SB-DF28KM-2I0</t>
  </si>
  <si>
    <t xml:space="preserve">IPC868SB-DF40KM-2I0</t>
  </si>
  <si>
    <t xml:space="preserve">IPC3618SS-ADF28KM-I0</t>
  </si>
  <si>
    <t xml:space="preserve">LightHunter + IA (personas/vehículos)</t>
  </si>
  <si>
    <t xml:space="preserve">Ø 70 × 170 mm</t>
  </si>
  <si>
    <t xml:space="preserve">480 g</t>
  </si>
  <si>
    <t xml:space="preserve">Serie IA LightHunter</t>
  </si>
  <si>
    <t xml:space="preserve">UNV se enfoca en PoE; línea WiFi limitada a kits del mercado local</t>
  </si>
  <si>
    <t xml:space="preserve">IPC-D120H-MU</t>
  </si>
  <si>
    <t xml:space="preserve">Analíticas básicas (movimiento, cruce de línea)</t>
  </si>
  <si>
    <t xml:space="preserve">H.265+ / H.265 / H.264+</t>
  </si>
  <si>
    <t xml:space="preserve">Micrófono integrado (según modelo)</t>
  </si>
  <si>
    <t xml:space="preserve">Ø 110 × 83 mm</t>
  </si>
  <si>
    <t xml:space="preserve">IPC-D140H-MU</t>
  </si>
  <si>
    <t xml:space="preserve">IPC-D150H-MU</t>
  </si>
  <si>
    <t xml:space="preserve">Marca valor de Hikvision</t>
  </si>
  <si>
    <t xml:space="preserve">IPC-D250H-MU</t>
  </si>
  <si>
    <t xml:space="preserve">IPC-D320H-MU</t>
  </si>
  <si>
    <t xml:space="preserve">Ø 111 × 86 mm</t>
  </si>
  <si>
    <t xml:space="preserve">Domo antivandálico económico</t>
  </si>
  <si>
    <t xml:space="preserve">IPC-D640H-MU</t>
  </si>
  <si>
    <t xml:space="preserve">IPC-B120H-MU</t>
  </si>
  <si>
    <t xml:space="preserve">70 × 65 × 165 mm</t>
  </si>
  <si>
    <t xml:space="preserve">380 g</t>
  </si>
  <si>
    <t xml:space="preserve">IPC-B140H-MU</t>
  </si>
  <si>
    <t xml:space="preserve">IPC-B640H-Z</t>
  </si>
  <si>
    <t xml:space="preserve">Bala económica exterior</t>
  </si>
  <si>
    <t xml:space="preserve">IPC-B680H-Z</t>
  </si>
  <si>
    <t xml:space="preserve">IPC-B695H-Z</t>
  </si>
  <si>
    <t xml:space="preserve">Equivalente sugerido: Hikvision DS-2DE4425IW-DE</t>
  </si>
  <si>
    <t xml:space="preserve">Equivalente sugerido: Hikvision DS-2DE3A400W-DE</t>
  </si>
  <si>
    <t xml:space="preserve">Equivalente sugerido: Hikvision DS-2CD4035FWD-A</t>
  </si>
  <si>
    <t xml:space="preserve">Equivalente sugerido: Hikvision DS-2CD6362F-I</t>
  </si>
  <si>
    <t xml:space="preserve">Equivalente sugerido: Hikvision DS-2DP1636Z-D (PanoVu)</t>
  </si>
  <si>
    <t xml:space="preserve">Equivalente sugerido: Hikvision DS-2CD6424FWD-30</t>
  </si>
  <si>
    <t xml:space="preserve">Equivalente sugerido: Hikvision DS-2TD2636B-13/P</t>
  </si>
  <si>
    <t xml:space="preserve">Equivalente sugerido: Hikvision DS-2CD4A26FWD-IZHS</t>
  </si>
  <si>
    <t xml:space="preserve">Equivalente sugerido: Hikvision DS-2SE7C432MW-AEB (TandemVu)</t>
  </si>
  <si>
    <t xml:space="preserve">Smart — detección de personas y vehículos</t>
  </si>
  <si>
    <t xml:space="preserve">88 × 78 × 217 mm</t>
  </si>
  <si>
    <t xml:space="preserve">Gama Smart de HiLook</t>
  </si>
  <si>
    <t xml:space="preserve">Equivalente sugerido: Hikvision DS-2CD2443G0-IW</t>
  </si>
  <si>
    <t xml:space="preserve">IPC-F22FP (Ranger 2)</t>
  </si>
  <si>
    <t xml:space="preserve">H.265 / H.264</t>
  </si>
  <si>
    <t xml:space="preserve">Perfil S (app Imou Life)</t>
  </si>
  <si>
    <t xml:space="preserve">3 W máx</t>
  </si>
  <si>
    <t xml:space="preserve">Ø 70 × 100 mm</t>
  </si>
  <si>
    <t xml:space="preserve">IPC-S22FP (Ranger 2 4MP)</t>
  </si>
  <si>
    <t xml:space="preserve">IPC-F46FP (Ranger Pro)</t>
  </si>
  <si>
    <t xml:space="preserve">WiFi interior económica</t>
  </si>
  <si>
    <t xml:space="preserve">IPC-S42FP (Ranger 2 IA)</t>
  </si>
  <si>
    <t xml:space="preserve">IPC-S3EP (Ranger 3)</t>
  </si>
  <si>
    <t xml:space="preserve">Equivalente sugerido: Dahua IPC-HDBW5831R-ZE (IK10)</t>
  </si>
  <si>
    <t xml:space="preserve">IPC-G22P (Bullet 2E)</t>
  </si>
  <si>
    <t xml:space="preserve">Detección humana IA</t>
  </si>
  <si>
    <t xml:space="preserve">70 × 65 × 130 mm</t>
  </si>
  <si>
    <t xml:space="preserve">220 g</t>
  </si>
  <si>
    <t xml:space="preserve">IPC-G22EP (Bullet 2)</t>
  </si>
  <si>
    <t xml:space="preserve">IPC-G24P (Bullet 2C)</t>
  </si>
  <si>
    <t xml:space="preserve">WiFi exterior económica</t>
  </si>
  <si>
    <t xml:space="preserve">IPC-G42P (Bullet 2S)</t>
  </si>
  <si>
    <t xml:space="preserve">IPC-S41FP (Cruiser SE)</t>
  </si>
  <si>
    <t xml:space="preserve">IPC-S41EP (Cruiser)</t>
  </si>
  <si>
    <t xml:space="preserve">Seguimiento automático + IA humana</t>
  </si>
  <si>
    <t xml:space="preserve">Ø 100 × 130 mm</t>
  </si>
  <si>
    <t xml:space="preserve">IPC-S42EP (Cruiser 2)</t>
  </si>
  <si>
    <t xml:space="preserve">PTZ WiFi exterior</t>
  </si>
  <si>
    <t xml:space="preserve">IPC-S42FP (Cruiser SE+)</t>
  </si>
  <si>
    <t xml:space="preserve">IPC-S62EP (Cruiser Pro)</t>
  </si>
  <si>
    <t xml:space="preserve">Equivalente sugerido: Dahua SD49225TM-HNR</t>
  </si>
  <si>
    <t xml:space="preserve">Equivalente sugerido: Dahua IPC-HF7442E-Z</t>
  </si>
  <si>
    <t xml:space="preserve">Equivalente sugerido: Dahua IPC-EW5541-AS</t>
  </si>
  <si>
    <t xml:space="preserve">Equivalente sugerido: Dahua IPC-PDW8800-A180</t>
  </si>
  <si>
    <t xml:space="preserve">Equivalente sugerido: Dahua IPC-HUM8241-L1</t>
  </si>
  <si>
    <t xml:space="preserve">Equivalente sugerido: Dahua TPC-SDR3200T</t>
  </si>
  <si>
    <t xml:space="preserve">Equivalente sugerido: Dahua ITC237-PU1A-BIR2</t>
  </si>
  <si>
    <t xml:space="preserve">IPC-D26P (Duo)</t>
  </si>
  <si>
    <t xml:space="preserve">Vista dual + seguimiento IA</t>
  </si>
  <si>
    <t xml:space="preserve">Ø 110 × 120 mm</t>
  </si>
  <si>
    <t xml:space="preserve">IPC-D26EP (Duo 2E)</t>
  </si>
  <si>
    <t xml:space="preserve">IPC-D46P (Duo 2)</t>
  </si>
  <si>
    <t xml:space="preserve">Dual-lente WiFi exterior</t>
  </si>
  <si>
    <t xml:space="preserve">IPC-D46EP (Duo 2 Pro)</t>
  </si>
  <si>
    <t xml:space="preserve">IPC-D80P (Duo 3)</t>
  </si>
  <si>
    <t xml:space="preserve">IPC-F46FP (IA)</t>
  </si>
  <si>
    <t xml:space="preserve">IA — detección de personas y mascotas</t>
  </si>
  <si>
    <t xml:space="preserve">Ø 80 × 110 mm</t>
  </si>
  <si>
    <t xml:space="preserve">IPC-S42FP (IA)</t>
  </si>
  <si>
    <t xml:space="preserve">IPC-G42P (IA)</t>
  </si>
  <si>
    <t xml:space="preserve">Interior con IA</t>
  </si>
  <si>
    <t xml:space="preserve">IPC-S62EP (IA)</t>
  </si>
  <si>
    <t xml:space="preserve">IPC-D46P (IA)</t>
  </si>
  <si>
    <t xml:space="preserve">IPC-F22FP (Ranger 2 WiFi)</t>
  </si>
  <si>
    <t xml:space="preserve">Ø 88 × 110 mm</t>
  </si>
  <si>
    <t xml:space="preserve">190 g</t>
  </si>
  <si>
    <t xml:space="preserve">IPC-G22P (Bullet 2E WiFi)</t>
  </si>
  <si>
    <t xml:space="preserve">IPC-F46FP (Ranger Pro WiFi)</t>
  </si>
  <si>
    <t xml:space="preserve">Interior pan-tilt popular</t>
  </si>
  <si>
    <t xml:space="preserve">IPC-S42EP (Cruiser 2 WiFi)</t>
  </si>
  <si>
    <t xml:space="preserve">IPC-L26P (Cell Pro)</t>
  </si>
  <si>
    <t xml:space="preserve">CS-C6N</t>
  </si>
  <si>
    <t xml:space="preserve">4 mm fijo</t>
  </si>
  <si>
    <t xml:space="preserve">Perfil S (limitado — app EZVIZ)</t>
  </si>
  <si>
    <t xml:space="preserve">2.5 W máx</t>
  </si>
  <si>
    <t xml:space="preserve">Ø 72 × 72 mm</t>
  </si>
  <si>
    <t xml:space="preserve">130 g</t>
  </si>
  <si>
    <t xml:space="preserve">CS-C6CN</t>
  </si>
  <si>
    <t xml:space="preserve">CS-H6c</t>
  </si>
  <si>
    <t xml:space="preserve">Interior fija económica</t>
  </si>
  <si>
    <t xml:space="preserve">CS-H6c-R</t>
  </si>
  <si>
    <t xml:space="preserve">CS-H6c-4MP</t>
  </si>
  <si>
    <t xml:space="preserve">Equivalente sugerido: Hikvision DS-2CD2743G0-IZS (IK10)</t>
  </si>
  <si>
    <t xml:space="preserve">CS-C3N</t>
  </si>
  <si>
    <t xml:space="preserve">Detección de personas</t>
  </si>
  <si>
    <t xml:space="preserve">IP65</t>
  </si>
  <si>
    <t xml:space="preserve">70 × 70 × 120 mm</t>
  </si>
  <si>
    <t xml:space="preserve">230 g</t>
  </si>
  <si>
    <t xml:space="preserve">CS-C3W</t>
  </si>
  <si>
    <t xml:space="preserve">CS-H3c</t>
  </si>
  <si>
    <t xml:space="preserve">Exterior WiFi</t>
  </si>
  <si>
    <t xml:space="preserve">CS-H3 2K+</t>
  </si>
  <si>
    <t xml:space="preserve">CS-C3X</t>
  </si>
  <si>
    <t xml:space="preserve">CS-C8C</t>
  </si>
  <si>
    <t xml:space="preserve">Pan 340° / tilt 120°</t>
  </si>
  <si>
    <t xml:space="preserve">Seguimiento automático + IA personas</t>
  </si>
  <si>
    <t xml:space="preserve">CS-C8W</t>
  </si>
  <si>
    <t xml:space="preserve">CS-H8c</t>
  </si>
  <si>
    <t xml:space="preserve">CS-H8 2K+</t>
  </si>
  <si>
    <t xml:space="preserve">CS-H8 4K</t>
  </si>
  <si>
    <t xml:space="preserve">Ver EZVIZ H8c (pan-tilt WiFi exterior)</t>
  </si>
  <si>
    <t xml:space="preserve">CS-H9c</t>
  </si>
  <si>
    <t xml:space="preserve">Vista dual simultánea + IA</t>
  </si>
  <si>
    <t xml:space="preserve">Ø 120 × 130 mm</t>
  </si>
  <si>
    <t xml:space="preserve">CS-H9c-R</t>
  </si>
  <si>
    <t xml:space="preserve">CS-H9</t>
  </si>
  <si>
    <t xml:space="preserve">CS-H9-R</t>
  </si>
  <si>
    <t xml:space="preserve">CS-H9c-4MP</t>
  </si>
  <si>
    <t xml:space="preserve">IA — detección de personas y seguimiento</t>
  </si>
  <si>
    <t xml:space="preserve">420 g</t>
  </si>
  <si>
    <t xml:space="preserve">CS-C8W (IA)</t>
  </si>
  <si>
    <t xml:space="preserve">PTZ exterior con IA</t>
  </si>
  <si>
    <t xml:space="preserve">CS-C1C</t>
  </si>
  <si>
    <t xml:space="preserve">Pan 340° / tilt 100°</t>
  </si>
  <si>
    <t xml:space="preserve">Ø 88 × 87 mm</t>
  </si>
  <si>
    <t xml:space="preserve">CS-C1HC</t>
  </si>
  <si>
    <t xml:space="preserve">Interior pan-tilt muy popular</t>
  </si>
  <si>
    <t xml:space="preserve">CS-TY1</t>
  </si>
  <si>
    <t xml:space="preserve">CS-EB3 (batería)</t>
  </si>
  <si>
    <t xml:space="preserve">RLC-1210A</t>
  </si>
  <si>
    <t xml:space="preserve">Detección IA personas/vehículos</t>
  </si>
  <si>
    <t xml:space="preserve">Perfil S (limitado — app Reolink)</t>
  </si>
  <si>
    <t xml:space="preserve">-20 °C a +55 °C</t>
  </si>
  <si>
    <t xml:space="preserve">Ø 124 × 96 mm</t>
  </si>
  <si>
    <t xml:space="preserve">RLC-1220A</t>
  </si>
  <si>
    <t xml:space="preserve">RLC-1212A</t>
  </si>
  <si>
    <t xml:space="preserve">Domo PoE 4K</t>
  </si>
  <si>
    <t xml:space="preserve">RLC-1224A</t>
  </si>
  <si>
    <t xml:space="preserve">CX410</t>
  </si>
  <si>
    <t xml:space="preserve">Reolink no certifica IK10; opción más robusta: RLC-842A</t>
  </si>
  <si>
    <t xml:space="preserve">RLC-810A</t>
  </si>
  <si>
    <t xml:space="preserve">Ø 70 × 172 mm</t>
  </si>
  <si>
    <t xml:space="preserve">RLC-811A</t>
  </si>
  <si>
    <t xml:space="preserve">RLC-820A</t>
  </si>
  <si>
    <t xml:space="preserve">Bala PoE 4K con IA</t>
  </si>
  <si>
    <t xml:space="preserve">RLC-842A</t>
  </si>
  <si>
    <t xml:space="preserve">CX810</t>
  </si>
  <si>
    <t xml:space="preserve">RLC-823A</t>
  </si>
  <si>
    <t xml:space="preserve">16× zoom óptico</t>
  </si>
  <si>
    <t xml:space="preserve">Seguimiento automático + IA</t>
  </si>
  <si>
    <t xml:space="preserve">Ø 130 × 210 mm</t>
  </si>
  <si>
    <t xml:space="preserve">RLC-833A</t>
  </si>
  <si>
    <t xml:space="preserve">TrackMix PoE</t>
  </si>
  <si>
    <t xml:space="preserve">PTZ PoE 4K</t>
  </si>
  <si>
    <t xml:space="preserve">TrackMix WiFi</t>
  </si>
  <si>
    <t xml:space="preserve">TrackMix LTE</t>
  </si>
  <si>
    <t xml:space="preserve">Ver RLC-823A; alternativa WiFi: Reolink TrackMix</t>
  </si>
  <si>
    <t xml:space="preserve">Reolink no fabrica cámaras box</t>
  </si>
  <si>
    <t xml:space="preserve">Reolink no ofrece fisheye; equivalente: UNV IPC868ER-VF18-B</t>
  </si>
  <si>
    <t xml:space="preserve">Alternativa panorámica: Reolink Duo 3 (180°)</t>
  </si>
  <si>
    <t xml:space="preserve">Reolink no fabrica cámaras ocultas</t>
  </si>
  <si>
    <t xml:space="preserve">Reolink no fabrica cámaras térmicas</t>
  </si>
  <si>
    <t xml:space="preserve">Detección Smart no incluye matrículas; ANPR no disponible</t>
  </si>
  <si>
    <t xml:space="preserve">RLC-Duo 2</t>
  </si>
  <si>
    <t xml:space="preserve">Dual panorámica 180°</t>
  </si>
  <si>
    <t xml:space="preserve">Vista panorámica dual + IA</t>
  </si>
  <si>
    <t xml:space="preserve">300 × 65 × 55 mm</t>
  </si>
  <si>
    <t xml:space="preserve">RLC-Duo 3</t>
  </si>
  <si>
    <t xml:space="preserve">RLC-Duo 3 PoE</t>
  </si>
  <si>
    <t xml:space="preserve">Panorámica dual ultra amplia</t>
  </si>
  <si>
    <t xml:space="preserve">RLC-Duo 3V</t>
  </si>
  <si>
    <t xml:space="preserve">RLC-Duo 3 Wide</t>
  </si>
  <si>
    <t xml:space="preserve">2.8–8 mm motorizada</t>
  </si>
  <si>
    <t xml:space="preserve">Ø 75 × 180 mm</t>
  </si>
  <si>
    <t xml:space="preserve">Varifocal con IA</t>
  </si>
  <si>
    <t xml:space="preserve">E1</t>
  </si>
  <si>
    <t xml:space="preserve">Pan 355° / tilt 50°</t>
  </si>
  <si>
    <t xml:space="preserve">Detección de personas/mascotas</t>
  </si>
  <si>
    <t xml:space="preserve">Ø 75 × 115 mm</t>
  </si>
  <si>
    <t xml:space="preserve">E1 Pro</t>
  </si>
  <si>
    <t xml:space="preserve">E1 Zoom</t>
  </si>
  <si>
    <t xml:space="preserve">Interior pan-tilt WiFi</t>
  </si>
  <si>
    <t xml:space="preserve">E1 Outdoor</t>
  </si>
  <si>
    <t xml:space="preserve">Argus 3 Pro</t>
  </si>
  <si>
    <t xml:space="preserve">VIGI C440</t>
  </si>
  <si>
    <t xml:space="preserve">VIGI C445</t>
  </si>
  <si>
    <t xml:space="preserve">VIGI C540</t>
  </si>
  <si>
    <t xml:space="preserve">Domo PoE con IA</t>
  </si>
  <si>
    <t xml:space="preserve">VIGI C545</t>
  </si>
  <si>
    <t xml:space="preserve">VIGI C540V</t>
  </si>
  <si>
    <t xml:space="preserve">VIGI C440V</t>
  </si>
  <si>
    <t xml:space="preserve">Full color — LED blanco 30 m</t>
  </si>
  <si>
    <t xml:space="preserve">Ø 130 × 105 mm</t>
  </si>
  <si>
    <t xml:space="preserve">VIGI C445V</t>
  </si>
  <si>
    <t xml:space="preserve">VIGI C450V</t>
  </si>
  <si>
    <t xml:space="preserve">Domo varifocal full-color</t>
  </si>
  <si>
    <t xml:space="preserve">VIGI C545V</t>
  </si>
  <si>
    <t xml:space="preserve">VIGI C240</t>
  </si>
  <si>
    <t xml:space="preserve">Ø 70 × 160 mm</t>
  </si>
  <si>
    <t xml:space="preserve">VIGI C340</t>
  </si>
  <si>
    <t xml:space="preserve">VIGI C345</t>
  </si>
  <si>
    <t xml:space="preserve">Bala PoE con IA</t>
  </si>
  <si>
    <t xml:space="preserve">VIGI C450</t>
  </si>
  <si>
    <t xml:space="preserve">VIGI C550</t>
  </si>
  <si>
    <t xml:space="preserve">VIGI C220</t>
  </si>
  <si>
    <t xml:space="preserve">Ø 145 × 220 mm</t>
  </si>
  <si>
    <t xml:space="preserve">VIGI C225</t>
  </si>
  <si>
    <t xml:space="preserve">VIGI C320</t>
  </si>
  <si>
    <t xml:space="preserve">PTZ PoE con tracking</t>
  </si>
  <si>
    <t xml:space="preserve">VIGI C420</t>
  </si>
  <si>
    <t xml:space="preserve">VIGI C520</t>
  </si>
  <si>
    <t xml:space="preserve">TP-Link no ofrece mini PTZ en línea VIGI</t>
  </si>
  <si>
    <t xml:space="preserve">Sin cámara box en línea VIGI</t>
  </si>
  <si>
    <t xml:space="preserve">Sin fisheye en línea VIGI</t>
  </si>
  <si>
    <t xml:space="preserve">Sin multisensor en línea VIGI</t>
  </si>
  <si>
    <t xml:space="preserve">TP-Link no fabrica cámaras ocultas</t>
  </si>
  <si>
    <t xml:space="preserve">Sin térmicas en línea VIGI</t>
  </si>
  <si>
    <t xml:space="preserve">ANPR no disponible en línea VIGI</t>
  </si>
  <si>
    <t xml:space="preserve">Sin dual-lente en línea VIGI</t>
  </si>
  <si>
    <t xml:space="preserve">IA — personas/vehículos + detección de intrusión</t>
  </si>
  <si>
    <t xml:space="preserve">Bala 5 MP con IA</t>
  </si>
  <si>
    <t xml:space="preserve">TP-Link cubre interior WiFi con la marca Tapo</t>
  </si>
  <si>
    <t xml:space="preserve">CP3</t>
  </si>
  <si>
    <t xml:space="preserve">Perfil S (app Tenda Security)</t>
  </si>
  <si>
    <t xml:space="preserve">PoE 802.3af</t>
  </si>
  <si>
    <t xml:space="preserve">Ø 75 × 105 mm</t>
  </si>
  <si>
    <t xml:space="preserve">CP3 Pro</t>
  </si>
  <si>
    <t xml:space="preserve">CP4</t>
  </si>
  <si>
    <t xml:space="preserve">Interior PoE — verificar variante WiFi/PoE según mercado</t>
  </si>
  <si>
    <t xml:space="preserve">CP5</t>
  </si>
  <si>
    <t xml:space="preserve">CP7</t>
  </si>
  <si>
    <t xml:space="preserve">Tenda no fabrica domos IK10; equivalente: TP-Link VIGI C450</t>
  </si>
  <si>
    <t xml:space="preserve">CP3 Outdoor</t>
  </si>
  <si>
    <t xml:space="preserve">Ø 70 × 150 mm</t>
  </si>
  <si>
    <t xml:space="preserve">CP3 Outdoor Pro</t>
  </si>
  <si>
    <t xml:space="preserve">CB1</t>
  </si>
  <si>
    <t xml:space="preserve">Exterior PoE</t>
  </si>
  <si>
    <t xml:space="preserve">CB2</t>
  </si>
  <si>
    <t xml:space="preserve">CB3</t>
  </si>
  <si>
    <t xml:space="preserve">Pan 340° / tilt 90°</t>
  </si>
  <si>
    <t xml:space="preserve">Ø 100 × 120 mm</t>
  </si>
  <si>
    <t xml:space="preserve">CP7 Pro</t>
  </si>
  <si>
    <t xml:space="preserve">CP8</t>
  </si>
  <si>
    <t xml:space="preserve">Pan-tilt exterior PoE</t>
  </si>
  <si>
    <t xml:space="preserve">CP8 Pro</t>
  </si>
  <si>
    <t xml:space="preserve">CP9</t>
  </si>
  <si>
    <t xml:space="preserve">Ver Tenda I27 (pan-tilt exterior)</t>
  </si>
  <si>
    <t xml:space="preserve">Tenda no fabrica cámaras box; equivalente: Dahua IPC-HF7442E-Z</t>
  </si>
  <si>
    <t xml:space="preserve">Tenda no ofrece fisheye; equivalente: UNV IPC868ER-VF18-B</t>
  </si>
  <si>
    <t xml:space="preserve">No disponible; equivalente: Hikvision DS-2DP1636Z-D</t>
  </si>
  <si>
    <t xml:space="preserve">Tenda no fabrica cámaras ocultas</t>
  </si>
  <si>
    <t xml:space="preserve">Tenda no fabrica térmicas; equivalente: Hikvision DS-2TD2636B-13/P</t>
  </si>
  <si>
    <t xml:space="preserve">ANPR no disponible; equivalente: Hikvision DS-2CD4A26FWD-IZHS</t>
  </si>
  <si>
    <t xml:space="preserve">Sin dual-lente; equivalente: EZVIZ H9c</t>
  </si>
  <si>
    <t xml:space="preserve">IA — detección de personas</t>
  </si>
  <si>
    <t xml:space="preserve">Exterior PoE con IA</t>
  </si>
  <si>
    <t xml:space="preserve">160 g</t>
  </si>
  <si>
    <t xml:space="preserve">CP3C</t>
  </si>
  <si>
    <t xml:space="preserve">CP6</t>
  </si>
  <si>
    <t xml:space="preserve">Base de Datos de Equipamiento — NVR · Almacenamiento · Switch PoE · UPS · Monitor · Rack · Cableado · Accesorios · Fuentes · VMS</t>
  </si>
  <si>
    <t xml:space="preserve">Categoría</t>
  </si>
  <si>
    <t xml:space="preserve">Descripción</t>
  </si>
  <si>
    <t xml:space="preserve">Especificación Principal</t>
  </si>
  <si>
    <t xml:space="preserve">Características</t>
  </si>
  <si>
    <t xml:space="preserve">Compatibilidad / Integración</t>
  </si>
  <si>
    <t xml:space="preserve">Alimentación</t>
  </si>
  <si>
    <t xml:space="preserve">Montaje / Formato</t>
  </si>
  <si>
    <t xml:space="preserve">AXIS S3008 Recorder</t>
  </si>
  <si>
    <t xml:space="preserve">NVR IP llave en mano para cámaras Axis y ONVIF</t>
  </si>
  <si>
    <t xml:space="preserve">8 canales · HDD 2 TB incluido</t>
  </si>
  <si>
    <t xml:space="preserve">Sin configuración previa, H.265, HTTPS, actualizaciones automáticas</t>
  </si>
  <si>
    <t xml:space="preserve">Cámaras Axis + ONVIF S/T</t>
  </si>
  <si>
    <t xml:space="preserve">100–240 VAC</t>
  </si>
  <si>
    <t xml:space="preserve">Escritorio / rack 1U</t>
  </si>
  <si>
    <t xml:space="preserve">445 × 380 × 45 mm</t>
  </si>
  <si>
    <t xml:space="preserve">4.1 kg</t>
  </si>
  <si>
    <t xml:space="preserve">La opción más simple para proyectos pequeños Axis</t>
  </si>
  <si>
    <t xml:space="preserve">DS-7608NXI-K2/8P</t>
  </si>
  <si>
    <t xml:space="preserve">NVR AcuSense con PoE integrado</t>
  </si>
  <si>
    <t xml:space="preserve">8 canales · 8 Puertos PoE · 2 bahías SATA</t>
  </si>
  <si>
    <t xml:space="preserve">H.265+, decodificación 8 MP, análisis AcuSearch (rostro/vehículo), HDMI 4K + VGA</t>
  </si>
  <si>
    <t xml:space="preserve">ONVIF (Perfil S) — cámaras de cualquier marca</t>
  </si>
  <si>
    <t xml:space="preserve">Rack 1U / escritorio</t>
  </si>
  <si>
    <t xml:space="preserve">445 × 390 × 75 mm</t>
  </si>
  <si>
    <t xml:space="preserve">Estándar de la industria para instalaciones de 4–8 cámaras</t>
  </si>
  <si>
    <t xml:space="preserve">DS-7208HUHI-K2</t>
  </si>
  <si>
    <t xml:space="preserve">DVR híbrido Turbo HD 5.0</t>
  </si>
  <si>
    <t xml:space="preserve">8 canales coaxiales + 4 IP · 2 bahías SATA</t>
  </si>
  <si>
    <t xml:space="preserve">HDTVI hasta 8 MP, audio sobre coaxial, compatible TVI/AHD/CVI/CVBS</t>
  </si>
  <si>
    <t xml:space="preserve">Cámaras analógicas HD + hasta 4 IP ONVIF</t>
  </si>
  <si>
    <t xml:space="preserve">380 × 320 × 48 mm</t>
  </si>
  <si>
    <t xml:space="preserve">2.5 kg</t>
  </si>
  <si>
    <t xml:space="preserve">Para modernizar sistemas coaxiales existentes</t>
  </si>
  <si>
    <t xml:space="preserve">NVR5216-16P-4KS2E</t>
  </si>
  <si>
    <t xml:space="preserve">NVR WizSense con PoE</t>
  </si>
  <si>
    <t xml:space="preserve">16 canales · 16 PoE · 2 bahías SATA</t>
  </si>
  <si>
    <t xml:space="preserve">H.265+, SMD (detección inteligente de movimiento), ANPR opcional, HDMI+VGA</t>
  </si>
  <si>
    <t xml:space="preserve">ONVIF (Perfil S/T)</t>
  </si>
  <si>
    <t xml:space="preserve">440 × 410 × 75 mm</t>
  </si>
  <si>
    <t xml:space="preserve">Buena relación canales/PoE para proyectos medianos</t>
  </si>
  <si>
    <t xml:space="preserve">NVR302-16S-P16</t>
  </si>
  <si>
    <t xml:space="preserve">NVR profesional con PoE</t>
  </si>
  <si>
    <t xml:space="preserve">H.265, Lighthouse (búsqueda por IA), almacenamiento en nube EZStation</t>
  </si>
  <si>
    <t xml:space="preserve">ONVIF (Perfil S/T/G)</t>
  </si>
  <si>
    <t xml:space="preserve">440 × 393 × 68 mm</t>
  </si>
  <si>
    <t xml:space="preserve">4.2 kg</t>
  </si>
  <si>
    <t xml:space="preserve">Interfaz EZStation/EZView muy valorada por integradores</t>
  </si>
  <si>
    <t xml:space="preserve">HRX-810-4TB</t>
  </si>
  <si>
    <t xml:space="preserve">DVR pentabrid con HDD preinstalado</t>
  </si>
  <si>
    <t xml:space="preserve">8 canales analógicos + IP · 4 TB incluidos</t>
  </si>
  <si>
    <t xml:space="preserve">Soporta AHD/TVI/CVI/CVBS + IP, WiseStream, búsqueda inteligente</t>
  </si>
  <si>
    <t xml:space="preserve">Analógicos HD + IP ONVIF</t>
  </si>
  <si>
    <t xml:space="preserve">430 × 380 × 88 mm</t>
  </si>
  <si>
    <t xml:space="preserve">3.8 kg</t>
  </si>
  <si>
    <t xml:space="preserve">Incluye disco de 4 TB listo para grabar</t>
  </si>
  <si>
    <t xml:space="preserve">RLN16-410</t>
  </si>
  <si>
    <t xml:space="preserve">NVR PoE para cámaras Reolink/ONVIF</t>
  </si>
  <si>
    <t xml:space="preserve">16 canales · 4 bahías SATA (sin HDD)</t>
  </si>
  <si>
    <t xml:space="preserve">H.264/H.265, acceso remoto Reolink App, sin análisis IA en el NVR</t>
  </si>
  <si>
    <t xml:space="preserve">Cámaras Reolink + RTSP/ONVIF limitado</t>
  </si>
  <si>
    <t xml:space="preserve">440 × 410 × 65 mm</t>
  </si>
  <si>
    <t xml:space="preserve">3.6 kg</t>
  </si>
  <si>
    <t xml:space="preserve">Comprar HDD aparte (ver categoría Almacenamiento)</t>
  </si>
  <si>
    <t xml:space="preserve">VIGI NVR1008H-8P</t>
  </si>
  <si>
    <t xml:space="preserve">NVR VIGI con PoE extendido</t>
  </si>
  <si>
    <t xml:space="preserve">8 canales · 8 PoE · 1 bahía SATA</t>
  </si>
  <si>
    <t xml:space="preserve">H.265+, PoE hasta 250 m en modo extendido, VIGI Security Manager</t>
  </si>
  <si>
    <t xml:space="preserve">Cámaras VIGI + ONVIF</t>
  </si>
  <si>
    <t xml:space="preserve">315 × 240 × 45 mm</t>
  </si>
  <si>
    <t xml:space="preserve">Ideal para paquetes VIGI llave en mano</t>
  </si>
  <si>
    <t xml:space="preserve">NVR-208MH-C/8P</t>
  </si>
  <si>
    <t xml:space="preserve">NVR HiLook con PoE</t>
  </si>
  <si>
    <t xml:space="preserve">8 canales · 8 PoE · 2 bahías SATA</t>
  </si>
  <si>
    <t xml:space="preserve">H.265+, AcuSearch simplificado, HDMI 4K</t>
  </si>
  <si>
    <t xml:space="preserve">ONVIF (Perfil S) — línea económica de Hikvision</t>
  </si>
  <si>
    <t xml:space="preserve">385 × 315 × 52 mm</t>
  </si>
  <si>
    <t xml:space="preserve">Equivalente económico del DS-7608NXI</t>
  </si>
  <si>
    <t xml:space="preserve">NVR1008H-08P</t>
  </si>
  <si>
    <t xml:space="preserve">NVR compacto Imou con PoE</t>
  </si>
  <si>
    <t xml:space="preserve">H.265+, app Imou Life, unidad SSD 2.5" soportada</t>
  </si>
  <si>
    <t xml:space="preserve">Cámaras Imou + ONVIF</t>
  </si>
  <si>
    <t xml:space="preserve">Escritorio</t>
  </si>
  <si>
    <t xml:space="preserve">300 × 225 × 45 mm</t>
  </si>
  <si>
    <t xml:space="preserve">Para hogares y pequeñas oficinas con cámaras Imou</t>
  </si>
  <si>
    <t xml:space="preserve">Seagate</t>
  </si>
  <si>
    <t xml:space="preserve">SkyHawk AI 8 TB (ST8000VE001)</t>
  </si>
  <si>
    <t xml:space="preserve">Disco de vigilancia con soporte IA</t>
  </si>
  <si>
    <t xml:space="preserve">8 TB · 550 TB/año de carga de trabajo</t>
  </si>
  <si>
    <t xml:space="preserve">ImagePerfect AI, hasta 32 flujos de IA, MTBF 1M h, RV (antivibración)</t>
  </si>
  <si>
    <t xml:space="preserve">NVR/DVR SATA III</t>
  </si>
  <si>
    <t xml:space="preserve">SATA 6 Gb/s</t>
  </si>
  <si>
    <t xml:space="preserve">Interno 3.5"</t>
  </si>
  <si>
    <t xml:space="preserve">147 × 101.85 × 26.1 mm</t>
  </si>
  <si>
    <t xml:space="preserve">Recomendado cuando el NVR ejecuta analíticas de IA</t>
  </si>
  <si>
    <t xml:space="preserve">Western Digital</t>
  </si>
  <si>
    <t xml:space="preserve">Purple Pro 8 TB (WD82PURP)</t>
  </si>
  <si>
    <t xml:space="preserve">Disco de vigilancia gama profesional</t>
  </si>
  <si>
    <t xml:space="preserve">8 TB · 550 TB/año</t>
  </si>
  <si>
    <t xml:space="preserve">AllFrame AI (reduce pérdida de fotogramas), hasta 32 flujos IA, MTBF 1M h</t>
  </si>
  <si>
    <t xml:space="preserve">147 × 101.6 × 26.1 mm</t>
  </si>
  <si>
    <t xml:space="preserve">Alternativa directa al SkyHawk AI</t>
  </si>
  <si>
    <t xml:space="preserve">Toshiba</t>
  </si>
  <si>
    <t xml:space="preserve">S300 6 TB (HDWT760)</t>
  </si>
  <si>
    <t xml:space="preserve">Disco de vigilancia 24/7</t>
  </si>
  <si>
    <t xml:space="preserve">6 TB · 180 TB/año</t>
  </si>
  <si>
    <t xml:space="preserve">Hasta 64 cámaras, sensores rotacionales de impacto, bajo consumo</t>
  </si>
  <si>
    <t xml:space="preserve">590 g</t>
  </si>
  <si>
    <t xml:space="preserve">Excelente precio por TB para grabación continua</t>
  </si>
  <si>
    <t xml:space="preserve">Purple 4 TB (WD40PURZ)</t>
  </si>
  <si>
    <t xml:space="preserve">Disco de vigilancia estándar</t>
  </si>
  <si>
    <t xml:space="preserve">4 TB · 180 TB/año</t>
  </si>
  <si>
    <t xml:space="preserve">AllFrame (hasta 8 bahías), hasta 64 cámaras, bajo consumo</t>
  </si>
  <si>
    <t xml:space="preserve">570 g</t>
  </si>
  <si>
    <t xml:space="preserve">El disco de vigilancia más vendido para NVR pequeños</t>
  </si>
  <si>
    <t xml:space="preserve">SkyHawk 4 TB (ST4000VX015)</t>
  </si>
  <si>
    <t xml:space="preserve">Hasta 64 cámaras, ImagePerfect, MTBF 1M h</t>
  </si>
  <si>
    <t xml:space="preserve">147 × 101.85 × 20.2 mm</t>
  </si>
  <si>
    <t xml:space="preserve">Para NVR de 1–2 bahías en proyectos pequeños</t>
  </si>
  <si>
    <t xml:space="preserve">TP-Link</t>
  </si>
  <si>
    <t xml:space="preserve">TL-SG1210MP</t>
  </si>
  <si>
    <t xml:space="preserve">Switch PoE no administrable</t>
  </si>
  <si>
    <t xml:space="preserve">8 puertos GE PoE+ (123 W) + 2 GE uplink</t>
  </si>
  <si>
    <t xml:space="preserve">Modo extensión PoE hasta 250 m, aislamiento de puertos, carcasa metálica</t>
  </si>
  <si>
    <t xml:space="preserve">Cualquier cámara 802.3af/at</t>
  </si>
  <si>
    <t xml:space="preserve">Escritorio / rack (orejas)</t>
  </si>
  <si>
    <t xml:space="preserve">226 × 135 × 45 mm</t>
  </si>
  <si>
    <t xml:space="preserve">El switch PoE económico más usado en instalaciones pequeñas</t>
  </si>
  <si>
    <t xml:space="preserve">TL-SG2428P</t>
  </si>
  <si>
    <t xml:space="preserve">Switch PoE administrable L2+ (web)</t>
  </si>
  <si>
    <t xml:space="preserve">24 GE (24 PoE+, 384 W) + 4 SFP</t>
  </si>
  <si>
    <t xml:space="preserve">VLAN, QoS, LACP, IGMP, monitoreo PoE por puerto</t>
  </si>
  <si>
    <t xml:space="preserve">Rack 19" 1U</t>
  </si>
  <si>
    <t xml:space="preserve">440 × 220 × 43 mm</t>
  </si>
  <si>
    <t xml:space="preserve">3.4 kg</t>
  </si>
  <si>
    <t xml:space="preserve">Equilibrio ideal entre gestión y precio para proyectos medianos</t>
  </si>
  <si>
    <t xml:space="preserve">Ubiquiti</t>
  </si>
  <si>
    <t xml:space="preserve">USW-Lite-8-PoE</t>
  </si>
  <si>
    <t xml:space="preserve">Switch PoE administrable compacto</t>
  </si>
  <si>
    <t xml:space="preserve">8 GE (4 PoE+, 52 W)</t>
  </si>
  <si>
    <t xml:space="preserve">Gestión vía UniFi Network, VLAN, silencioso (sin ventilador)</t>
  </si>
  <si>
    <t xml:space="preserve">Escritorio / pared</t>
  </si>
  <si>
    <t xml:space="preserve">239 × 118 × 27 mm</t>
  </si>
  <si>
    <t xml:space="preserve">0.8 kg</t>
  </si>
  <si>
    <t xml:space="preserve">Perfecto para oficinas con UniFi Protect</t>
  </si>
  <si>
    <t xml:space="preserve">USW-Pro-Max-24-PoE</t>
  </si>
  <si>
    <t xml:space="preserve">Switch PoE administrable avanzado</t>
  </si>
  <si>
    <t xml:space="preserve">24 GE PoE+ (640 W) + 2 SFP+ 10G</t>
  </si>
  <si>
    <t xml:space="preserve">Pantalla táctil LCM, UniFi Network, PoE++ para PTZ y calentadores</t>
  </si>
  <si>
    <t xml:space="preserve">Cualquier cámara 802.3af/at/bt</t>
  </si>
  <si>
    <t xml:space="preserve">485 × 420 × 44 mm</t>
  </si>
  <si>
    <t xml:space="preserve">5.3 kg</t>
  </si>
  <si>
    <t xml:space="preserve">Para proyectos UniFi Protect grandes con PTZ</t>
  </si>
  <si>
    <t xml:space="preserve">DS-3E0326P-E/M(B)</t>
  </si>
  <si>
    <t xml:space="preserve">Switch PoE de larga distancia</t>
  </si>
  <si>
    <t xml:space="preserve">24 puertos FE PoE (230 W) + 2 GE combo</t>
  </si>
  <si>
    <t xml:space="preserve">Modo extendido 250 m, VLAN, aislamiento de puertos, vigilancia de circuito</t>
  </si>
  <si>
    <t xml:space="preserve">Cualquier cámara 802.3af</t>
  </si>
  <si>
    <t xml:space="preserve">440 × 174 × 44 mm</t>
  </si>
  <si>
    <t xml:space="preserve">2.3 kg</t>
  </si>
  <si>
    <t xml:space="preserve">Puertos 100 M suficientes para la mayoría de cámaras CCTV</t>
  </si>
  <si>
    <t xml:space="preserve">DH-PFS4218-16GT-240</t>
  </si>
  <si>
    <t xml:space="preserve">Switch PoE gigabit administrable</t>
  </si>
  <si>
    <t xml:space="preserve">16 GE PoE+ (240 W) + 2 GE + 2 SFP</t>
  </si>
  <si>
    <t xml:space="preserve">Modo extendido 250 m, VLAN, QoS, Watchdog PoE</t>
  </si>
  <si>
    <t xml:space="preserve">330 × 44 × 172 mm</t>
  </si>
  <si>
    <t xml:space="preserve">2.1 kg</t>
  </si>
  <si>
    <t xml:space="preserve">Puertos gigabit para cámaras 4K y PTZ</t>
  </si>
  <si>
    <t xml:space="preserve">Netgear</t>
  </si>
  <si>
    <t xml:space="preserve">GS324PP</t>
  </si>
  <si>
    <t xml:space="preserve">Switch PoE+ Plus de alto presupuesto</t>
  </si>
  <si>
    <t xml:space="preserve">24 GE PoE+ (380 W)</t>
  </si>
  <si>
    <t xml:space="preserve">Presupuesto PoE total 380 W, protección PoE++ (hasta 60 W por puerto)</t>
  </si>
  <si>
    <t xml:space="preserve">Rack 19" 1U / escritorio</t>
  </si>
  <si>
    <t xml:space="preserve">440 × 204 × 43 mm</t>
  </si>
  <si>
    <t xml:space="preserve">2.9 kg</t>
  </si>
  <si>
    <t xml:space="preserve">Marca neutra confiable cuando el cliente no exige gestionable</t>
  </si>
  <si>
    <t xml:space="preserve">APC</t>
  </si>
  <si>
    <t xml:space="preserve">Back-UPS BVX700LUI</t>
  </si>
  <si>
    <t xml:space="preserve">UPS línea interactiva</t>
  </si>
  <si>
    <t xml:space="preserve">700 VA / 400 W · 4 tomas + AVR</t>
  </si>
  <si>
    <t xml:space="preserve">Regulación automática de voltaje, puerto USB, alarma sonora</t>
  </si>
  <si>
    <t xml:space="preserve">NVR compacto / router / DVR</t>
  </si>
  <si>
    <t xml:space="preserve">120/230 VAC</t>
  </si>
  <si>
    <t xml:space="preserve">Torre</t>
  </si>
  <si>
    <t xml:space="preserve">140 × 78 × 237 mm</t>
  </si>
  <si>
    <t xml:space="preserve">4.6 kg</t>
  </si>
  <si>
    <t xml:space="preserve">Autonomía típica 15–30 min para NVR de 8 canales</t>
  </si>
  <si>
    <t xml:space="preserve">Eaton</t>
  </si>
  <si>
    <t xml:space="preserve">5E1100UI</t>
  </si>
  <si>
    <t xml:space="preserve">1100 VA / 660 W · 6 tomas + AVR</t>
  </si>
  <si>
    <t xml:space="preserve">Regulación AVR, modo ECO, protección de línea telefónica</t>
  </si>
  <si>
    <t xml:space="preserve">NVR + switch PoE mediano</t>
  </si>
  <si>
    <t xml:space="preserve">230 VAC</t>
  </si>
  <si>
    <t xml:space="preserve">145 × 90 × 240 mm</t>
  </si>
  <si>
    <t xml:space="preserve">6.0 kg</t>
  </si>
  <si>
    <t xml:space="preserve">Buena autonomía para gabinetes de 16 canales</t>
  </si>
  <si>
    <t xml:space="preserve">CyberPower</t>
  </si>
  <si>
    <t xml:space="preserve">CP1500PFCLCD</t>
  </si>
  <si>
    <t xml:space="preserve">UPS sinusoidal pura PFC</t>
  </si>
  <si>
    <t xml:space="preserve">1500 VA / 1000 W · 10 tomas</t>
  </si>
  <si>
    <t xml:space="preserve">Salida sinusoidal pura (PFC), pantalla LCD, USB/serie, AVR</t>
  </si>
  <si>
    <t xml:space="preserve">NVR + switch + monitor</t>
  </si>
  <si>
    <t xml:space="preserve">120 VAC</t>
  </si>
  <si>
    <t xml:space="preserve">145 × 100 × 250 mm</t>
  </si>
  <si>
    <t xml:space="preserve">9.0 kg</t>
  </si>
  <si>
    <t xml:space="preserve">Preferido cuando el equipo tiene fuente con PFC activo</t>
  </si>
  <si>
    <t xml:space="preserve">Vertiv</t>
  </si>
  <si>
    <t xml:space="preserve">Liebert PSA1500MT3</t>
  </si>
  <si>
    <t xml:space="preserve">1500 VA / 900 W · 8 tomas + AVR</t>
  </si>
  <si>
    <t xml:space="preserve">Pantalla LCD, torre/rack convertible (opcional), USB</t>
  </si>
  <si>
    <t xml:space="preserve">150 × 85 × 320 mm</t>
  </si>
  <si>
    <t xml:space="preserve">Alternativa sólida al CyberPower en 230 V</t>
  </si>
  <si>
    <t xml:space="preserve">Smart-UPS SMT1500C</t>
  </si>
  <si>
    <t xml:space="preserve">UPS online sinusoidal pura</t>
  </si>
  <si>
    <t xml:space="preserve">1500 VA / 1000 W · 8 tomas</t>
  </si>
  <si>
    <t xml:space="preserve">Salida sinusoidal pura, LCD inteligente, batería reemplazable en caliente, gestión SNMP (opcional)</t>
  </si>
  <si>
    <t xml:space="preserve">Rack completo de vigilancia</t>
  </si>
  <si>
    <t xml:space="preserve">Torre / rack 2U</t>
  </si>
  <si>
    <t xml:space="preserve">170 × 119 × 379 mm</t>
  </si>
  <si>
    <t xml:space="preserve">18.0 kg</t>
  </si>
  <si>
    <t xml:space="preserve">Estándar para salas técnicas con SLA exigente</t>
  </si>
  <si>
    <t xml:space="preserve">Smart-UPS SRT5KRMXLT</t>
  </si>
  <si>
    <t xml:space="preserve">UPS online doble conversión</t>
  </si>
  <si>
    <t xml:space="preserve">5000 VA / 4500 W · rack 3U</t>
  </si>
  <si>
    <t xml:space="preserve">Doble conversión online, tarjeta de red opcional, bypass manual</t>
  </si>
  <si>
    <t xml:space="preserve">Sala técnica / rack 42U completo</t>
  </si>
  <si>
    <t xml:space="preserve">208/230 VAC</t>
  </si>
  <si>
    <t xml:space="preserve">Rack 19" 3U</t>
  </si>
  <si>
    <t xml:space="preserve">432 × 85 × 645 mm</t>
  </si>
  <si>
    <t xml:space="preserve">36.0 kg</t>
  </si>
  <si>
    <t xml:space="preserve">Para centrales de monitoreo y proyectos críticos</t>
  </si>
  <si>
    <t xml:space="preserve">BenQ</t>
  </si>
  <si>
    <t xml:space="preserve">GW2480</t>
  </si>
  <si>
    <t xml:space="preserve">Monitor IPS FHD</t>
  </si>
  <si>
    <t xml:space="preserve">24" 1920 × 1080 · IPS</t>
  </si>
  <si>
    <t xml:space="preserve">Flicker-Free, Low Blue Light, HDMI+VGA, VESA 100</t>
  </si>
  <si>
    <t xml:space="preserve">NVR/VMS HDMI o VGA</t>
  </si>
  <si>
    <t xml:space="preserve">VESA / pie incluido</t>
  </si>
  <si>
    <t xml:space="preserve">539 × 181 × 406 mm</t>
  </si>
  <si>
    <t xml:space="preserve">Monitor económico confiable para puestos de operador</t>
  </si>
  <si>
    <t xml:space="preserve">LG</t>
  </si>
  <si>
    <t xml:space="preserve">24MK430H-B</t>
  </si>
  <si>
    <t xml:space="preserve">HDMI ×2 + D-Sub, FreeSync, modo lectura</t>
  </si>
  <si>
    <t xml:space="preserve">549 × 186 × 407 mm</t>
  </si>
  <si>
    <t xml:space="preserve">Alternativa directa al BenQ GW2480</t>
  </si>
  <si>
    <t xml:space="preserve">Dell</t>
  </si>
  <si>
    <t xml:space="preserve">E2422H</t>
  </si>
  <si>
    <t xml:space="preserve">Monitor IPS FHD empresarial</t>
  </si>
  <si>
    <t xml:space="preserve">HDMI + VGA, soporte Dell ajustable, garantía 3 años</t>
  </si>
  <si>
    <t xml:space="preserve">536 × 161 × 398 mm</t>
  </si>
  <si>
    <t xml:space="preserve">Garantía extendida valorada en proyectos corporativos</t>
  </si>
  <si>
    <t xml:space="preserve">ViewSonic</t>
  </si>
  <si>
    <t xml:space="preserve">VA2719-2K-SMHD</t>
  </si>
  <si>
    <t xml:space="preserve">Monitor IPS QHD</t>
  </si>
  <si>
    <t xml:space="preserve">27" 2560 × 1440 · IPS</t>
  </si>
  <si>
    <t xml:space="preserve">HDMI ×2 + DP, marcos ultra delgados, sin parpadeo</t>
  </si>
  <si>
    <t xml:space="preserve">NVR/VMS HDMI o DP</t>
  </si>
  <si>
    <t xml:space="preserve">612 × 172 × 454 mm</t>
  </si>
  <si>
    <t xml:space="preserve">4.9 kg</t>
  </si>
  <si>
    <t xml:space="preserve">Más escritorio visible en mosaicos de 4–9 cámaras</t>
  </si>
  <si>
    <t xml:space="preserve">Samsung</t>
  </si>
  <si>
    <t xml:space="preserve">S32A600NWU</t>
  </si>
  <si>
    <t xml:space="preserve">Monitor QHD 32"</t>
  </si>
  <si>
    <t xml:space="preserve">32" 2560 × 1440 · VA</t>
  </si>
  <si>
    <t xml:space="preserve">HDMI ×2 + DP, borde fino, FreeSync</t>
  </si>
  <si>
    <t xml:space="preserve">717 × 212 × 514 mm</t>
  </si>
  <si>
    <t xml:space="preserve">Tamaño cómodo para salas de monitoreo pequeñas</t>
  </si>
  <si>
    <t xml:space="preserve">NetShelter WX 9U (AR109)</t>
  </si>
  <si>
    <t xml:space="preserve">Gabinete de pared 9U</t>
  </si>
  <si>
    <t xml:space="preserve">9U · 520 mm profundidad · carga 45 kg</t>
  </si>
  <si>
    <t xml:space="preserve">Puerta de vidrio con candado, paneles laterales, ventiladores opcionales, bandejas</t>
  </si>
  <si>
    <t xml:space="preserve">NVR 1U + switch + UPS torre pequeña</t>
  </si>
  <si>
    <t xml:space="preserve">Pared</t>
  </si>
  <si>
    <t xml:space="preserve">600 × 520 × 495 mm</t>
  </si>
  <si>
    <t xml:space="preserve">23.0 kg</t>
  </si>
  <si>
    <t xml:space="preserve">Gabinete limpio y seguro para salas pequeñas</t>
  </si>
  <si>
    <t xml:space="preserve">Tripp Lite</t>
  </si>
  <si>
    <t xml:space="preserve">SRWO9U33</t>
  </si>
  <si>
    <t xml:space="preserve">9U · profundidad 33 cm</t>
  </si>
  <si>
    <t xml:space="preserve">Puerta sólida abatible, panel lateral removible, ventilación superior</t>
  </si>
  <si>
    <t xml:space="preserve">NVR + switch + UPS</t>
  </si>
  <si>
    <t xml:space="preserve">559 × 330 × 514 mm</t>
  </si>
  <si>
    <t xml:space="preserve">17.0 kg</t>
  </si>
  <si>
    <t xml:space="preserve">Opción económica de calidad consistente</t>
  </si>
  <si>
    <t xml:space="preserve">StarTech.com</t>
  </si>
  <si>
    <t xml:space="preserve">RK12WALL</t>
  </si>
  <si>
    <t xml:space="preserve">Rack de pared 12U</t>
  </si>
  <si>
    <t xml:space="preserve">12U · profundidad 445 mm</t>
  </si>
  <si>
    <t xml:space="preserve">Puerta de malla,paneles laterales, orificios de paso de cables</t>
  </si>
  <si>
    <t xml:space="preserve">NVR + switch + UPS + patch panel</t>
  </si>
  <si>
    <t xml:space="preserve">600 × 445 × 600 mm</t>
  </si>
  <si>
    <t xml:space="preserve">21.0 kg</t>
  </si>
  <si>
    <t xml:space="preserve">12 U amplias para crecer sin cambiar gabinete</t>
  </si>
  <si>
    <t xml:space="preserve">Genérico</t>
  </si>
  <si>
    <t xml:space="preserve">Gabinete exterior NEMA 4X</t>
  </si>
  <si>
    <t xml:space="preserve">Gabinete metálico exterior IP66</t>
  </si>
  <si>
    <t xml:space="preserve">Alto 80 cm × ancho 60 cm × fondo 30 cm (típico)</t>
  </si>
  <si>
    <t xml:space="preserve">Chapa galvanizada con pintura electrostática, ventiladores con filtros, bandeja 19" interna, candado</t>
  </si>
  <si>
    <t xml:space="preserve">NVR + switch PoE + UPS pequeña en exterior</t>
  </si>
  <si>
    <t xml:space="preserve">Poste / pared / piso</t>
  </si>
  <si>
    <t xml:space="preserve">800 × 600 × 300 mm</t>
  </si>
  <si>
    <t xml:space="preserve">28.0 kg</t>
  </si>
  <si>
    <t xml:space="preserve">Para puntos de campo donde no hay sala técnica</t>
  </si>
  <si>
    <t xml:space="preserve">Rittal</t>
  </si>
  <si>
    <t xml:space="preserve">TS IT 42U 800×800</t>
  </si>
  <si>
    <t xml:space="preserve">Rack de piso 42U</t>
  </si>
  <si>
    <t xml:space="preserve">42U · 800 × 800 mm</t>
  </si>
  <si>
    <t xml:space="preserve">Chapa soldada, puerta de malla, sellado IP20, kit de niveles, gestión de cables</t>
  </si>
  <si>
    <t xml:space="preserve">Sala técnica completa (VMS, switch núcleo, UPS)</t>
  </si>
  <si>
    <t xml:space="preserve">Piso</t>
  </si>
  <si>
    <t xml:space="preserve">800 × 800 × 2000 mm</t>
  </si>
  <si>
    <t xml:space="preserve">120.0 kg</t>
  </si>
  <si>
    <t xml:space="preserve">Referencia industrial para centrales de monitoreo</t>
  </si>
  <si>
    <t xml:space="preserve">Belden</t>
  </si>
  <si>
    <t xml:space="preserve">Cat6 UTP CMR 305 m</t>
  </si>
  <si>
    <t xml:space="preserve">Cable de red Cat6 para interiores</t>
  </si>
  <si>
    <t xml:space="preserve">Rollo 305 m · UTP Cat6 · 23 AWG cobre</t>
  </si>
  <si>
    <t xml:space="preserve">Estándar TIA/EIA-568, clase E, 250 MHz, chaqueta CMR (plenum-lite)</t>
  </si>
  <si>
    <t xml:space="preserve">Todas las cámaras IP y NVR</t>
  </si>
  <si>
    <t xml:space="preserve">Rollo / bandeja</t>
  </si>
  <si>
    <t xml:space="preserve">Rollo 305 m</t>
  </si>
  <si>
    <t xml:space="preserve">Cable premium cuando se exige certificación de enlace</t>
  </si>
  <si>
    <t xml:space="preserve">Cat6 UTP CMX exterior 305 m</t>
  </si>
  <si>
    <t xml:space="preserve">Cable Cat6 para exteriores</t>
  </si>
  <si>
    <t xml:space="preserve">Rollo 305 m · UTP Cat6 · chaqueta CMX con gel</t>
  </si>
  <si>
    <t xml:space="preserve">Resistencia UV y humedad, apto enterrado en ducto, 250 MHz</t>
  </si>
  <si>
    <t xml:space="preserve">Cámaras IP exteriores PoE</t>
  </si>
  <si>
    <t xml:space="preserve">Rollo</t>
  </si>
  <si>
    <t xml:space="preserve">10.0 kg</t>
  </si>
  <si>
    <t xml:space="preserve">Para tramos exteriores; usar con caja de paso sellada</t>
  </si>
  <si>
    <t xml:space="preserve">Coaxial RG59 + 2C 305 m</t>
  </si>
  <si>
    <t xml:space="preserve">Cable coaxial combo con alimentación</t>
  </si>
  <si>
    <t xml:space="preserve">Rollo 305 m · RG59 95% malla + 2×0.75 mm²</t>
  </si>
  <si>
    <t xml:space="preserve">Para video HD-TVI/AHD/CVI/CVBS + alimentación 12 V en un solo tendido</t>
  </si>
  <si>
    <t xml:space="preserve">Cámaras analógicas HD y DVR</t>
  </si>
  <si>
    <t xml:space="preserve">14.0 kg</t>
  </si>
  <si>
    <t xml:space="preserve">Combo clásico para sistemas Turbo HD</t>
  </si>
  <si>
    <t xml:space="preserve">MC220L</t>
  </si>
  <si>
    <t xml:space="preserve">Convertidor de medios Gigabit SFP</t>
  </si>
  <si>
    <t xml:space="preserve">1 puerto GE RJ45 + 1 ranura SFP</t>
  </si>
  <si>
    <t xml:space="preserve">Convierte enlace de fibra a cobre, chasis metálico, auto-negociación</t>
  </si>
  <si>
    <t xml:space="preserve">Enlaces de fibra entre edificios/switches</t>
  </si>
  <si>
    <t xml:space="preserve">220 VAC</t>
  </si>
  <si>
    <t xml:space="preserve">140 × 100 × 27 mm</t>
  </si>
  <si>
    <t xml:space="preserve">0.3 kg</t>
  </si>
  <si>
    <t xml:space="preserve">Requiere módulo SFP según distancia (multimodo/monomodo)</t>
  </si>
  <si>
    <t xml:space="preserve">Panduit</t>
  </si>
  <si>
    <t xml:space="preserve">Patch Panel Cat6 24 puertos</t>
  </si>
  <si>
    <t xml:space="preserve">Panel de conexión Cat6 1U</t>
  </si>
  <si>
    <t xml:space="preserve">24 puertos RJ45 · 1U</t>
  </si>
  <si>
    <t xml:space="preserve">Estándar 110/T568A-B, chasis acero, etiquetado incluido</t>
  </si>
  <si>
    <t xml:space="preserve">Switch PoE + tendido estructurado</t>
  </si>
  <si>
    <t xml:space="preserve">483 × 44 × 100 mm</t>
  </si>
  <si>
    <t xml:space="preserve">Ordena y profesionaliza el rack de vigilancia</t>
  </si>
  <si>
    <t xml:space="preserve">Conectores RJ45 Cat6 (×100)</t>
  </si>
  <si>
    <t xml:space="preserve">Conectores RJ45 para cable sólido</t>
  </si>
  <si>
    <t xml:space="preserve">Bolsa de 100 unidades · Cat6 8P8C</t>
  </si>
  <si>
    <t xml:space="preserve">Para crimpadora estándar, contactos banhados en oro</t>
  </si>
  <si>
    <t xml:space="preserve">Terminación de cables UTP Cat5e/Cat6</t>
  </si>
  <si>
    <t xml:space="preserve">Bolsa</t>
  </si>
  <si>
    <t xml:space="preserve">Calcular ~2 conectores por cámara (más repuestos)</t>
  </si>
  <si>
    <t xml:space="preserve">DS-1294ZJ</t>
  </si>
  <si>
    <t xml:space="preserve">Soporte universal con caja de paso</t>
  </si>
  <si>
    <t xml:space="preserve">Para domos/balas · aluminio</t>
  </si>
  <si>
    <t xml:space="preserve">Oculta el conector y la microSD, sellado con junta, tornillería incluida</t>
  </si>
  <si>
    <t xml:space="preserve">Domos y balas compatibles Hikvision/HiLook</t>
  </si>
  <si>
    <t xml:space="preserve">Techo / pared</t>
  </si>
  <si>
    <t xml:space="preserve">Ø 110 × 45 mm</t>
  </si>
  <si>
    <t xml:space="preserve">0.25 kg</t>
  </si>
  <si>
    <t xml:space="preserve">El accesorio más pedido en instalaciones de domos</t>
  </si>
  <si>
    <t xml:space="preserve">PFB203W</t>
  </si>
  <si>
    <t xml:space="preserve">Soporte de pared para balas</t>
  </si>
  <si>
    <t xml:space="preserve">Aluminio · IP65</t>
  </si>
  <si>
    <t xml:space="preserve">Pasacables interno, ángulo ajustable, resistente a intemperie</t>
  </si>
  <si>
    <t xml:space="preserve">Balas Dahua e Imou compatibles</t>
  </si>
  <si>
    <t xml:space="preserve">150 × 90 × 75 mm</t>
  </si>
  <si>
    <t xml:space="preserve">Da soporte firme y limpio a cámaras bala</t>
  </si>
  <si>
    <t xml:space="preserve">T94A01A</t>
  </si>
  <si>
    <t xml:space="preserve">Caja de paso / condulete</t>
  </si>
  <si>
    <t xml:space="preserve">Para domos y cámaras Axis P/Q/M</t>
  </si>
  <si>
    <t xml:space="preserve">Permite tendido conduit rígido, montaje en techo/pared, garante IP</t>
  </si>
  <si>
    <t xml:space="preserve">Cámaras Axis seleccionadas</t>
  </si>
  <si>
    <t xml:space="preserve">Ø 150 × 40 mm</t>
  </si>
  <si>
    <t xml:space="preserve">0.4 kg</t>
  </si>
  <si>
    <t xml:space="preserve">Requerida en instalaciones conduit para mantener IP66</t>
  </si>
  <si>
    <t xml:space="preserve">T90D25 IR-LED</t>
  </si>
  <si>
    <t xml:space="preserve">Iluminador infrarrojo</t>
  </si>
  <si>
    <t xml:space="preserve">850 nm · alcance 25 m · ángulo ajustable</t>
  </si>
  <si>
    <t xml:space="preserve">Fotocélula integrada, IP66, monta en pared/polo, sincroniza sin interfere color</t>
  </si>
  <si>
    <t xml:space="preserve">Cámaras con visión nocturna insuficiente</t>
  </si>
  <si>
    <t xml:space="preserve">24 VDC / PoE (kit)</t>
  </si>
  <si>
    <t xml:space="preserve">Pared / polo</t>
  </si>
  <si>
    <t xml:space="preserve">127 × 92 × 92 mm</t>
  </si>
  <si>
    <t xml:space="preserve">0.6 kg</t>
  </si>
  <si>
    <t xml:space="preserve">Iluminación IR profesional sin ojos rojos ni polillas</t>
  </si>
  <si>
    <t xml:space="preserve">Iluminador IR 30 m</t>
  </si>
  <si>
    <t xml:space="preserve">Iluminador infrarrojo económico</t>
  </si>
  <si>
    <t xml:space="preserve">850 nm · alcance 30 m · ángulo 60°</t>
  </si>
  <si>
    <t xml:space="preserve">Fotocélula día/noche, aluminio, IP66, alimentación 12 VDC</t>
  </si>
  <si>
    <t xml:space="preserve">Cámaras CCTV con sensor IR</t>
  </si>
  <si>
    <t xml:space="preserve">12 VDC (fuente aparte)</t>
  </si>
  <si>
    <t xml:space="preserve">105 × 80 × 65 mm</t>
  </si>
  <si>
    <t xml:space="preserve">0.35 kg</t>
  </si>
  <si>
    <t xml:space="preserve">Solución económica para patios y estacionamientos pequeños</t>
  </si>
  <si>
    <t xml:space="preserve">Fujinon</t>
  </si>
  <si>
    <t xml:space="preserve">YV2.8x2.8SR4A-2</t>
  </si>
  <si>
    <t xml:space="preserve">Lente varifocal para cámara box</t>
  </si>
  <si>
    <t xml:space="preserve">2.8–12 mm · f/1.4 · iris DC</t>
  </si>
  <si>
    <t xml:space="preserve">Formato 1/3", montura CS (incluye anillo C), enfoque manual preciso</t>
  </si>
  <si>
    <t xml:space="preserve">Cámaras box Axis/Dahua/Hikvision con montura CS</t>
  </si>
  <si>
    <t xml:space="preserve">Montura CS/C</t>
  </si>
  <si>
    <t xml:space="preserve">Ø 32 × 45 mm</t>
  </si>
  <si>
    <t xml:space="preserve">0.1 kg</t>
  </si>
  <si>
    <t xml:space="preserve">Lente de repuesto/reemplazo para turrón (box)</t>
  </si>
  <si>
    <t xml:space="preserve">Carcasa exterior IP66 para box</t>
  </si>
  <si>
    <t xml:space="preserve">Carcasa protectora con visera</t>
  </si>
  <si>
    <t xml:space="preserve">Aluminio · IP66 · calefactor opcional</t>
  </si>
  <si>
    <t xml:space="preserve">Protege cámaras box en exteriores, vidrio frontal, soporte incluido</t>
  </si>
  <si>
    <t xml:space="preserve">Cámaras turrón (box) con lente CS</t>
  </si>
  <si>
    <t xml:space="preserve">12 VDC (calefactor)</t>
  </si>
  <si>
    <t xml:space="preserve">380 × 120 × 120 mm</t>
  </si>
  <si>
    <t xml:space="preserve">Combinar con lente varifocal y caja de paso</t>
  </si>
  <si>
    <t xml:space="preserve">Fuente 12 VDC 5 A (4 salidas)</t>
  </si>
  <si>
    <t xml:space="preserve">Fuente conectorizada para cámaras</t>
  </si>
  <si>
    <t xml:space="preserve">12 VDC · 5 A · 4 salidas fusible</t>
  </si>
  <si>
    <t xml:space="preserve">Protección por salida (fusible reponible), disipación metálica, LED por canal</t>
  </si>
  <si>
    <t xml:space="preserve">Cámaras analógicas/domos 12 V</t>
  </si>
  <si>
    <t xml:space="preserve">110/220 VAC</t>
  </si>
  <si>
    <t xml:space="preserve">Pared / rack gabinete</t>
  </si>
  <si>
    <t xml:space="preserve">200 × 110 × 60 mm</t>
  </si>
  <si>
    <t xml:space="preserve">0.9 kg</t>
  </si>
  <si>
    <t xml:space="preserve">Clásica para DVRs y cámaras analógicas 12 V</t>
  </si>
  <si>
    <t xml:space="preserve">Fuente 12 VDC 10 A (9 salidas)</t>
  </si>
  <si>
    <t xml:space="preserve">Fuente conectorizada mayor capacidad</t>
  </si>
  <si>
    <t xml:space="preserve">12 VDC · 10 A · 9 salidas fusible</t>
  </si>
  <si>
    <t xml:space="preserve">Igual que la de 5 A pero para hasta 9 cámaras, ventilación pasiva</t>
  </si>
  <si>
    <t xml:space="preserve">Pared / gabinete</t>
  </si>
  <si>
    <t xml:space="preserve">215 × 135 × 65 mm</t>
  </si>
  <si>
    <t xml:space="preserve">Dimensionar con margen del 30% sobre consumo total</t>
  </si>
  <si>
    <t xml:space="preserve">U-POE-at</t>
  </si>
  <si>
    <t xml:space="preserve">Inyector PoE+ Gigabit</t>
  </si>
  <si>
    <t xml:space="preserve">802.3at · 30 W · 1 puerto GE</t>
  </si>
  <si>
    <t xml:space="preserve">Alimenta una cámara PTZ o de alta demanda desde un switch sin PoE</t>
  </si>
  <si>
    <t xml:space="preserve">Cámaras 802.3af/at</t>
  </si>
  <si>
    <t xml:space="preserve">Toma / pared</t>
  </si>
  <si>
    <t xml:space="preserve">97 × 46 × 29 mm</t>
  </si>
  <si>
    <t xml:space="preserve">0.2 kg</t>
  </si>
  <si>
    <t xml:space="preserve">Solución rápida para 1–2 cámaras sin cambiar switch</t>
  </si>
  <si>
    <t xml:space="preserve">PFT1300</t>
  </si>
  <si>
    <t xml:space="preserve">Extensor PoE</t>
  </si>
  <si>
    <t xml:space="preserve">Alcance +100 m (total hasta 300 m) · 1 par</t>
  </si>
  <si>
    <t xml:space="preserve">Repite el PoE sobre cable Cat5e/Cat6, transparente al protocolo</t>
  </si>
  <si>
    <t xml:space="preserve">Cámaras IP y switch PoE</t>
  </si>
  <si>
    <t xml:space="preserve">Sin alimentación (pasivo)</t>
  </si>
  <si>
    <t xml:space="preserve">Inline / pared</t>
  </si>
  <si>
    <t xml:space="preserve">82 × 56 × 24 mm</t>
  </si>
  <si>
    <t xml:space="preserve">0.15 kg</t>
  </si>
  <si>
    <t xml:space="preserve">Cuando el tendido supera los 100 m estándar</t>
  </si>
  <si>
    <t xml:space="preserve">TL-PoE150G</t>
  </si>
  <si>
    <t xml:space="preserve">Inyector PoE Gigabit</t>
  </si>
  <si>
    <t xml:space="preserve">802.3af · 15.4 W · 1 puerto GE</t>
  </si>
  <si>
    <t xml:space="preserve">Alimenta cámaras IP estándar desde switch sin PoE, chasis compacto</t>
  </si>
  <si>
    <t xml:space="preserve">Cámaras 802.3af</t>
  </si>
  <si>
    <t xml:space="preserve">91 × 58 × 26 mm</t>
  </si>
  <si>
    <t xml:space="preserve">Para domos y balas de consumo moderado</t>
  </si>
  <si>
    <t xml:space="preserve">Milestone Systems</t>
  </si>
  <si>
    <t xml:space="preserve">XProtect Express+</t>
  </si>
  <si>
    <t xml:space="preserve">VMS profesional por dispositivo</t>
  </si>
  <si>
    <t xml:space="preserve">Licencia por dispositivo · hasta 64 dispositivos</t>
  </si>
  <si>
    <t xml:space="preserve">Grabación avanzada, búsqueda por movimiento, app móvil, soporte incluido</t>
  </si>
  <si>
    <t xml:space="preserve">Cámaras de 200+ fabricantes (MIP)</t>
  </si>
  <si>
    <t xml:space="preserve">Servidor Windows</t>
  </si>
  <si>
    <t xml:space="preserve">Licencia electrónica</t>
  </si>
  <si>
    <t xml:space="preserve">Precio por dispositivo; el estándar de la industria</t>
  </si>
  <si>
    <t xml:space="preserve">XProtect Professional+</t>
  </si>
  <si>
    <t xml:space="preserve">VMS profesional avanzado</t>
  </si>
  <si>
    <t xml:space="preserve">Licencia por dispositivo · hasta 256 dispositivos</t>
  </si>
  <si>
    <t xml:space="preserve">Todo Express+ + video wall, integraciones por API, inquilinos móviles</t>
  </si>
  <si>
    <t xml:space="preserve">Para multi-sitio y analíticas de terceros</t>
  </si>
  <si>
    <t xml:space="preserve">AXIS Camera Station Pro</t>
  </si>
  <si>
    <t xml:space="preserve">VMS nativo Axis</t>
  </si>
  <si>
    <t xml:space="preserve">Licencia por dispositivo (incluye cámara)</t>
  </si>
  <si>
    <t xml:space="preserve">Grabación NVR/servidor, búsqueda inteligente, app móvil, certificados AXIS</t>
  </si>
  <si>
    <t xml:space="preserve">Cámaras Axis + ONVIF</t>
  </si>
  <si>
    <t xml:space="preserve">Integración total con cámaras Axis</t>
  </si>
  <si>
    <t xml:space="preserve">Wisenet WAVE Professional</t>
  </si>
  <si>
    <t xml:space="preserve">VMS flexible por canal</t>
  </si>
  <si>
    <t xml:space="preserve">Licencia por canal · multi-servidor</t>
  </si>
  <si>
    <t xml:space="preserve">Interfaz moderna, analíticas integradas, cliente web y escritorio</t>
  </si>
  <si>
    <t xml:space="preserve">Cámaras Wisenet + ONVIF + RTSP</t>
  </si>
  <si>
    <t xml:space="preserve">Servidor Windows/Linux</t>
  </si>
  <si>
    <t xml:space="preserve">Precio por canal profesional; muy escalable</t>
  </si>
  <si>
    <t xml:space="preserve">HikCentral Professional</t>
  </si>
  <si>
    <t xml:space="preserve">Plataforma central Hikvision</t>
  </si>
  <si>
    <t xml:space="preserve">Servidor base 16 canales (expansible)</t>
  </si>
  <si>
    <t xml:space="preserve">Mapas, control de acceso integrado, analíticas, reportes, app HikCentral</t>
  </si>
  <si>
    <t xml:space="preserve">Cámaras Hikvision/HiLook + ONVIF</t>
  </si>
  <si>
    <t xml:space="preserve">Licencia base + coste por canal adicional según proyecto</t>
  </si>
  <si>
    <t xml:space="preserve">Perspective Software</t>
  </si>
  <si>
    <t xml:space="preserve">Blue Iris v5 (licencia)</t>
  </si>
  <si>
    <t xml:space="preserve">VMS ligero para Windows</t>
  </si>
  <si>
    <t xml:space="preserve">Hasta 64 cámaras · 1 licencia completa</t>
  </si>
  <si>
    <t xml:space="preserve">Grabación por movimiento/IA (CodeProject), app móvil, bajo costo de hardware</t>
  </si>
  <si>
    <t xml:space="preserve">Cámaras RTSP/ONVIF de cualquier marca</t>
  </si>
  <si>
    <t xml:space="preserve">PC Windows</t>
  </si>
  <si>
    <t xml:space="preserve">Favorita DIY; requiere PC dedicado potente</t>
  </si>
  <si>
    <t xml:space="preserve">Comparativa por Tipo de Cámara — Modelos de Referencia</t>
  </si>
  <si>
    <t xml:space="preserve">1. Domo</t>
  </si>
  <si>
    <t xml:space="preserve">Cámara compacta de techo o pared, discreta, para interiores y exteriores</t>
  </si>
  <si>
    <t xml:space="preserve">Especificación</t>
  </si>
  <si>
    <t xml:space="preserve">Axis Communications
AXIS P3245-LVE</t>
  </si>
  <si>
    <t xml:space="preserve">Hikvision
DS-2CD2131G0-I</t>
  </si>
  <si>
    <t xml:space="preserve">HiLook (Hikvision)
IPC-D150H-MU</t>
  </si>
  <si>
    <t xml:space="preserve">Resolución</t>
  </si>
  <si>
    <t xml:space="preserve">2. Domo Antivandálica</t>
  </si>
  <si>
    <t xml:space="preserve">Domo reforzado IK10 para ambientes con alto riesgo de vandalismo</t>
  </si>
  <si>
    <t xml:space="preserve">Bosch Security Systems
FLEXIDOME IP outdoor 5000i (NDE-5502-AL)</t>
  </si>
  <si>
    <t xml:space="preserve">Dahua Technology
DH-IPC-HDBW2431T1-AS-S2</t>
  </si>
  <si>
    <t xml:space="preserve">TP-Link VIGI
VIGI C450V</t>
  </si>
  <si>
    <t xml:space="preserve">3. Bala</t>
  </si>
  <si>
    <t xml:space="preserve">Formato cilíndrico con soporte; mayor alcance IR, ideal para perímetros</t>
  </si>
  <si>
    <t xml:space="preserve">Axis Communications
AXIS P1467-LE</t>
  </si>
  <si>
    <t xml:space="preserve">Hikvision
DS-2CD2043G0-I</t>
  </si>
  <si>
    <t xml:space="preserve">Reolink
RLC-820A</t>
  </si>
  <si>
    <t xml:space="preserve">4. PTZ</t>
  </si>
  <si>
    <t xml:space="preserve">Pan/Tilt/Zoom motorizado con seguimiento automático para vigilancia activa</t>
  </si>
  <si>
    <t xml:space="preserve">Axis Communications
AXIS P5655-E</t>
  </si>
  <si>
    <t xml:space="preserve">Hanwha Vision (Wisenet)
XNP-C6403RW</t>
  </si>
  <si>
    <t xml:space="preserve">TP-Link VIGI
VIGI C320</t>
  </si>
  <si>
    <t xml:space="preserve">5. Mini PTZ</t>
  </si>
  <si>
    <t xml:space="preserve">PTZ compacto y económico para interiores y fachadas</t>
  </si>
  <si>
    <t xml:space="preserve">Axis Communications
AXIS P5522-E</t>
  </si>
  <si>
    <t xml:space="preserve">Dahua Technology
DH-SD29204T-GN-W</t>
  </si>
  <si>
    <t xml:space="preserve">Hikvision
DS-2DE2A404IW-DE3</t>
  </si>
  <si>
    <t xml:space="preserve">6. Turrón (Box)</t>
  </si>
  <si>
    <t xml:space="preserve">Cuerpo modular con lente intercambiable; máxima flexibilidad óptica</t>
  </si>
  <si>
    <t xml:space="preserve">Axis Communications
AXIS P1377</t>
  </si>
  <si>
    <t xml:space="preserve">Hikvision
DS-2CD6047FWD-A</t>
  </si>
  <si>
    <t xml:space="preserve">Dahua Technology
DH-IPC-HF82350E</t>
  </si>
  <si>
    <t xml:space="preserve">7. Ojo de Pez (Fisheye)</t>
  </si>
  <si>
    <t xml:space="preserve">Lente 360° con vista panorámica desenvuelta (ePTZ)</t>
  </si>
  <si>
    <t xml:space="preserve">Axis Communications
AXIS M3075-PLVE</t>
  </si>
  <si>
    <t xml:space="preserve">Hanwha Vision (Wisenet)
XNF-9010RW</t>
  </si>
  <si>
    <t xml:space="preserve">Uniview (UNV)
IPC868ER-VF18-B-M</t>
  </si>
  <si>
    <t xml:space="preserve">8. Multisensor / Panorámica</t>
  </si>
  <si>
    <t xml:space="preserve">Varios sensores en un solo cuerpo; cobertura 180° sin distorsión</t>
  </si>
  <si>
    <t xml:space="preserve">Axis Communications
AXIS P3727-PLE</t>
  </si>
  <si>
    <t xml:space="preserve">Pelco (Motorola)
IME419-4MS</t>
  </si>
  <si>
    <t xml:space="preserve">Hikvision
DS-2CD6W425G0E-10</t>
  </si>
  <si>
    <t xml:space="preserve">9. Oculta (Pinhole)</t>
  </si>
  <si>
    <t xml:space="preserve">Diseño oculto para vigilancia discreta (cajeros, recepciones)</t>
  </si>
  <si>
    <t xml:space="preserve">Axis Communications
AXIS P1275</t>
  </si>
  <si>
    <t xml:space="preserve">Hikvision
DS-2CD6412FWD-C/NF</t>
  </si>
  <si>
    <t xml:space="preserve">Dahua Technology
DH-IPC-C22EP</t>
  </si>
  <si>
    <t xml:space="preserve">10. Térmica</t>
  </si>
  <si>
    <t xml:space="preserve">Detección por calor; perimetral en oscuridad total, niebla y humo</t>
  </si>
  <si>
    <t xml:space="preserve">Axis Communications
AXIS Q1971-E 35 mm</t>
  </si>
  <si>
    <t xml:space="preserve">Bosch Security Systems
MIC IP thermal 7100i (95 mm)</t>
  </si>
  <si>
    <t xml:space="preserve">Hikvision
DS-2TD2617-10/PA</t>
  </si>
  <si>
    <t xml:space="preserve">11. LPR (Matrículas)</t>
  </si>
  <si>
    <t xml:space="preserve">Optimizada para la lectura de matrículas vehiculares (ANPR)</t>
  </si>
  <si>
    <t xml:space="preserve">Axis Communications
AXIS P1468-LE</t>
  </si>
  <si>
    <t xml:space="preserve">Hikvision
DS-2CD4A85FWD-IZHS</t>
  </si>
  <si>
    <t xml:space="preserve">Dahua Technology
DH-ITC413-PV1.0</t>
  </si>
  <si>
    <t xml:space="preserve">12. Dual-Lente</t>
  </si>
  <si>
    <t xml:space="preserve">Dos sensores independientes (tele + panorámica u óptica + térmica)</t>
  </si>
  <si>
    <t xml:space="preserve">Hikvision
DS-2SE6C432MW-DE</t>
  </si>
  <si>
    <t xml:space="preserve">Uniview (UNV)
IPC864SB-DF40KM-2I0</t>
  </si>
  <si>
    <t xml:space="preserve">Reolink
RLC-Duo 3 PoE</t>
  </si>
  <si>
    <t xml:space="preserve">13. IA Integrada</t>
  </si>
  <si>
    <t xml:space="preserve">Analíticas de deep learning en el borde (personas, vehículos, rostros)</t>
  </si>
  <si>
    <t xml:space="preserve">Avigilon (Motorola)
H6A-B2</t>
  </si>
  <si>
    <t xml:space="preserve">Hikvision
DS-2CD2147G2H-LU</t>
  </si>
  <si>
    <t xml:space="preserve">Reolink
RLC-842A</t>
  </si>
  <si>
    <t xml:space="preserve">14. Interior WiFi</t>
  </si>
  <si>
    <t xml:space="preserve">Cámara consumer WiFi para hogar u oficina, instalación DIY</t>
  </si>
  <si>
    <t xml:space="preserve">Bosch Security Systems
Bosch Smart Home Eyes II (interior)</t>
  </si>
  <si>
    <t xml:space="preserve">Honeywell Security
Resideo VistaCam 700</t>
  </si>
  <si>
    <t xml:space="preserve">EZVIZ (Hikvision)
CS-C6N</t>
  </si>
  <si>
    <t xml:space="preserve">Lista de Precios / Cotización — Cámaras y Equipamiento</t>
  </si>
  <si>
    <t xml:space="preserve">Cliente:</t>
  </si>
  <si>
    <t xml:space="preserve">Proyecto:</t>
  </si>
  <si>
    <t xml:space="preserve">Fecha:</t>
  </si>
  <si>
    <t xml:space="preserve">Elaborado por:</t>
  </si>
  <si>
    <t xml:space="preserve">A. Cámaras — Base de Datos (968 modelos: 20 marcas × 14 tipos × 5 variantes)</t>
  </si>
  <si>
    <t xml:space="preserve">Precio Unit. (USD)</t>
  </si>
  <si>
    <t xml:space="preserve">Cantidad</t>
  </si>
  <si>
    <t xml:space="preserve">Descuento</t>
  </si>
  <si>
    <t xml:space="preserve">Subtotal (USD)</t>
  </si>
  <si>
    <t xml:space="preserve">Notas</t>
  </si>
  <si>
    <t xml:space="preserve">Subtotal A — Cámaras (USD)</t>
  </si>
  <si>
    <t xml:space="preserve">B. Equipamiento — NVR, Switch, UPS, Monitores, Rack y más (62 modelos)</t>
  </si>
  <si>
    <t xml:space="preserve">Subtotal B — Equipamiento (USD)</t>
  </si>
  <si>
    <t xml:space="preserve">TOTAL GENERAL COTIZADO (USD)</t>
  </si>
  <si>
    <t xml:space="preserve">Ítems cotizados:</t>
  </si>
  <si>
    <t xml:space="preserve">Monto total con descuentos (USD):</t>
  </si>
  <si>
    <t xml:space="preserve">Instrucciones: complete los datos del encabezado; en la sección A (cámaras) y la sección B (equipamiento) ingrese Cantidad y Descuento (0%–90%) por ítem; Subtotales y TOTAL GENERAL se calculan automáticamente. Los precios unitarios provienen de las hojas Base de Datos y Equipamiento (columna Precio Ref.), donde puede editarlos. Precios referenciales en USD.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</si>
</sst>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7C6B"/>
      <name val="Calibri"/>
      <family val="0"/>
      <charset val="1"/>
    </font>
    <font>
      <sz val="9"/>
      <color rgb="FF7A8C87"/>
      <name val="Calibri"/>
      <family val="0"/>
      <charset val="1"/>
    </font>
    <font>
      <b val="true"/>
      <sz val="22"/>
      <color rgb="FF0E7C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1"/>
      <color rgb="FF0E7C6B"/>
      <name val="Calibri"/>
      <family val="0"/>
      <charset val="1"/>
    </font>
    <font>
      <sz val="11"/>
      <color rgb="FF2F3735"/>
      <name val="Calibri"/>
      <family val="0"/>
      <charset val="1"/>
    </font>
    <font>
      <b val="true"/>
      <sz val="11"/>
      <color rgb="FF0E7C6B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7C6B"/>
        <bgColor rgb="FF008080"/>
      </patternFill>
    </fill>
    <fill>
      <patternFill patternType="solid">
        <fgColor rgb="FFFFFFFF"/>
        <bgColor rgb="FFF2F8F6"/>
      </patternFill>
    </fill>
    <fill>
      <patternFill patternType="solid">
        <fgColor rgb="FFF2F8F6"/>
        <bgColor rgb="FFFFFFFF"/>
      </patternFill>
    </fill>
    <fill>
      <patternFill patternType="solid">
        <fgColor rgb="FFD4F0EB"/>
        <bgColor rgb="FFDEE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EE9E6"/>
      </bottom>
      <diagonal/>
    </border>
    <border diagonalUp="false" diagonalDown="false">
      <left/>
      <right/>
      <top style="medium">
        <color rgb="FFDEE9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Calibri"/>
        <charset val="1"/>
        <family val="0"/>
        <color rgb="FF7A8C87"/>
        <sz val="11"/>
      </font>
    </dxf>
    <dxf>
      <font>
        <color rgb="FF2E9E5A"/>
      </font>
    </dxf>
    <dxf>
      <fill>
        <patternFill patternType="solid">
          <fgColor rgb="FF0E7C6B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3735"/>
          <bgColor rgb="FF000000"/>
        </patternFill>
      </fill>
    </dxf>
    <dxf>
      <fill>
        <patternFill patternType="solid">
          <fgColor rgb="FF7A8C87"/>
          <bgColor rgb="FF000000"/>
        </patternFill>
      </fill>
    </dxf>
    <dxf>
      <font>
        <name val="Calibri"/>
        <charset val="1"/>
        <family val="0"/>
        <i val="1"/>
        <color rgb="FF7A8C87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B"/>
      <rgbColor rgb="FFC0C0C0"/>
      <rgbColor rgb="FF7A8C87"/>
      <rgbColor rgb="FF9999FF"/>
      <rgbColor rgb="FF993366"/>
      <rgbColor rgb="FFF2F8F6"/>
      <rgbColor rgb="FFD4F0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9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9E5A"/>
      <rgbColor rgb="FF003300"/>
      <rgbColor rgb="FF333300"/>
      <rgbColor rgb="FF993300"/>
      <rgbColor rgb="FF993366"/>
      <rgbColor rgb="FF333399"/>
      <rgbColor rgb="FF2F37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4" min="3" style="1" width="30"/>
    <col collapsed="false" customWidth="true" hidden="false" outlineLevel="0" max="5" min="5" style="1" width="22"/>
    <col collapsed="false" customWidth="true" hidden="false" outlineLevel="0" max="8" min="6" style="1" width="1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n">
        <v>20</v>
      </c>
      <c r="C5" s="4" t="n">
        <v>14</v>
      </c>
      <c r="D5" s="4" t="n">
        <f aca="false">COUNTA('Base de Datos'!$G$5:$G$972)</f>
        <v>968</v>
      </c>
      <c r="E5" s="4" t="n">
        <f aca="false">COUNTIFS('Base de Datos'!$G$5:$G$972,"&lt;&gt;*No disponible*")</f>
        <v>860</v>
      </c>
      <c r="F5" s="4" t="n">
        <v>10</v>
      </c>
      <c r="G5" s="4" t="n">
        <f aca="false">COUNTA(Equipamiento!$F$5:$F$66)</f>
        <v>62</v>
      </c>
    </row>
    <row r="6" customFormat="false" ht="15" hidden="false" customHeight="fals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9" customFormat="false" ht="27.75" hidden="false" customHeight="true" outlineLevel="0" collapsed="false">
      <c r="B9" s="5" t="s">
        <v>8</v>
      </c>
      <c r="C9" s="5" t="s">
        <v>9</v>
      </c>
    </row>
    <row r="10" customFormat="false" ht="21.75" hidden="false" customHeight="true" outlineLevel="0" collapsed="false">
      <c r="B10" s="6" t="str">
        <f aca="false">HYPERLINK("#'Resumen'!B2","Resumen")</f>
        <v>Resumen</v>
      </c>
      <c r="C10" s="7" t="s">
        <v>10</v>
      </c>
    </row>
    <row r="11" customFormat="false" ht="21.75" hidden="false" customHeight="true" outlineLevel="0" collapsed="false">
      <c r="B11" s="8" t="str">
        <f aca="false">HYPERLINK("#'Base de Datos'!B2","Base de Datos")</f>
        <v>Base de Datos</v>
      </c>
      <c r="C11" s="9" t="s">
        <v>11</v>
      </c>
    </row>
    <row r="12" customFormat="false" ht="21.75" hidden="false" customHeight="true" outlineLevel="0" collapsed="false">
      <c r="B12" s="6" t="str">
        <f aca="false">HYPERLINK("#'Equipamiento'!B2","Equipamiento")</f>
        <v>Equipamiento</v>
      </c>
      <c r="C12" s="7" t="s">
        <v>12</v>
      </c>
    </row>
    <row r="13" customFormat="false" ht="21.75" hidden="false" customHeight="true" outlineLevel="0" collapsed="false">
      <c r="B13" s="8" t="str">
        <f aca="false">HYPERLINK("#'Comparativa'!B2","Comparativa")</f>
        <v>Comparativa</v>
      </c>
      <c r="C13" s="9" t="s">
        <v>13</v>
      </c>
    </row>
    <row r="14" customFormat="false" ht="21.75" hidden="false" customHeight="true" outlineLevel="0" collapsed="false">
      <c r="B14" s="6" t="str">
        <f aca="false">HYPERLINK("#'Lista de Precios'!B2","Lista de Precios")</f>
        <v>Lista de Precios</v>
      </c>
      <c r="C14" s="7" t="s">
        <v>14</v>
      </c>
    </row>
    <row r="15" customFormat="false" ht="15" hidden="false" customHeight="false" outlineLevel="0" collapsed="false">
      <c r="B15" s="10" t="s">
        <v>15</v>
      </c>
    </row>
    <row r="16" customFormat="false" ht="27.75" hidden="false" customHeight="true" outlineLevel="0" collapsed="false">
      <c r="B16" s="5" t="s">
        <v>16</v>
      </c>
      <c r="C16" s="5" t="s">
        <v>2</v>
      </c>
      <c r="D16" s="5" t="s">
        <v>17</v>
      </c>
    </row>
    <row r="17" customFormat="false" ht="27.75" hidden="false" customHeight="true" outlineLevel="0" collapsed="false">
      <c r="B17" s="11" t="s">
        <v>18</v>
      </c>
      <c r="C17" s="7" t="s">
        <v>19</v>
      </c>
      <c r="D17" s="7" t="s">
        <v>20</v>
      </c>
    </row>
    <row r="18" customFormat="false" ht="27.75" hidden="false" customHeight="true" outlineLevel="0" collapsed="false">
      <c r="B18" s="12" t="s">
        <v>21</v>
      </c>
      <c r="C18" s="9" t="s">
        <v>22</v>
      </c>
      <c r="D18" s="9" t="s">
        <v>23</v>
      </c>
    </row>
    <row r="19" customFormat="false" ht="27.75" hidden="false" customHeight="true" outlineLevel="0" collapsed="false">
      <c r="B19" s="11" t="s">
        <v>24</v>
      </c>
      <c r="C19" s="7" t="s">
        <v>25</v>
      </c>
      <c r="D19" s="7" t="s">
        <v>26</v>
      </c>
    </row>
    <row r="20" customFormat="false" ht="27.75" hidden="false" customHeight="true" outlineLevel="0" collapsed="false">
      <c r="B20" s="12" t="s">
        <v>27</v>
      </c>
      <c r="C20" s="9" t="s">
        <v>28</v>
      </c>
      <c r="D20" s="9" t="s">
        <v>29</v>
      </c>
    </row>
    <row r="23" customFormat="false" ht="15" hidden="false" customHeight="false" outlineLevel="0" collapsed="false">
      <c r="B23" s="10" t="s">
        <v>30</v>
      </c>
    </row>
    <row r="24" customFormat="false" ht="24" hidden="false" customHeight="true" outlineLevel="0" collapsed="false">
      <c r="B24" s="13" t="s">
        <v>31</v>
      </c>
      <c r="C24" s="13"/>
      <c r="D24" s="13"/>
      <c r="E24" s="13"/>
      <c r="F24" s="13"/>
      <c r="G24" s="13"/>
      <c r="H24" s="13"/>
    </row>
    <row r="25" customFormat="false" ht="24" hidden="false" customHeight="true" outlineLevel="0" collapsed="false">
      <c r="B25" s="13" t="s">
        <v>32</v>
      </c>
      <c r="C25" s="13"/>
      <c r="D25" s="13"/>
      <c r="E25" s="13"/>
      <c r="F25" s="13"/>
      <c r="G25" s="13"/>
      <c r="H25" s="13"/>
    </row>
    <row r="26" customFormat="false" ht="24" hidden="false" customHeight="true" outlineLevel="0" collapsed="false">
      <c r="B26" s="13" t="s">
        <v>33</v>
      </c>
      <c r="C26" s="13"/>
      <c r="D26" s="13"/>
      <c r="E26" s="13"/>
      <c r="F26" s="13"/>
      <c r="G26" s="13"/>
      <c r="H26" s="13"/>
    </row>
    <row r="27" customFormat="false" ht="24" hidden="false" customHeight="true" outlineLevel="0" collapsed="false">
      <c r="B27" s="13" t="s">
        <v>34</v>
      </c>
      <c r="C27" s="13"/>
      <c r="D27" s="13"/>
      <c r="E27" s="13"/>
      <c r="F27" s="13"/>
      <c r="G27" s="13"/>
      <c r="H27" s="13"/>
    </row>
    <row r="28" customFormat="false" ht="24" hidden="false" customHeight="true" outlineLevel="0" collapsed="false">
      <c r="B28" s="13" t="s">
        <v>35</v>
      </c>
      <c r="C28" s="13"/>
      <c r="D28" s="13"/>
      <c r="E28" s="13"/>
      <c r="F28" s="13"/>
      <c r="G28" s="13"/>
      <c r="H28" s="13"/>
    </row>
    <row r="29" customFormat="false" ht="24" hidden="false" customHeight="true" outlineLevel="0" collapsed="false">
      <c r="B29" s="13" t="s">
        <v>36</v>
      </c>
      <c r="C29" s="13"/>
      <c r="D29" s="13"/>
      <c r="E29" s="13"/>
      <c r="F29" s="13"/>
      <c r="G29" s="13"/>
      <c r="H29" s="13"/>
    </row>
    <row r="30" customFormat="false" ht="24" hidden="false" customHeight="true" outlineLevel="0" collapsed="false">
      <c r="B30" s="13" t="s">
        <v>37</v>
      </c>
      <c r="C30" s="13"/>
      <c r="D30" s="13"/>
      <c r="E30" s="13"/>
      <c r="F30" s="13"/>
      <c r="G30" s="13"/>
      <c r="H30" s="13"/>
    </row>
  </sheetData>
  <mergeCells count="8">
    <mergeCell ref="B2:H2"/>
    <mergeCell ref="B24:H24"/>
    <mergeCell ref="B25:H25"/>
    <mergeCell ref="B26:H26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X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22" min="5" style="1" width="13"/>
    <col collapsed="false" customWidth="true" hidden="false" outlineLevel="0" max="23" min="23" style="1" width="9"/>
  </cols>
  <sheetData>
    <row r="2" customFormat="false" ht="31.5" hidden="false" customHeight="true" outlineLevel="0" collapsed="false"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7.5" hidden="false" customHeight="true" outlineLevel="0" collapsed="false"/>
    <row r="5" customFormat="false" ht="27.75" hidden="false" customHeight="true" outlineLevel="0" collapsed="false"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</row>
    <row r="6" customFormat="false" ht="21.75" hidden="false" customHeight="true" outlineLevel="0" collapsed="false">
      <c r="B6" s="7" t="s">
        <v>61</v>
      </c>
      <c r="C6" s="14" t="n">
        <f aca="false">COUNTIFS('Base de Datos'!$C$5:$C$972,C$5,'Base de Datos'!$F$5:$F$972,$B6,'Base de Datos'!$G$5:$G$972,"&lt;&gt;*No disponible*")</f>
        <v>5</v>
      </c>
      <c r="D6" s="14" t="n">
        <f aca="false">COUNTIFS('Base de Datos'!$C$5:$C$972,D$5,'Base de Datos'!$F$5:$F$972,$B6,'Base de Datos'!$G$5:$G$972,"&lt;&gt;*No disponible*")</f>
        <v>5</v>
      </c>
      <c r="E6" s="14" t="n">
        <f aca="false">COUNTIFS('Base de Datos'!$C$5:$C$972,E$5,'Base de Datos'!$F$5:$F$972,$B6,'Base de Datos'!$G$5:$G$972,"&lt;&gt;*No disponible*")</f>
        <v>5</v>
      </c>
      <c r="F6" s="14" t="n">
        <f aca="false">COUNTIFS('Base de Datos'!$C$5:$C$972,F$5,'Base de Datos'!$F$5:$F$972,$B6,'Base de Datos'!$G$5:$G$972,"&lt;&gt;*No disponible*")</f>
        <v>5</v>
      </c>
      <c r="G6" s="14" t="n">
        <f aca="false">COUNTIFS('Base de Datos'!$C$5:$C$972,G$5,'Base de Datos'!$F$5:$F$972,$B6,'Base de Datos'!$G$5:$G$972,"&lt;&gt;*No disponible*")</f>
        <v>5</v>
      </c>
      <c r="H6" s="14" t="n">
        <f aca="false">COUNTIFS('Base de Datos'!$C$5:$C$972,H$5,'Base de Datos'!$F$5:$F$972,$B6,'Base de Datos'!$G$5:$G$972,"&lt;&gt;*No disponible*")</f>
        <v>5</v>
      </c>
      <c r="I6" s="14" t="n">
        <f aca="false">COUNTIFS('Base de Datos'!$C$5:$C$972,I$5,'Base de Datos'!$F$5:$F$972,$B6,'Base de Datos'!$G$5:$G$972,"&lt;&gt;*No disponible*")</f>
        <v>5</v>
      </c>
      <c r="J6" s="14" t="n">
        <f aca="false">COUNTIFS('Base de Datos'!$C$5:$C$972,J$5,'Base de Datos'!$F$5:$F$972,$B6,'Base de Datos'!$G$5:$G$972,"&lt;&gt;*No disponible*")</f>
        <v>5</v>
      </c>
      <c r="K6" s="14" t="n">
        <f aca="false">COUNTIFS('Base de Datos'!$C$5:$C$972,K$5,'Base de Datos'!$F$5:$F$972,$B6,'Base de Datos'!$G$5:$G$972,"&lt;&gt;*No disponible*")</f>
        <v>5</v>
      </c>
      <c r="L6" s="14" t="n">
        <f aca="false">COUNTIFS('Base de Datos'!$C$5:$C$972,L$5,'Base de Datos'!$F$5:$F$972,$B6,'Base de Datos'!$G$5:$G$972,"&lt;&gt;*No disponible*")</f>
        <v>5</v>
      </c>
      <c r="M6" s="14" t="n">
        <f aca="false">COUNTIFS('Base de Datos'!$C$5:$C$972,M$5,'Base de Datos'!$F$5:$F$972,$B6,'Base de Datos'!$G$5:$G$972,"&lt;&gt;*No disponible*")</f>
        <v>5</v>
      </c>
      <c r="N6" s="14" t="n">
        <f aca="false">COUNTIFS('Base de Datos'!$C$5:$C$972,N$5,'Base de Datos'!$F$5:$F$972,$B6,'Base de Datos'!$G$5:$G$972,"&lt;&gt;*No disponible*")</f>
        <v>5</v>
      </c>
      <c r="O6" s="14" t="n">
        <f aca="false">COUNTIFS('Base de Datos'!$C$5:$C$972,O$5,'Base de Datos'!$F$5:$F$972,$B6,'Base de Datos'!$G$5:$G$972,"&lt;&gt;*No disponible*")</f>
        <v>5</v>
      </c>
      <c r="P6" s="14" t="n">
        <f aca="false">COUNTIFS('Base de Datos'!$C$5:$C$972,P$5,'Base de Datos'!$F$5:$F$972,$B6,'Base de Datos'!$G$5:$G$972,"&lt;&gt;*No disponible*")</f>
        <v>5</v>
      </c>
      <c r="Q6" s="14" t="n">
        <f aca="false">COUNTIFS('Base de Datos'!$C$5:$C$972,Q$5,'Base de Datos'!$F$5:$F$972,$B6,'Base de Datos'!$G$5:$G$972,"&lt;&gt;*No disponible*")</f>
        <v>5</v>
      </c>
      <c r="R6" s="14" t="n">
        <f aca="false">COUNTIFS('Base de Datos'!$C$5:$C$972,R$5,'Base de Datos'!$F$5:$F$972,$B6,'Base de Datos'!$G$5:$G$972,"&lt;&gt;*No disponible*")</f>
        <v>5</v>
      </c>
      <c r="S6" s="14" t="n">
        <f aca="false">COUNTIFS('Base de Datos'!$C$5:$C$972,S$5,'Base de Datos'!$F$5:$F$972,$B6,'Base de Datos'!$G$5:$G$972,"&lt;&gt;*No disponible*")</f>
        <v>5</v>
      </c>
      <c r="T6" s="14" t="n">
        <f aca="false">COUNTIFS('Base de Datos'!$C$5:$C$972,T$5,'Base de Datos'!$F$5:$F$972,$B6,'Base de Datos'!$G$5:$G$972,"&lt;&gt;*No disponible*")</f>
        <v>5</v>
      </c>
      <c r="U6" s="14" t="n">
        <f aca="false">COUNTIFS('Base de Datos'!$C$5:$C$972,U$5,'Base de Datos'!$F$5:$F$972,$B6,'Base de Datos'!$G$5:$G$972,"&lt;&gt;*No disponible*")</f>
        <v>5</v>
      </c>
      <c r="V6" s="14" t="n">
        <f aca="false">COUNTIFS('Base de Datos'!$C$5:$C$972,V$5,'Base de Datos'!$F$5:$F$972,$B6,'Base de Datos'!$G$5:$G$972,"&lt;&gt;*No disponible*")</f>
        <v>5</v>
      </c>
      <c r="W6" s="14" t="n">
        <f aca="false">SUM(C6:V6)</f>
        <v>100</v>
      </c>
    </row>
    <row r="7" customFormat="false" ht="21.75" hidden="false" customHeight="true" outlineLevel="0" collapsed="false">
      <c r="B7" s="9" t="s">
        <v>62</v>
      </c>
      <c r="C7" s="15" t="n">
        <f aca="false">COUNTIFS('Base de Datos'!$C$5:$C$972,C$5,'Base de Datos'!$F$5:$F$972,$B7,'Base de Datos'!$G$5:$G$972,"&lt;&gt;*No disponible*")</f>
        <v>5</v>
      </c>
      <c r="D7" s="15" t="n">
        <f aca="false">COUNTIFS('Base de Datos'!$C$5:$C$972,D$5,'Base de Datos'!$F$5:$F$972,$B7,'Base de Datos'!$G$5:$G$972,"&lt;&gt;*No disponible*")</f>
        <v>5</v>
      </c>
      <c r="E7" s="15" t="n">
        <f aca="false">COUNTIFS('Base de Datos'!$C$5:$C$972,E$5,'Base de Datos'!$F$5:$F$972,$B7,'Base de Datos'!$G$5:$G$972,"&lt;&gt;*No disponible*")</f>
        <v>5</v>
      </c>
      <c r="F7" s="15" t="n">
        <f aca="false">COUNTIFS('Base de Datos'!$C$5:$C$972,F$5,'Base de Datos'!$F$5:$F$972,$B7,'Base de Datos'!$G$5:$G$972,"&lt;&gt;*No disponible*")</f>
        <v>5</v>
      </c>
      <c r="G7" s="15" t="n">
        <f aca="false">COUNTIFS('Base de Datos'!$C$5:$C$972,G$5,'Base de Datos'!$F$5:$F$972,$B7,'Base de Datos'!$G$5:$G$972,"&lt;&gt;*No disponible*")</f>
        <v>5</v>
      </c>
      <c r="H7" s="15" t="n">
        <f aca="false">COUNTIFS('Base de Datos'!$C$5:$C$972,H$5,'Base de Datos'!$F$5:$F$972,$B7,'Base de Datos'!$G$5:$G$972,"&lt;&gt;*No disponible*")</f>
        <v>5</v>
      </c>
      <c r="I7" s="15" t="n">
        <f aca="false">COUNTIFS('Base de Datos'!$C$5:$C$972,I$5,'Base de Datos'!$F$5:$F$972,$B7,'Base de Datos'!$G$5:$G$972,"&lt;&gt;*No disponible*")</f>
        <v>5</v>
      </c>
      <c r="J7" s="15" t="n">
        <f aca="false">COUNTIFS('Base de Datos'!$C$5:$C$972,J$5,'Base de Datos'!$F$5:$F$972,$B7,'Base de Datos'!$G$5:$G$972,"&lt;&gt;*No disponible*")</f>
        <v>5</v>
      </c>
      <c r="K7" s="15" t="n">
        <f aca="false">COUNTIFS('Base de Datos'!$C$5:$C$972,K$5,'Base de Datos'!$F$5:$F$972,$B7,'Base de Datos'!$G$5:$G$972,"&lt;&gt;*No disponible*")</f>
        <v>5</v>
      </c>
      <c r="L7" s="15" t="n">
        <f aca="false">COUNTIFS('Base de Datos'!$C$5:$C$972,L$5,'Base de Datos'!$F$5:$F$972,$B7,'Base de Datos'!$G$5:$G$972,"&lt;&gt;*No disponible*")</f>
        <v>5</v>
      </c>
      <c r="M7" s="15" t="n">
        <f aca="false">COUNTIFS('Base de Datos'!$C$5:$C$972,M$5,'Base de Datos'!$F$5:$F$972,$B7,'Base de Datos'!$G$5:$G$972,"&lt;&gt;*No disponible*")</f>
        <v>5</v>
      </c>
      <c r="N7" s="15" t="n">
        <f aca="false">COUNTIFS('Base de Datos'!$C$5:$C$972,N$5,'Base de Datos'!$F$5:$F$972,$B7,'Base de Datos'!$G$5:$G$972,"&lt;&gt;*No disponible*")</f>
        <v>5</v>
      </c>
      <c r="O7" s="15" t="n">
        <f aca="false">COUNTIFS('Base de Datos'!$C$5:$C$972,O$5,'Base de Datos'!$F$5:$F$972,$B7,'Base de Datos'!$G$5:$G$972,"&lt;&gt;*No disponible*")</f>
        <v>5</v>
      </c>
      <c r="P7" s="15" t="n">
        <f aca="false">COUNTIFS('Base de Datos'!$C$5:$C$972,P$5,'Base de Datos'!$F$5:$F$972,$B7,'Base de Datos'!$G$5:$G$972,"&lt;&gt;*No disponible*")</f>
        <v>5</v>
      </c>
      <c r="Q7" s="15" t="n">
        <f aca="false">COUNTIFS('Base de Datos'!$C$5:$C$972,Q$5,'Base de Datos'!$F$5:$F$972,$B7,'Base de Datos'!$G$5:$G$972,"&lt;&gt;*No disponible*")</f>
        <v>5</v>
      </c>
      <c r="R7" s="15" t="n">
        <f aca="false">COUNTIFS('Base de Datos'!$C$5:$C$972,R$5,'Base de Datos'!$F$5:$F$972,$B7,'Base de Datos'!$G$5:$G$972,"&lt;&gt;*No disponible*")</f>
        <v>0</v>
      </c>
      <c r="S7" s="15" t="n">
        <f aca="false">COUNTIFS('Base de Datos'!$C$5:$C$972,S$5,'Base de Datos'!$F$5:$F$972,$B7,'Base de Datos'!$G$5:$G$972,"&lt;&gt;*No disponible*")</f>
        <v>0</v>
      </c>
      <c r="T7" s="15" t="n">
        <f aca="false">COUNTIFS('Base de Datos'!$C$5:$C$972,T$5,'Base de Datos'!$F$5:$F$972,$B7,'Base de Datos'!$G$5:$G$972,"&lt;&gt;*No disponible*")</f>
        <v>0</v>
      </c>
      <c r="U7" s="15" t="n">
        <f aca="false">COUNTIFS('Base de Datos'!$C$5:$C$972,U$5,'Base de Datos'!$F$5:$F$972,$B7,'Base de Datos'!$G$5:$G$972,"&lt;&gt;*No disponible*")</f>
        <v>5</v>
      </c>
      <c r="V7" s="15" t="n">
        <f aca="false">COUNTIFS('Base de Datos'!$C$5:$C$972,V$5,'Base de Datos'!$F$5:$F$972,$B7,'Base de Datos'!$G$5:$G$972,"&lt;&gt;*No disponible*")</f>
        <v>0</v>
      </c>
      <c r="W7" s="15" t="n">
        <f aca="false">SUM(C7:V7)</f>
        <v>80</v>
      </c>
    </row>
    <row r="8" customFormat="false" ht="21.75" hidden="false" customHeight="true" outlineLevel="0" collapsed="false">
      <c r="B8" s="7" t="s">
        <v>63</v>
      </c>
      <c r="C8" s="14" t="n">
        <f aca="false">COUNTIFS('Base de Datos'!$C$5:$C$972,C$5,'Base de Datos'!$F$5:$F$972,$B8,'Base de Datos'!$G$5:$G$972,"&lt;&gt;*No disponible*")</f>
        <v>5</v>
      </c>
      <c r="D8" s="14" t="n">
        <f aca="false">COUNTIFS('Base de Datos'!$C$5:$C$972,D$5,'Base de Datos'!$F$5:$F$972,$B8,'Base de Datos'!$G$5:$G$972,"&lt;&gt;*No disponible*")</f>
        <v>5</v>
      </c>
      <c r="E8" s="14" t="n">
        <f aca="false">COUNTIFS('Base de Datos'!$C$5:$C$972,E$5,'Base de Datos'!$F$5:$F$972,$B8,'Base de Datos'!$G$5:$G$972,"&lt;&gt;*No disponible*")</f>
        <v>5</v>
      </c>
      <c r="F8" s="14" t="n">
        <f aca="false">COUNTIFS('Base de Datos'!$C$5:$C$972,F$5,'Base de Datos'!$F$5:$F$972,$B8,'Base de Datos'!$G$5:$G$972,"&lt;&gt;*No disponible*")</f>
        <v>5</v>
      </c>
      <c r="G8" s="14" t="n">
        <f aca="false">COUNTIFS('Base de Datos'!$C$5:$C$972,G$5,'Base de Datos'!$F$5:$F$972,$B8,'Base de Datos'!$G$5:$G$972,"&lt;&gt;*No disponible*")</f>
        <v>5</v>
      </c>
      <c r="H8" s="14" t="n">
        <f aca="false">COUNTIFS('Base de Datos'!$C$5:$C$972,H$5,'Base de Datos'!$F$5:$F$972,$B8,'Base de Datos'!$G$5:$G$972,"&lt;&gt;*No disponible*")</f>
        <v>5</v>
      </c>
      <c r="I8" s="14" t="n">
        <f aca="false">COUNTIFS('Base de Datos'!$C$5:$C$972,I$5,'Base de Datos'!$F$5:$F$972,$B8,'Base de Datos'!$G$5:$G$972,"&lt;&gt;*No disponible*")</f>
        <v>5</v>
      </c>
      <c r="J8" s="14" t="n">
        <f aca="false">COUNTIFS('Base de Datos'!$C$5:$C$972,J$5,'Base de Datos'!$F$5:$F$972,$B8,'Base de Datos'!$G$5:$G$972,"&lt;&gt;*No disponible*")</f>
        <v>5</v>
      </c>
      <c r="K8" s="14" t="n">
        <f aca="false">COUNTIFS('Base de Datos'!$C$5:$C$972,K$5,'Base de Datos'!$F$5:$F$972,$B8,'Base de Datos'!$G$5:$G$972,"&lt;&gt;*No disponible*")</f>
        <v>5</v>
      </c>
      <c r="L8" s="14" t="n">
        <f aca="false">COUNTIFS('Base de Datos'!$C$5:$C$972,L$5,'Base de Datos'!$F$5:$F$972,$B8,'Base de Datos'!$G$5:$G$972,"&lt;&gt;*No disponible*")</f>
        <v>5</v>
      </c>
      <c r="M8" s="14" t="n">
        <f aca="false">COUNTIFS('Base de Datos'!$C$5:$C$972,M$5,'Base de Datos'!$F$5:$F$972,$B8,'Base de Datos'!$G$5:$G$972,"&lt;&gt;*No disponible*")</f>
        <v>5</v>
      </c>
      <c r="N8" s="14" t="n">
        <f aca="false">COUNTIFS('Base de Datos'!$C$5:$C$972,N$5,'Base de Datos'!$F$5:$F$972,$B8,'Base de Datos'!$G$5:$G$972,"&lt;&gt;*No disponible*")</f>
        <v>5</v>
      </c>
      <c r="O8" s="14" t="n">
        <f aca="false">COUNTIFS('Base de Datos'!$C$5:$C$972,O$5,'Base de Datos'!$F$5:$F$972,$B8,'Base de Datos'!$G$5:$G$972,"&lt;&gt;*No disponible*")</f>
        <v>5</v>
      </c>
      <c r="P8" s="14" t="n">
        <f aca="false">COUNTIFS('Base de Datos'!$C$5:$C$972,P$5,'Base de Datos'!$F$5:$F$972,$B8,'Base de Datos'!$G$5:$G$972,"&lt;&gt;*No disponible*")</f>
        <v>5</v>
      </c>
      <c r="Q8" s="14" t="n">
        <f aca="false">COUNTIFS('Base de Datos'!$C$5:$C$972,Q$5,'Base de Datos'!$F$5:$F$972,$B8,'Base de Datos'!$G$5:$G$972,"&lt;&gt;*No disponible*")</f>
        <v>5</v>
      </c>
      <c r="R8" s="14" t="n">
        <f aca="false">COUNTIFS('Base de Datos'!$C$5:$C$972,R$5,'Base de Datos'!$F$5:$F$972,$B8,'Base de Datos'!$G$5:$G$972,"&lt;&gt;*No disponible*")</f>
        <v>5</v>
      </c>
      <c r="S8" s="14" t="n">
        <f aca="false">COUNTIFS('Base de Datos'!$C$5:$C$972,S$5,'Base de Datos'!$F$5:$F$972,$B8,'Base de Datos'!$G$5:$G$972,"&lt;&gt;*No disponible*")</f>
        <v>5</v>
      </c>
      <c r="T8" s="14" t="n">
        <f aca="false">COUNTIFS('Base de Datos'!$C$5:$C$972,T$5,'Base de Datos'!$F$5:$F$972,$B8,'Base de Datos'!$G$5:$G$972,"&lt;&gt;*No disponible*")</f>
        <v>5</v>
      </c>
      <c r="U8" s="14" t="n">
        <f aca="false">COUNTIFS('Base de Datos'!$C$5:$C$972,U$5,'Base de Datos'!$F$5:$F$972,$B8,'Base de Datos'!$G$5:$G$972,"&lt;&gt;*No disponible*")</f>
        <v>5</v>
      </c>
      <c r="V8" s="14" t="n">
        <f aca="false">COUNTIFS('Base de Datos'!$C$5:$C$972,V$5,'Base de Datos'!$F$5:$F$972,$B8,'Base de Datos'!$G$5:$G$972,"&lt;&gt;*No disponible*")</f>
        <v>5</v>
      </c>
      <c r="W8" s="14" t="n">
        <f aca="false">SUM(C8:V8)</f>
        <v>100</v>
      </c>
    </row>
    <row r="9" customFormat="false" ht="21.75" hidden="false" customHeight="true" outlineLevel="0" collapsed="false">
      <c r="B9" s="9" t="s">
        <v>64</v>
      </c>
      <c r="C9" s="15" t="n">
        <f aca="false">COUNTIFS('Base de Datos'!$C$5:$C$972,C$5,'Base de Datos'!$F$5:$F$972,$B9,'Base de Datos'!$G$5:$G$972,"&lt;&gt;*No disponible*")</f>
        <v>5</v>
      </c>
      <c r="D9" s="15" t="n">
        <f aca="false">COUNTIFS('Base de Datos'!$C$5:$C$972,D$5,'Base de Datos'!$F$5:$F$972,$B9,'Base de Datos'!$G$5:$G$972,"&lt;&gt;*No disponible*")</f>
        <v>5</v>
      </c>
      <c r="E9" s="15" t="n">
        <f aca="false">COUNTIFS('Base de Datos'!$C$5:$C$972,E$5,'Base de Datos'!$F$5:$F$972,$B9,'Base de Datos'!$G$5:$G$972,"&lt;&gt;*No disponible*")</f>
        <v>5</v>
      </c>
      <c r="F9" s="15" t="n">
        <f aca="false">COUNTIFS('Base de Datos'!$C$5:$C$972,F$5,'Base de Datos'!$F$5:$F$972,$B9,'Base de Datos'!$G$5:$G$972,"&lt;&gt;*No disponible*")</f>
        <v>5</v>
      </c>
      <c r="G9" s="15" t="n">
        <f aca="false">COUNTIFS('Base de Datos'!$C$5:$C$972,G$5,'Base de Datos'!$F$5:$F$972,$B9,'Base de Datos'!$G$5:$G$972,"&lt;&gt;*No disponible*")</f>
        <v>5</v>
      </c>
      <c r="H9" s="15" t="n">
        <f aca="false">COUNTIFS('Base de Datos'!$C$5:$C$972,H$5,'Base de Datos'!$F$5:$F$972,$B9,'Base de Datos'!$G$5:$G$972,"&lt;&gt;*No disponible*")</f>
        <v>5</v>
      </c>
      <c r="I9" s="15" t="n">
        <f aca="false">COUNTIFS('Base de Datos'!$C$5:$C$972,I$5,'Base de Datos'!$F$5:$F$972,$B9,'Base de Datos'!$G$5:$G$972,"&lt;&gt;*No disponible*")</f>
        <v>5</v>
      </c>
      <c r="J9" s="15" t="n">
        <f aca="false">COUNTIFS('Base de Datos'!$C$5:$C$972,J$5,'Base de Datos'!$F$5:$F$972,$B9,'Base de Datos'!$G$5:$G$972,"&lt;&gt;*No disponible*")</f>
        <v>5</v>
      </c>
      <c r="K9" s="15" t="n">
        <f aca="false">COUNTIFS('Base de Datos'!$C$5:$C$972,K$5,'Base de Datos'!$F$5:$F$972,$B9,'Base de Datos'!$G$5:$G$972,"&lt;&gt;*No disponible*")</f>
        <v>5</v>
      </c>
      <c r="L9" s="15" t="n">
        <f aca="false">COUNTIFS('Base de Datos'!$C$5:$C$972,L$5,'Base de Datos'!$F$5:$F$972,$B9,'Base de Datos'!$G$5:$G$972,"&lt;&gt;*No disponible*")</f>
        <v>0</v>
      </c>
      <c r="M9" s="15" t="n">
        <f aca="false">COUNTIFS('Base de Datos'!$C$5:$C$972,M$5,'Base de Datos'!$F$5:$F$972,$B9,'Base de Datos'!$G$5:$G$972,"&lt;&gt;*No disponible*")</f>
        <v>5</v>
      </c>
      <c r="N9" s="15" t="n">
        <f aca="false">COUNTIFS('Base de Datos'!$C$5:$C$972,N$5,'Base de Datos'!$F$5:$F$972,$B9,'Base de Datos'!$G$5:$G$972,"&lt;&gt;*No disponible*")</f>
        <v>5</v>
      </c>
      <c r="O9" s="15" t="n">
        <f aca="false">COUNTIFS('Base de Datos'!$C$5:$C$972,O$5,'Base de Datos'!$F$5:$F$972,$B9,'Base de Datos'!$G$5:$G$972,"&lt;&gt;*No disponible*")</f>
        <v>5</v>
      </c>
      <c r="P9" s="15" t="n">
        <f aca="false">COUNTIFS('Base de Datos'!$C$5:$C$972,P$5,'Base de Datos'!$F$5:$F$972,$B9,'Base de Datos'!$G$5:$G$972,"&lt;&gt;*No disponible*")</f>
        <v>5</v>
      </c>
      <c r="Q9" s="15" t="n">
        <f aca="false">COUNTIFS('Base de Datos'!$C$5:$C$972,Q$5,'Base de Datos'!$F$5:$F$972,$B9,'Base de Datos'!$G$5:$G$972,"&lt;&gt;*No disponible*")</f>
        <v>0</v>
      </c>
      <c r="R9" s="15" t="n">
        <f aca="false">COUNTIFS('Base de Datos'!$C$5:$C$972,R$5,'Base de Datos'!$F$5:$F$972,$B9,'Base de Datos'!$G$5:$G$972,"&lt;&gt;*No disponible*")</f>
        <v>5</v>
      </c>
      <c r="S9" s="15" t="n">
        <f aca="false">COUNTIFS('Base de Datos'!$C$5:$C$972,S$5,'Base de Datos'!$F$5:$F$972,$B9,'Base de Datos'!$G$5:$G$972,"&lt;&gt;*No disponible*")</f>
        <v>5</v>
      </c>
      <c r="T9" s="15" t="n">
        <f aca="false">COUNTIFS('Base de Datos'!$C$5:$C$972,T$5,'Base de Datos'!$F$5:$F$972,$B9,'Base de Datos'!$G$5:$G$972,"&lt;&gt;*No disponible*")</f>
        <v>5</v>
      </c>
      <c r="U9" s="15" t="n">
        <f aca="false">COUNTIFS('Base de Datos'!$C$5:$C$972,U$5,'Base de Datos'!$F$5:$F$972,$B9,'Base de Datos'!$G$5:$G$972,"&lt;&gt;*No disponible*")</f>
        <v>5</v>
      </c>
      <c r="V9" s="15" t="n">
        <f aca="false">COUNTIFS('Base de Datos'!$C$5:$C$972,V$5,'Base de Datos'!$F$5:$F$972,$B9,'Base de Datos'!$G$5:$G$972,"&lt;&gt;*No disponible*")</f>
        <v>5</v>
      </c>
      <c r="W9" s="15" t="n">
        <f aca="false">SUM(C9:V9)</f>
        <v>90</v>
      </c>
    </row>
    <row r="10" customFormat="false" ht="21.75" hidden="false" customHeight="true" outlineLevel="0" collapsed="false">
      <c r="B10" s="7" t="s">
        <v>65</v>
      </c>
      <c r="C10" s="14" t="n">
        <f aca="false">COUNTIFS('Base de Datos'!$C$5:$C$972,C$5,'Base de Datos'!$F$5:$F$972,$B10,'Base de Datos'!$G$5:$G$972,"&lt;&gt;*No disponible*")</f>
        <v>5</v>
      </c>
      <c r="D10" s="14" t="n">
        <f aca="false">COUNTIFS('Base de Datos'!$C$5:$C$972,D$5,'Base de Datos'!$F$5:$F$972,$B10,'Base de Datos'!$G$5:$G$972,"&lt;&gt;*No disponible*")</f>
        <v>5</v>
      </c>
      <c r="E10" s="14" t="n">
        <f aca="false">COUNTIFS('Base de Datos'!$C$5:$C$972,E$5,'Base de Datos'!$F$5:$F$972,$B10,'Base de Datos'!$G$5:$G$972,"&lt;&gt;*No disponible*")</f>
        <v>5</v>
      </c>
      <c r="F10" s="14" t="n">
        <f aca="false">COUNTIFS('Base de Datos'!$C$5:$C$972,F$5,'Base de Datos'!$F$5:$F$972,$B10,'Base de Datos'!$G$5:$G$972,"&lt;&gt;*No disponible*")</f>
        <v>0</v>
      </c>
      <c r="G10" s="14" t="n">
        <f aca="false">COUNTIFS('Base de Datos'!$C$5:$C$972,G$5,'Base de Datos'!$F$5:$F$972,$B10,'Base de Datos'!$G$5:$G$972,"&lt;&gt;*No disponible*")</f>
        <v>5</v>
      </c>
      <c r="H10" s="14" t="n">
        <f aca="false">COUNTIFS('Base de Datos'!$C$5:$C$972,H$5,'Base de Datos'!$F$5:$F$972,$B10,'Base de Datos'!$G$5:$G$972,"&lt;&gt;*No disponible*")</f>
        <v>0</v>
      </c>
      <c r="I10" s="14" t="n">
        <f aca="false">COUNTIFS('Base de Datos'!$C$5:$C$972,I$5,'Base de Datos'!$F$5:$F$972,$B10,'Base de Datos'!$G$5:$G$972,"&lt;&gt;*No disponible*")</f>
        <v>0</v>
      </c>
      <c r="J10" s="14" t="n">
        <f aca="false">COUNTIFS('Base de Datos'!$C$5:$C$972,J$5,'Base de Datos'!$F$5:$F$972,$B10,'Base de Datos'!$G$5:$G$972,"&lt;&gt;*No disponible*")</f>
        <v>5</v>
      </c>
      <c r="K10" s="14" t="n">
        <f aca="false">COUNTIFS('Base de Datos'!$C$5:$C$972,K$5,'Base de Datos'!$F$5:$F$972,$B10,'Base de Datos'!$G$5:$G$972,"&lt;&gt;*No disponible*")</f>
        <v>0</v>
      </c>
      <c r="L10" s="14" t="n">
        <f aca="false">COUNTIFS('Base de Datos'!$C$5:$C$972,L$5,'Base de Datos'!$F$5:$F$972,$B10,'Base de Datos'!$G$5:$G$972,"&lt;&gt;*No disponible*")</f>
        <v>0</v>
      </c>
      <c r="M10" s="14" t="n">
        <f aca="false">COUNTIFS('Base de Datos'!$C$5:$C$972,M$5,'Base de Datos'!$F$5:$F$972,$B10,'Base de Datos'!$G$5:$G$972,"&lt;&gt;*No disponible*")</f>
        <v>0</v>
      </c>
      <c r="N10" s="14" t="n">
        <f aca="false">COUNTIFS('Base de Datos'!$C$5:$C$972,N$5,'Base de Datos'!$F$5:$F$972,$B10,'Base de Datos'!$G$5:$G$972,"&lt;&gt;*No disponible*")</f>
        <v>5</v>
      </c>
      <c r="O10" s="14" t="n">
        <f aca="false">COUNTIFS('Base de Datos'!$C$5:$C$972,O$5,'Base de Datos'!$F$5:$F$972,$B10,'Base de Datos'!$G$5:$G$972,"&lt;&gt;*No disponible*")</f>
        <v>5</v>
      </c>
      <c r="P10" s="14" t="n">
        <f aca="false">COUNTIFS('Base de Datos'!$C$5:$C$972,P$5,'Base de Datos'!$F$5:$F$972,$B10,'Base de Datos'!$G$5:$G$972,"&lt;&gt;*No disponible*")</f>
        <v>5</v>
      </c>
      <c r="Q10" s="14" t="n">
        <f aca="false">COUNTIFS('Base de Datos'!$C$5:$C$972,Q$5,'Base de Datos'!$F$5:$F$972,$B10,'Base de Datos'!$G$5:$G$972,"&lt;&gt;*No disponible*")</f>
        <v>0</v>
      </c>
      <c r="R10" s="14" t="n">
        <f aca="false">COUNTIFS('Base de Datos'!$C$5:$C$972,R$5,'Base de Datos'!$F$5:$F$972,$B10,'Base de Datos'!$G$5:$G$972,"&lt;&gt;*No disponible*")</f>
        <v>0</v>
      </c>
      <c r="S10" s="14" t="n">
        <f aca="false">COUNTIFS('Base de Datos'!$C$5:$C$972,S$5,'Base de Datos'!$F$5:$F$972,$B10,'Base de Datos'!$G$5:$G$972,"&lt;&gt;*No disponible*")</f>
        <v>0</v>
      </c>
      <c r="T10" s="14" t="n">
        <f aca="false">COUNTIFS('Base de Datos'!$C$5:$C$972,T$5,'Base de Datos'!$F$5:$F$972,$B10,'Base de Datos'!$G$5:$G$972,"&lt;&gt;*No disponible*")</f>
        <v>0</v>
      </c>
      <c r="U10" s="14" t="n">
        <f aca="false">COUNTIFS('Base de Datos'!$C$5:$C$972,U$5,'Base de Datos'!$F$5:$F$972,$B10,'Base de Datos'!$G$5:$G$972,"&lt;&gt;*No disponible*")</f>
        <v>0</v>
      </c>
      <c r="V10" s="14" t="n">
        <f aca="false">COUNTIFS('Base de Datos'!$C$5:$C$972,V$5,'Base de Datos'!$F$5:$F$972,$B10,'Base de Datos'!$G$5:$G$972,"&lt;&gt;*No disponible*")</f>
        <v>0</v>
      </c>
      <c r="W10" s="14" t="n">
        <f aca="false">SUM(C10:V10)</f>
        <v>40</v>
      </c>
    </row>
    <row r="11" customFormat="false" ht="21.75" hidden="false" customHeight="true" outlineLevel="0" collapsed="false">
      <c r="B11" s="9" t="s">
        <v>66</v>
      </c>
      <c r="C11" s="15" t="n">
        <f aca="false">COUNTIFS('Base de Datos'!$C$5:$C$972,C$5,'Base de Datos'!$F$5:$F$972,$B11,'Base de Datos'!$G$5:$G$972,"&lt;&gt;*No disponible*")</f>
        <v>5</v>
      </c>
      <c r="D11" s="15" t="n">
        <f aca="false">COUNTIFS('Base de Datos'!$C$5:$C$972,D$5,'Base de Datos'!$F$5:$F$972,$B11,'Base de Datos'!$G$5:$G$972,"&lt;&gt;*No disponible*")</f>
        <v>5</v>
      </c>
      <c r="E11" s="15" t="n">
        <f aca="false">COUNTIFS('Base de Datos'!$C$5:$C$972,E$5,'Base de Datos'!$F$5:$F$972,$B11,'Base de Datos'!$G$5:$G$972,"&lt;&gt;*No disponible*")</f>
        <v>5</v>
      </c>
      <c r="F11" s="15" t="n">
        <f aca="false">COUNTIFS('Base de Datos'!$C$5:$C$972,F$5,'Base de Datos'!$F$5:$F$972,$B11,'Base de Datos'!$G$5:$G$972,"&lt;&gt;*No disponible*")</f>
        <v>0</v>
      </c>
      <c r="G11" s="15" t="n">
        <f aca="false">COUNTIFS('Base de Datos'!$C$5:$C$972,G$5,'Base de Datos'!$F$5:$F$972,$B11,'Base de Datos'!$G$5:$G$972,"&lt;&gt;*No disponible*")</f>
        <v>0</v>
      </c>
      <c r="H11" s="15" t="n">
        <f aca="false">COUNTIFS('Base de Datos'!$C$5:$C$972,H$5,'Base de Datos'!$F$5:$F$972,$B11,'Base de Datos'!$G$5:$G$972,"&lt;&gt;*No disponible*")</f>
        <v>5</v>
      </c>
      <c r="I11" s="15" t="n">
        <f aca="false">COUNTIFS('Base de Datos'!$C$5:$C$972,I$5,'Base de Datos'!$F$5:$F$972,$B11,'Base de Datos'!$G$5:$G$972,"&lt;&gt;*No disponible*")</f>
        <v>5</v>
      </c>
      <c r="J11" s="15" t="n">
        <f aca="false">COUNTIFS('Base de Datos'!$C$5:$C$972,J$5,'Base de Datos'!$F$5:$F$972,$B11,'Base de Datos'!$G$5:$G$972,"&lt;&gt;*No disponible*")</f>
        <v>5</v>
      </c>
      <c r="K11" s="15" t="n">
        <f aca="false">COUNTIFS('Base de Datos'!$C$5:$C$972,K$5,'Base de Datos'!$F$5:$F$972,$B11,'Base de Datos'!$G$5:$G$972,"&lt;&gt;*No disponible*")</f>
        <v>0</v>
      </c>
      <c r="L11" s="15" t="n">
        <f aca="false">COUNTIFS('Base de Datos'!$C$5:$C$972,L$5,'Base de Datos'!$F$5:$F$972,$B11,'Base de Datos'!$G$5:$G$972,"&lt;&gt;*No disponible*")</f>
        <v>0</v>
      </c>
      <c r="M11" s="15" t="n">
        <f aca="false">COUNTIFS('Base de Datos'!$C$5:$C$972,M$5,'Base de Datos'!$F$5:$F$972,$B11,'Base de Datos'!$G$5:$G$972,"&lt;&gt;*No disponible*")</f>
        <v>0</v>
      </c>
      <c r="N11" s="15" t="n">
        <f aca="false">COUNTIFS('Base de Datos'!$C$5:$C$972,N$5,'Base de Datos'!$F$5:$F$972,$B11,'Base de Datos'!$G$5:$G$972,"&lt;&gt;*No disponible*")</f>
        <v>5</v>
      </c>
      <c r="O11" s="15" t="n">
        <f aca="false">COUNTIFS('Base de Datos'!$C$5:$C$972,O$5,'Base de Datos'!$F$5:$F$972,$B11,'Base de Datos'!$G$5:$G$972,"&lt;&gt;*No disponible*")</f>
        <v>5</v>
      </c>
      <c r="P11" s="15" t="n">
        <f aca="false">COUNTIFS('Base de Datos'!$C$5:$C$972,P$5,'Base de Datos'!$F$5:$F$972,$B11,'Base de Datos'!$G$5:$G$972,"&lt;&gt;*No disponible*")</f>
        <v>0</v>
      </c>
      <c r="Q11" s="15" t="n">
        <f aca="false">COUNTIFS('Base de Datos'!$C$5:$C$972,Q$5,'Base de Datos'!$F$5:$F$972,$B11,'Base de Datos'!$G$5:$G$972,"&lt;&gt;*No disponible*")</f>
        <v>0</v>
      </c>
      <c r="R11" s="15" t="n">
        <f aca="false">COUNTIFS('Base de Datos'!$C$5:$C$972,R$5,'Base de Datos'!$F$5:$F$972,$B11,'Base de Datos'!$G$5:$G$972,"&lt;&gt;*No disponible*")</f>
        <v>0</v>
      </c>
      <c r="S11" s="15" t="n">
        <f aca="false">COUNTIFS('Base de Datos'!$C$5:$C$972,S$5,'Base de Datos'!$F$5:$F$972,$B11,'Base de Datos'!$G$5:$G$972,"&lt;&gt;*No disponible*")</f>
        <v>0</v>
      </c>
      <c r="T11" s="15" t="n">
        <f aca="false">COUNTIFS('Base de Datos'!$C$5:$C$972,T$5,'Base de Datos'!$F$5:$F$972,$B11,'Base de Datos'!$G$5:$G$972,"&lt;&gt;*No disponible*")</f>
        <v>0</v>
      </c>
      <c r="U11" s="15" t="n">
        <f aca="false">COUNTIFS('Base de Datos'!$C$5:$C$972,U$5,'Base de Datos'!$F$5:$F$972,$B11,'Base de Datos'!$G$5:$G$972,"&lt;&gt;*No disponible*")</f>
        <v>0</v>
      </c>
      <c r="V11" s="15" t="n">
        <f aca="false">COUNTIFS('Base de Datos'!$C$5:$C$972,V$5,'Base de Datos'!$F$5:$F$972,$B11,'Base de Datos'!$G$5:$G$972,"&lt;&gt;*No disponible*")</f>
        <v>0</v>
      </c>
      <c r="W11" s="15" t="n">
        <f aca="false">SUM(C11:V11)</f>
        <v>40</v>
      </c>
    </row>
    <row r="12" customFormat="false" ht="21.75" hidden="false" customHeight="true" outlineLevel="0" collapsed="false">
      <c r="B12" s="7" t="s">
        <v>67</v>
      </c>
      <c r="C12" s="14" t="n">
        <f aca="false">COUNTIFS('Base de Datos'!$C$5:$C$972,C$5,'Base de Datos'!$F$5:$F$972,$B12,'Base de Datos'!$G$5:$G$972,"&lt;&gt;*No disponible*")</f>
        <v>5</v>
      </c>
      <c r="D12" s="14" t="n">
        <f aca="false">COUNTIFS('Base de Datos'!$C$5:$C$972,D$5,'Base de Datos'!$F$5:$F$972,$B12,'Base de Datos'!$G$5:$G$972,"&lt;&gt;*No disponible*")</f>
        <v>5</v>
      </c>
      <c r="E12" s="14" t="n">
        <f aca="false">COUNTIFS('Base de Datos'!$C$5:$C$972,E$5,'Base de Datos'!$F$5:$F$972,$B12,'Base de Datos'!$G$5:$G$972,"&lt;&gt;*No disponible*")</f>
        <v>5</v>
      </c>
      <c r="F12" s="14" t="n">
        <f aca="false">COUNTIFS('Base de Datos'!$C$5:$C$972,F$5,'Base de Datos'!$F$5:$F$972,$B12,'Base de Datos'!$G$5:$G$972,"&lt;&gt;*No disponible*")</f>
        <v>5</v>
      </c>
      <c r="G12" s="14" t="n">
        <f aca="false">COUNTIFS('Base de Datos'!$C$5:$C$972,G$5,'Base de Datos'!$F$5:$F$972,$B12,'Base de Datos'!$G$5:$G$972,"&lt;&gt;*No disponible*")</f>
        <v>5</v>
      </c>
      <c r="H12" s="14" t="n">
        <f aca="false">COUNTIFS('Base de Datos'!$C$5:$C$972,H$5,'Base de Datos'!$F$5:$F$972,$B12,'Base de Datos'!$G$5:$G$972,"&lt;&gt;*No disponible*")</f>
        <v>0</v>
      </c>
      <c r="I12" s="14" t="n">
        <f aca="false">COUNTIFS('Base de Datos'!$C$5:$C$972,I$5,'Base de Datos'!$F$5:$F$972,$B12,'Base de Datos'!$G$5:$G$972,"&lt;&gt;*No disponible*")</f>
        <v>5</v>
      </c>
      <c r="J12" s="14" t="n">
        <f aca="false">COUNTIFS('Base de Datos'!$C$5:$C$972,J$5,'Base de Datos'!$F$5:$F$972,$B12,'Base de Datos'!$G$5:$G$972,"&lt;&gt;*No disponible*")</f>
        <v>5</v>
      </c>
      <c r="K12" s="14" t="n">
        <f aca="false">COUNTIFS('Base de Datos'!$C$5:$C$972,K$5,'Base de Datos'!$F$5:$F$972,$B12,'Base de Datos'!$G$5:$G$972,"&lt;&gt;*No disponible*")</f>
        <v>5</v>
      </c>
      <c r="L12" s="14" t="n">
        <f aca="false">COUNTIFS('Base de Datos'!$C$5:$C$972,L$5,'Base de Datos'!$F$5:$F$972,$B12,'Base de Datos'!$G$5:$G$972,"&lt;&gt;*No disponible*")</f>
        <v>5</v>
      </c>
      <c r="M12" s="14" t="n">
        <f aca="false">COUNTIFS('Base de Datos'!$C$5:$C$972,M$5,'Base de Datos'!$F$5:$F$972,$B12,'Base de Datos'!$G$5:$G$972,"&lt;&gt;*No disponible*")</f>
        <v>5</v>
      </c>
      <c r="N12" s="14" t="n">
        <f aca="false">COUNTIFS('Base de Datos'!$C$5:$C$972,N$5,'Base de Datos'!$F$5:$F$972,$B12,'Base de Datos'!$G$5:$G$972,"&lt;&gt;*No disponible*")</f>
        <v>5</v>
      </c>
      <c r="O12" s="14" t="n">
        <f aca="false">COUNTIFS('Base de Datos'!$C$5:$C$972,O$5,'Base de Datos'!$F$5:$F$972,$B12,'Base de Datos'!$G$5:$G$972,"&lt;&gt;*No disponible*")</f>
        <v>5</v>
      </c>
      <c r="P12" s="14" t="n">
        <f aca="false">COUNTIFS('Base de Datos'!$C$5:$C$972,P$5,'Base de Datos'!$F$5:$F$972,$B12,'Base de Datos'!$G$5:$G$972,"&lt;&gt;*No disponible*")</f>
        <v>5</v>
      </c>
      <c r="Q12" s="14" t="n">
        <f aca="false">COUNTIFS('Base de Datos'!$C$5:$C$972,Q$5,'Base de Datos'!$F$5:$F$972,$B12,'Base de Datos'!$G$5:$G$972,"&lt;&gt;*No disponible*")</f>
        <v>0</v>
      </c>
      <c r="R12" s="14" t="n">
        <f aca="false">COUNTIFS('Base de Datos'!$C$5:$C$972,R$5,'Base de Datos'!$F$5:$F$972,$B12,'Base de Datos'!$G$5:$G$972,"&lt;&gt;*No disponible*")</f>
        <v>0</v>
      </c>
      <c r="S12" s="14" t="n">
        <f aca="false">COUNTIFS('Base de Datos'!$C$5:$C$972,S$5,'Base de Datos'!$F$5:$F$972,$B12,'Base de Datos'!$G$5:$G$972,"&lt;&gt;*No disponible*")</f>
        <v>0</v>
      </c>
      <c r="T12" s="14" t="n">
        <f aca="false">COUNTIFS('Base de Datos'!$C$5:$C$972,T$5,'Base de Datos'!$F$5:$F$972,$B12,'Base de Datos'!$G$5:$G$972,"&lt;&gt;*No disponible*")</f>
        <v>0</v>
      </c>
      <c r="U12" s="14" t="n">
        <f aca="false">COUNTIFS('Base de Datos'!$C$5:$C$972,U$5,'Base de Datos'!$F$5:$F$972,$B12,'Base de Datos'!$G$5:$G$972,"&lt;&gt;*No disponible*")</f>
        <v>0</v>
      </c>
      <c r="V12" s="14" t="n">
        <f aca="false">COUNTIFS('Base de Datos'!$C$5:$C$972,V$5,'Base de Datos'!$F$5:$F$972,$B12,'Base de Datos'!$G$5:$G$972,"&lt;&gt;*No disponible*")</f>
        <v>0</v>
      </c>
      <c r="W12" s="14" t="n">
        <f aca="false">SUM(C12:V12)</f>
        <v>65</v>
      </c>
    </row>
    <row r="13" customFormat="false" ht="21.75" hidden="false" customHeight="true" outlineLevel="0" collapsed="false">
      <c r="B13" s="9" t="s">
        <v>68</v>
      </c>
      <c r="C13" s="15" t="n">
        <f aca="false">COUNTIFS('Base de Datos'!$C$5:$C$972,C$5,'Base de Datos'!$F$5:$F$972,$B13,'Base de Datos'!$G$5:$G$972,"&lt;&gt;*No disponible*")</f>
        <v>5</v>
      </c>
      <c r="D13" s="15" t="n">
        <f aca="false">COUNTIFS('Base de Datos'!$C$5:$C$972,D$5,'Base de Datos'!$F$5:$F$972,$B13,'Base de Datos'!$G$5:$G$972,"&lt;&gt;*No disponible*")</f>
        <v>5</v>
      </c>
      <c r="E13" s="15" t="n">
        <f aca="false">COUNTIFS('Base de Datos'!$C$5:$C$972,E$5,'Base de Datos'!$F$5:$F$972,$B13,'Base de Datos'!$G$5:$G$972,"&lt;&gt;*No disponible*")</f>
        <v>5</v>
      </c>
      <c r="F13" s="15" t="n">
        <f aca="false">COUNTIFS('Base de Datos'!$C$5:$C$972,F$5,'Base de Datos'!$F$5:$F$972,$B13,'Base de Datos'!$G$5:$G$972,"&lt;&gt;*No disponible*")</f>
        <v>5</v>
      </c>
      <c r="G13" s="15" t="n">
        <f aca="false">COUNTIFS('Base de Datos'!$C$5:$C$972,G$5,'Base de Datos'!$F$5:$F$972,$B13,'Base de Datos'!$G$5:$G$972,"&lt;&gt;*No disponible*")</f>
        <v>5</v>
      </c>
      <c r="H13" s="15" t="n">
        <f aca="false">COUNTIFS('Base de Datos'!$C$5:$C$972,H$5,'Base de Datos'!$F$5:$F$972,$B13,'Base de Datos'!$G$5:$G$972,"&lt;&gt;*No disponible*")</f>
        <v>0</v>
      </c>
      <c r="I13" s="15" t="n">
        <f aca="false">COUNTIFS('Base de Datos'!$C$5:$C$972,I$5,'Base de Datos'!$F$5:$F$972,$B13,'Base de Datos'!$G$5:$G$972,"&lt;&gt;*No disponible*")</f>
        <v>5</v>
      </c>
      <c r="J13" s="15" t="n">
        <f aca="false">COUNTIFS('Base de Datos'!$C$5:$C$972,J$5,'Base de Datos'!$F$5:$F$972,$B13,'Base de Datos'!$G$5:$G$972,"&lt;&gt;*No disponible*")</f>
        <v>5</v>
      </c>
      <c r="K13" s="15" t="n">
        <f aca="false">COUNTIFS('Base de Datos'!$C$5:$C$972,K$5,'Base de Datos'!$F$5:$F$972,$B13,'Base de Datos'!$G$5:$G$972,"&lt;&gt;*No disponible*")</f>
        <v>0</v>
      </c>
      <c r="L13" s="15" t="n">
        <f aca="false">COUNTIFS('Base de Datos'!$C$5:$C$972,L$5,'Base de Datos'!$F$5:$F$972,$B13,'Base de Datos'!$G$5:$G$972,"&lt;&gt;*No disponible*")</f>
        <v>0</v>
      </c>
      <c r="M13" s="15" t="n">
        <f aca="false">COUNTIFS('Base de Datos'!$C$5:$C$972,M$5,'Base de Datos'!$F$5:$F$972,$B13,'Base de Datos'!$G$5:$G$972,"&lt;&gt;*No disponible*")</f>
        <v>0</v>
      </c>
      <c r="N13" s="15" t="n">
        <f aca="false">COUNTIFS('Base de Datos'!$C$5:$C$972,N$5,'Base de Datos'!$F$5:$F$972,$B13,'Base de Datos'!$G$5:$G$972,"&lt;&gt;*No disponible*")</f>
        <v>5</v>
      </c>
      <c r="O13" s="15" t="n">
        <f aca="false">COUNTIFS('Base de Datos'!$C$5:$C$972,O$5,'Base de Datos'!$F$5:$F$972,$B13,'Base de Datos'!$G$5:$G$972,"&lt;&gt;*No disponible*")</f>
        <v>5</v>
      </c>
      <c r="P13" s="15" t="n">
        <f aca="false">COUNTIFS('Base de Datos'!$C$5:$C$972,P$5,'Base de Datos'!$F$5:$F$972,$B13,'Base de Datos'!$G$5:$G$972,"&lt;&gt;*No disponible*")</f>
        <v>0</v>
      </c>
      <c r="Q13" s="15" t="n">
        <f aca="false">COUNTIFS('Base de Datos'!$C$5:$C$972,Q$5,'Base de Datos'!$F$5:$F$972,$B13,'Base de Datos'!$G$5:$G$972,"&lt;&gt;*No disponible*")</f>
        <v>0</v>
      </c>
      <c r="R13" s="15" t="n">
        <f aca="false">COUNTIFS('Base de Datos'!$C$5:$C$972,R$5,'Base de Datos'!$F$5:$F$972,$B13,'Base de Datos'!$G$5:$G$972,"&lt;&gt;*No disponible*")</f>
        <v>0</v>
      </c>
      <c r="S13" s="15" t="n">
        <f aca="false">COUNTIFS('Base de Datos'!$C$5:$C$972,S$5,'Base de Datos'!$F$5:$F$972,$B13,'Base de Datos'!$G$5:$G$972,"&lt;&gt;*No disponible*")</f>
        <v>0</v>
      </c>
      <c r="T13" s="15" t="n">
        <f aca="false">COUNTIFS('Base de Datos'!$C$5:$C$972,T$5,'Base de Datos'!$F$5:$F$972,$B13,'Base de Datos'!$G$5:$G$972,"&lt;&gt;*No disponible*")</f>
        <v>0</v>
      </c>
      <c r="U13" s="15" t="n">
        <f aca="false">COUNTIFS('Base de Datos'!$C$5:$C$972,U$5,'Base de Datos'!$F$5:$F$972,$B13,'Base de Datos'!$G$5:$G$972,"&lt;&gt;*No disponible*")</f>
        <v>0</v>
      </c>
      <c r="V13" s="15" t="n">
        <f aca="false">COUNTIFS('Base de Datos'!$C$5:$C$972,V$5,'Base de Datos'!$F$5:$F$972,$B13,'Base de Datos'!$G$5:$G$972,"&lt;&gt;*No disponible*")</f>
        <v>0</v>
      </c>
      <c r="W13" s="15" t="n">
        <f aca="false">SUM(C13:V13)</f>
        <v>45</v>
      </c>
    </row>
    <row r="14" customFormat="false" ht="21.75" hidden="false" customHeight="true" outlineLevel="0" collapsed="false">
      <c r="B14" s="7" t="s">
        <v>69</v>
      </c>
      <c r="C14" s="14" t="n">
        <f aca="false">COUNTIFS('Base de Datos'!$C$5:$C$972,C$5,'Base de Datos'!$F$5:$F$972,$B14,'Base de Datos'!$G$5:$G$972,"&lt;&gt;*No disponible*")</f>
        <v>5</v>
      </c>
      <c r="D14" s="14" t="n">
        <f aca="false">COUNTIFS('Base de Datos'!$C$5:$C$972,D$5,'Base de Datos'!$F$5:$F$972,$B14,'Base de Datos'!$G$5:$G$972,"&lt;&gt;*No disponible*")</f>
        <v>0</v>
      </c>
      <c r="E14" s="14" t="n">
        <f aca="false">COUNTIFS('Base de Datos'!$C$5:$C$972,E$5,'Base de Datos'!$F$5:$F$972,$B14,'Base de Datos'!$G$5:$G$972,"&lt;&gt;*No disponible*")</f>
        <v>0</v>
      </c>
      <c r="F14" s="14" t="n">
        <f aca="false">COUNTIFS('Base de Datos'!$C$5:$C$972,F$5,'Base de Datos'!$F$5:$F$972,$B14,'Base de Datos'!$G$5:$G$972,"&lt;&gt;*No disponible*")</f>
        <v>0</v>
      </c>
      <c r="G14" s="14" t="n">
        <f aca="false">COUNTIFS('Base de Datos'!$C$5:$C$972,G$5,'Base de Datos'!$F$5:$F$972,$B14,'Base de Datos'!$G$5:$G$972,"&lt;&gt;*No disponible*")</f>
        <v>0</v>
      </c>
      <c r="H14" s="14" t="n">
        <f aca="false">COUNTIFS('Base de Datos'!$C$5:$C$972,H$5,'Base de Datos'!$F$5:$F$972,$B14,'Base de Datos'!$G$5:$G$972,"&lt;&gt;*No disponible*")</f>
        <v>0</v>
      </c>
      <c r="I14" s="14" t="n">
        <f aca="false">COUNTIFS('Base de Datos'!$C$5:$C$972,I$5,'Base de Datos'!$F$5:$F$972,$B14,'Base de Datos'!$G$5:$G$972,"&lt;&gt;*No disponible*")</f>
        <v>0</v>
      </c>
      <c r="J14" s="14" t="n">
        <f aca="false">COUNTIFS('Base de Datos'!$C$5:$C$972,J$5,'Base de Datos'!$F$5:$F$972,$B14,'Base de Datos'!$G$5:$G$972,"&lt;&gt;*No disponible*")</f>
        <v>0</v>
      </c>
      <c r="K14" s="14" t="n">
        <f aca="false">COUNTIFS('Base de Datos'!$C$5:$C$972,K$5,'Base de Datos'!$F$5:$F$972,$B14,'Base de Datos'!$G$5:$G$972,"&lt;&gt;*No disponible*")</f>
        <v>0</v>
      </c>
      <c r="L14" s="14" t="n">
        <f aca="false">COUNTIFS('Base de Datos'!$C$5:$C$972,L$5,'Base de Datos'!$F$5:$F$972,$B14,'Base de Datos'!$G$5:$G$972,"&lt;&gt;*No disponible*")</f>
        <v>0</v>
      </c>
      <c r="M14" s="14" t="n">
        <f aca="false">COUNTIFS('Base de Datos'!$C$5:$C$972,M$5,'Base de Datos'!$F$5:$F$972,$B14,'Base de Datos'!$G$5:$G$972,"&lt;&gt;*No disponible*")</f>
        <v>0</v>
      </c>
      <c r="N14" s="14" t="n">
        <f aca="false">COUNTIFS('Base de Datos'!$C$5:$C$972,N$5,'Base de Datos'!$F$5:$F$972,$B14,'Base de Datos'!$G$5:$G$972,"&lt;&gt;*No disponible*")</f>
        <v>5</v>
      </c>
      <c r="O14" s="14" t="n">
        <f aca="false">COUNTIFS('Base de Datos'!$C$5:$C$972,O$5,'Base de Datos'!$F$5:$F$972,$B14,'Base de Datos'!$G$5:$G$972,"&lt;&gt;*No disponible*")</f>
        <v>5</v>
      </c>
      <c r="P14" s="14" t="n">
        <f aca="false">COUNTIFS('Base de Datos'!$C$5:$C$972,P$5,'Base de Datos'!$F$5:$F$972,$B14,'Base de Datos'!$G$5:$G$972,"&lt;&gt;*No disponible*")</f>
        <v>0</v>
      </c>
      <c r="Q14" s="14" t="n">
        <f aca="false">COUNTIFS('Base de Datos'!$C$5:$C$972,Q$5,'Base de Datos'!$F$5:$F$972,$B14,'Base de Datos'!$G$5:$G$972,"&lt;&gt;*No disponible*")</f>
        <v>0</v>
      </c>
      <c r="R14" s="14" t="n">
        <f aca="false">COUNTIFS('Base de Datos'!$C$5:$C$972,R$5,'Base de Datos'!$F$5:$F$972,$B14,'Base de Datos'!$G$5:$G$972,"&lt;&gt;*No disponible*")</f>
        <v>0</v>
      </c>
      <c r="S14" s="14" t="n">
        <f aca="false">COUNTIFS('Base de Datos'!$C$5:$C$972,S$5,'Base de Datos'!$F$5:$F$972,$B14,'Base de Datos'!$G$5:$G$972,"&lt;&gt;*No disponible*")</f>
        <v>0</v>
      </c>
      <c r="T14" s="14" t="n">
        <f aca="false">COUNTIFS('Base de Datos'!$C$5:$C$972,T$5,'Base de Datos'!$F$5:$F$972,$B14,'Base de Datos'!$G$5:$G$972,"&lt;&gt;*No disponible*")</f>
        <v>0</v>
      </c>
      <c r="U14" s="14" t="n">
        <f aca="false">COUNTIFS('Base de Datos'!$C$5:$C$972,U$5,'Base de Datos'!$F$5:$F$972,$B14,'Base de Datos'!$G$5:$G$972,"&lt;&gt;*No disponible*")</f>
        <v>0</v>
      </c>
      <c r="V14" s="14" t="n">
        <f aca="false">COUNTIFS('Base de Datos'!$C$5:$C$972,V$5,'Base de Datos'!$F$5:$F$972,$B14,'Base de Datos'!$G$5:$G$972,"&lt;&gt;*No disponible*")</f>
        <v>0</v>
      </c>
      <c r="W14" s="14" t="n">
        <f aca="false">SUM(C14:V14)</f>
        <v>15</v>
      </c>
    </row>
    <row r="15" customFormat="false" ht="21.75" hidden="false" customHeight="true" outlineLevel="0" collapsed="false">
      <c r="B15" s="9" t="s">
        <v>70</v>
      </c>
      <c r="C15" s="15" t="n">
        <f aca="false">COUNTIFS('Base de Datos'!$C$5:$C$972,C$5,'Base de Datos'!$F$5:$F$972,$B15,'Base de Datos'!$G$5:$G$972,"&lt;&gt;*No disponible*")</f>
        <v>5</v>
      </c>
      <c r="D15" s="15" t="n">
        <f aca="false">COUNTIFS('Base de Datos'!$C$5:$C$972,D$5,'Base de Datos'!$F$5:$F$972,$B15,'Base de Datos'!$G$5:$G$972,"&lt;&gt;*No disponible*")</f>
        <v>5</v>
      </c>
      <c r="E15" s="15" t="n">
        <f aca="false">COUNTIFS('Base de Datos'!$C$5:$C$972,E$5,'Base de Datos'!$F$5:$F$972,$B15,'Base de Datos'!$G$5:$G$972,"&lt;&gt;*No disponible*")</f>
        <v>5</v>
      </c>
      <c r="F15" s="15" t="n">
        <f aca="false">COUNTIFS('Base de Datos'!$C$5:$C$972,F$5,'Base de Datos'!$F$5:$F$972,$B15,'Base de Datos'!$G$5:$G$972,"&lt;&gt;*No disponible*")</f>
        <v>5</v>
      </c>
      <c r="G15" s="15" t="n">
        <f aca="false">COUNTIFS('Base de Datos'!$C$5:$C$972,G$5,'Base de Datos'!$F$5:$F$972,$B15,'Base de Datos'!$G$5:$G$972,"&lt;&gt;*No disponible*")</f>
        <v>5</v>
      </c>
      <c r="H15" s="15" t="n">
        <f aca="false">COUNTIFS('Base de Datos'!$C$5:$C$972,H$5,'Base de Datos'!$F$5:$F$972,$B15,'Base de Datos'!$G$5:$G$972,"&lt;&gt;*No disponible*")</f>
        <v>0</v>
      </c>
      <c r="I15" s="15" t="n">
        <f aca="false">COUNTIFS('Base de Datos'!$C$5:$C$972,I$5,'Base de Datos'!$F$5:$F$972,$B15,'Base de Datos'!$G$5:$G$972,"&lt;&gt;*No disponible*")</f>
        <v>5</v>
      </c>
      <c r="J15" s="15" t="n">
        <f aca="false">COUNTIFS('Base de Datos'!$C$5:$C$972,J$5,'Base de Datos'!$F$5:$F$972,$B15,'Base de Datos'!$G$5:$G$972,"&lt;&gt;*No disponible*")</f>
        <v>5</v>
      </c>
      <c r="K15" s="15" t="n">
        <f aca="false">COUNTIFS('Base de Datos'!$C$5:$C$972,K$5,'Base de Datos'!$F$5:$F$972,$B15,'Base de Datos'!$G$5:$G$972,"&lt;&gt;*No disponible*")</f>
        <v>0</v>
      </c>
      <c r="L15" s="15" t="n">
        <f aca="false">COUNTIFS('Base de Datos'!$C$5:$C$972,L$5,'Base de Datos'!$F$5:$F$972,$B15,'Base de Datos'!$G$5:$G$972,"&lt;&gt;*No disponible*")</f>
        <v>0</v>
      </c>
      <c r="M15" s="15" t="n">
        <f aca="false">COUNTIFS('Base de Datos'!$C$5:$C$972,M$5,'Base de Datos'!$F$5:$F$972,$B15,'Base de Datos'!$G$5:$G$972,"&lt;&gt;*No disponible*")</f>
        <v>0</v>
      </c>
      <c r="N15" s="15" t="n">
        <f aca="false">COUNTIFS('Base de Datos'!$C$5:$C$972,N$5,'Base de Datos'!$F$5:$F$972,$B15,'Base de Datos'!$G$5:$G$972,"&lt;&gt;*No disponible*")</f>
        <v>5</v>
      </c>
      <c r="O15" s="15" t="n">
        <f aca="false">COUNTIFS('Base de Datos'!$C$5:$C$972,O$5,'Base de Datos'!$F$5:$F$972,$B15,'Base de Datos'!$G$5:$G$972,"&lt;&gt;*No disponible*")</f>
        <v>5</v>
      </c>
      <c r="P15" s="15" t="n">
        <f aca="false">COUNTIFS('Base de Datos'!$C$5:$C$972,P$5,'Base de Datos'!$F$5:$F$972,$B15,'Base de Datos'!$G$5:$G$972,"&lt;&gt;*No disponible*")</f>
        <v>0</v>
      </c>
      <c r="Q15" s="15" t="n">
        <f aca="false">COUNTIFS('Base de Datos'!$C$5:$C$972,Q$5,'Base de Datos'!$F$5:$F$972,$B15,'Base de Datos'!$G$5:$G$972,"&lt;&gt;*No disponible*")</f>
        <v>0</v>
      </c>
      <c r="R15" s="15" t="n">
        <f aca="false">COUNTIFS('Base de Datos'!$C$5:$C$972,R$5,'Base de Datos'!$F$5:$F$972,$B15,'Base de Datos'!$G$5:$G$972,"&lt;&gt;*No disponible*")</f>
        <v>0</v>
      </c>
      <c r="S15" s="15" t="n">
        <f aca="false">COUNTIFS('Base de Datos'!$C$5:$C$972,S$5,'Base de Datos'!$F$5:$F$972,$B15,'Base de Datos'!$G$5:$G$972,"&lt;&gt;*No disponible*")</f>
        <v>0</v>
      </c>
      <c r="T15" s="15" t="n">
        <f aca="false">COUNTIFS('Base de Datos'!$C$5:$C$972,T$5,'Base de Datos'!$F$5:$F$972,$B15,'Base de Datos'!$G$5:$G$972,"&lt;&gt;*No disponible*")</f>
        <v>0</v>
      </c>
      <c r="U15" s="15" t="n">
        <f aca="false">COUNTIFS('Base de Datos'!$C$5:$C$972,U$5,'Base de Datos'!$F$5:$F$972,$B15,'Base de Datos'!$G$5:$G$972,"&lt;&gt;*No disponible*")</f>
        <v>0</v>
      </c>
      <c r="V15" s="15" t="n">
        <f aca="false">COUNTIFS('Base de Datos'!$C$5:$C$972,V$5,'Base de Datos'!$F$5:$F$972,$B15,'Base de Datos'!$G$5:$G$972,"&lt;&gt;*No disponible*")</f>
        <v>0</v>
      </c>
      <c r="W15" s="15" t="n">
        <f aca="false">SUM(C15:V15)</f>
        <v>45</v>
      </c>
    </row>
    <row r="16" customFormat="false" ht="21.75" hidden="false" customHeight="true" outlineLevel="0" collapsed="false">
      <c r="B16" s="7" t="s">
        <v>71</v>
      </c>
      <c r="C16" s="14" t="n">
        <f aca="false">COUNTIFS('Base de Datos'!$C$5:$C$972,C$5,'Base de Datos'!$F$5:$F$972,$B16,'Base de Datos'!$G$5:$G$972,"&lt;&gt;*No disponible*")</f>
        <v>5</v>
      </c>
      <c r="D16" s="14" t="n">
        <f aca="false">COUNTIFS('Base de Datos'!$C$5:$C$972,D$5,'Base de Datos'!$F$5:$F$972,$B16,'Base de Datos'!$G$5:$G$972,"&lt;&gt;*No disponible*")</f>
        <v>5</v>
      </c>
      <c r="E16" s="14" t="n">
        <f aca="false">COUNTIFS('Base de Datos'!$C$5:$C$972,E$5,'Base de Datos'!$F$5:$F$972,$B16,'Base de Datos'!$G$5:$G$972,"&lt;&gt;*No disponible*")</f>
        <v>5</v>
      </c>
      <c r="F16" s="14" t="n">
        <f aca="false">COUNTIFS('Base de Datos'!$C$5:$C$972,F$5,'Base de Datos'!$F$5:$F$972,$B16,'Base de Datos'!$G$5:$G$972,"&lt;&gt;*No disponible*")</f>
        <v>5</v>
      </c>
      <c r="G16" s="14" t="n">
        <f aca="false">COUNTIFS('Base de Datos'!$C$5:$C$972,G$5,'Base de Datos'!$F$5:$F$972,$B16,'Base de Datos'!$G$5:$G$972,"&lt;&gt;*No disponible*")</f>
        <v>0</v>
      </c>
      <c r="H16" s="14" t="n">
        <f aca="false">COUNTIFS('Base de Datos'!$C$5:$C$972,H$5,'Base de Datos'!$F$5:$F$972,$B16,'Base de Datos'!$G$5:$G$972,"&lt;&gt;*No disponible*")</f>
        <v>0</v>
      </c>
      <c r="I16" s="14" t="n">
        <f aca="false">COUNTIFS('Base de Datos'!$C$5:$C$972,I$5,'Base de Datos'!$F$5:$F$972,$B16,'Base de Datos'!$G$5:$G$972,"&lt;&gt;*No disponible*")</f>
        <v>0</v>
      </c>
      <c r="J16" s="14" t="n">
        <f aca="false">COUNTIFS('Base de Datos'!$C$5:$C$972,J$5,'Base de Datos'!$F$5:$F$972,$B16,'Base de Datos'!$G$5:$G$972,"&lt;&gt;*No disponible*")</f>
        <v>5</v>
      </c>
      <c r="K16" s="14" t="n">
        <f aca="false">COUNTIFS('Base de Datos'!$C$5:$C$972,K$5,'Base de Datos'!$F$5:$F$972,$B16,'Base de Datos'!$G$5:$G$972,"&lt;&gt;*No disponible*")</f>
        <v>5</v>
      </c>
      <c r="L16" s="14" t="n">
        <f aca="false">COUNTIFS('Base de Datos'!$C$5:$C$972,L$5,'Base de Datos'!$F$5:$F$972,$B16,'Base de Datos'!$G$5:$G$972,"&lt;&gt;*No disponible*")</f>
        <v>5</v>
      </c>
      <c r="M16" s="14" t="n">
        <f aca="false">COUNTIFS('Base de Datos'!$C$5:$C$972,M$5,'Base de Datos'!$F$5:$F$972,$B16,'Base de Datos'!$G$5:$G$972,"&lt;&gt;*No disponible*")</f>
        <v>0</v>
      </c>
      <c r="N16" s="14" t="n">
        <f aca="false">COUNTIFS('Base de Datos'!$C$5:$C$972,N$5,'Base de Datos'!$F$5:$F$972,$B16,'Base de Datos'!$G$5:$G$972,"&lt;&gt;*No disponible*")</f>
        <v>5</v>
      </c>
      <c r="O16" s="14" t="n">
        <f aca="false">COUNTIFS('Base de Datos'!$C$5:$C$972,O$5,'Base de Datos'!$F$5:$F$972,$B16,'Base de Datos'!$G$5:$G$972,"&lt;&gt;*No disponible*")</f>
        <v>5</v>
      </c>
      <c r="P16" s="14" t="n">
        <f aca="false">COUNTIFS('Base de Datos'!$C$5:$C$972,P$5,'Base de Datos'!$F$5:$F$972,$B16,'Base de Datos'!$G$5:$G$972,"&lt;&gt;*No disponible*")</f>
        <v>5</v>
      </c>
      <c r="Q16" s="14" t="n">
        <f aca="false">COUNTIFS('Base de Datos'!$C$5:$C$972,Q$5,'Base de Datos'!$F$5:$F$972,$B16,'Base de Datos'!$G$5:$G$972,"&lt;&gt;*No disponible*")</f>
        <v>0</v>
      </c>
      <c r="R16" s="14" t="n">
        <f aca="false">COUNTIFS('Base de Datos'!$C$5:$C$972,R$5,'Base de Datos'!$F$5:$F$972,$B16,'Base de Datos'!$G$5:$G$972,"&lt;&gt;*No disponible*")</f>
        <v>0</v>
      </c>
      <c r="S16" s="14" t="n">
        <f aca="false">COUNTIFS('Base de Datos'!$C$5:$C$972,S$5,'Base de Datos'!$F$5:$F$972,$B16,'Base de Datos'!$G$5:$G$972,"&lt;&gt;*No disponible*")</f>
        <v>0</v>
      </c>
      <c r="T16" s="14" t="n">
        <f aca="false">COUNTIFS('Base de Datos'!$C$5:$C$972,T$5,'Base de Datos'!$F$5:$F$972,$B16,'Base de Datos'!$G$5:$G$972,"&lt;&gt;*No disponible*")</f>
        <v>0</v>
      </c>
      <c r="U16" s="14" t="n">
        <f aca="false">COUNTIFS('Base de Datos'!$C$5:$C$972,U$5,'Base de Datos'!$F$5:$F$972,$B16,'Base de Datos'!$G$5:$G$972,"&lt;&gt;*No disponible*")</f>
        <v>0</v>
      </c>
      <c r="V16" s="14" t="n">
        <f aca="false">COUNTIFS('Base de Datos'!$C$5:$C$972,V$5,'Base de Datos'!$F$5:$F$972,$B16,'Base de Datos'!$G$5:$G$972,"&lt;&gt;*No disponible*")</f>
        <v>0</v>
      </c>
      <c r="W16" s="14" t="n">
        <f aca="false">SUM(C16:V16)</f>
        <v>50</v>
      </c>
    </row>
    <row r="17" customFormat="false" ht="21.75" hidden="false" customHeight="true" outlineLevel="0" collapsed="false">
      <c r="B17" s="9" t="s">
        <v>72</v>
      </c>
      <c r="C17" s="15" t="n">
        <f aca="false">COUNTIFS('Base de Datos'!$C$5:$C$972,C$5,'Base de Datos'!$F$5:$F$972,$B17,'Base de Datos'!$G$5:$G$972,"&lt;&gt;*No disponible*")</f>
        <v>5</v>
      </c>
      <c r="D17" s="15" t="n">
        <f aca="false">COUNTIFS('Base de Datos'!$C$5:$C$972,D$5,'Base de Datos'!$F$5:$F$972,$B17,'Base de Datos'!$G$5:$G$972,"&lt;&gt;*No disponible*")</f>
        <v>0</v>
      </c>
      <c r="E17" s="15" t="n">
        <f aca="false">COUNTIFS('Base de Datos'!$C$5:$C$972,E$5,'Base de Datos'!$F$5:$F$972,$B17,'Base de Datos'!$G$5:$G$972,"&lt;&gt;*No disponible*")</f>
        <v>5</v>
      </c>
      <c r="F17" s="15" t="n">
        <f aca="false">COUNTIFS('Base de Datos'!$C$5:$C$972,F$5,'Base de Datos'!$F$5:$F$972,$B17,'Base de Datos'!$G$5:$G$972,"&lt;&gt;*No disponible*")</f>
        <v>0</v>
      </c>
      <c r="G17" s="15" t="n">
        <f aca="false">COUNTIFS('Base de Datos'!$C$5:$C$972,G$5,'Base de Datos'!$F$5:$F$972,$B17,'Base de Datos'!$G$5:$G$972,"&lt;&gt;*No disponible*")</f>
        <v>0</v>
      </c>
      <c r="H17" s="15" t="n">
        <f aca="false">COUNTIFS('Base de Datos'!$C$5:$C$972,H$5,'Base de Datos'!$F$5:$F$972,$B17,'Base de Datos'!$G$5:$G$972,"&lt;&gt;*No disponible*")</f>
        <v>0</v>
      </c>
      <c r="I17" s="15" t="n">
        <f aca="false">COUNTIFS('Base de Datos'!$C$5:$C$972,I$5,'Base de Datos'!$F$5:$F$972,$B17,'Base de Datos'!$G$5:$G$972,"&lt;&gt;*No disponible*")</f>
        <v>5</v>
      </c>
      <c r="J17" s="15" t="n">
        <f aca="false">COUNTIFS('Base de Datos'!$C$5:$C$972,J$5,'Base de Datos'!$F$5:$F$972,$B17,'Base de Datos'!$G$5:$G$972,"&lt;&gt;*No disponible*")</f>
        <v>0</v>
      </c>
      <c r="K17" s="15" t="n">
        <f aca="false">COUNTIFS('Base de Datos'!$C$5:$C$972,K$5,'Base de Datos'!$F$5:$F$972,$B17,'Base de Datos'!$G$5:$G$972,"&lt;&gt;*No disponible*")</f>
        <v>0</v>
      </c>
      <c r="L17" s="15" t="n">
        <f aca="false">COUNTIFS('Base de Datos'!$C$5:$C$972,L$5,'Base de Datos'!$F$5:$F$972,$B17,'Base de Datos'!$G$5:$G$972,"&lt;&gt;*No disponible*")</f>
        <v>0</v>
      </c>
      <c r="M17" s="15" t="n">
        <f aca="false">COUNTIFS('Base de Datos'!$C$5:$C$972,M$5,'Base de Datos'!$F$5:$F$972,$B17,'Base de Datos'!$G$5:$G$972,"&lt;&gt;*No disponible*")</f>
        <v>0</v>
      </c>
      <c r="N17" s="15" t="n">
        <f aca="false">COUNTIFS('Base de Datos'!$C$5:$C$972,N$5,'Base de Datos'!$F$5:$F$972,$B17,'Base de Datos'!$G$5:$G$972,"&lt;&gt;*No disponible*")</f>
        <v>5</v>
      </c>
      <c r="O17" s="15" t="n">
        <f aca="false">COUNTIFS('Base de Datos'!$C$5:$C$972,O$5,'Base de Datos'!$F$5:$F$972,$B17,'Base de Datos'!$G$5:$G$972,"&lt;&gt;*No disponible*")</f>
        <v>5</v>
      </c>
      <c r="P17" s="15" t="n">
        <f aca="false">COUNTIFS('Base de Datos'!$C$5:$C$972,P$5,'Base de Datos'!$F$5:$F$972,$B17,'Base de Datos'!$G$5:$G$972,"&lt;&gt;*No disponible*")</f>
        <v>5</v>
      </c>
      <c r="Q17" s="15" t="n">
        <f aca="false">COUNTIFS('Base de Datos'!$C$5:$C$972,Q$5,'Base de Datos'!$F$5:$F$972,$B17,'Base de Datos'!$G$5:$G$972,"&lt;&gt;*No disponible*")</f>
        <v>0</v>
      </c>
      <c r="R17" s="15" t="n">
        <f aca="false">COUNTIFS('Base de Datos'!$C$5:$C$972,R$5,'Base de Datos'!$F$5:$F$972,$B17,'Base de Datos'!$G$5:$G$972,"&lt;&gt;*No disponible*")</f>
        <v>5</v>
      </c>
      <c r="S17" s="15" t="n">
        <f aca="false">COUNTIFS('Base de Datos'!$C$5:$C$972,S$5,'Base de Datos'!$F$5:$F$972,$B17,'Base de Datos'!$G$5:$G$972,"&lt;&gt;*No disponible*")</f>
        <v>5</v>
      </c>
      <c r="T17" s="15" t="n">
        <f aca="false">COUNTIFS('Base de Datos'!$C$5:$C$972,T$5,'Base de Datos'!$F$5:$F$972,$B17,'Base de Datos'!$G$5:$G$972,"&lt;&gt;*No disponible*")</f>
        <v>5</v>
      </c>
      <c r="U17" s="15" t="n">
        <f aca="false">COUNTIFS('Base de Datos'!$C$5:$C$972,U$5,'Base de Datos'!$F$5:$F$972,$B17,'Base de Datos'!$G$5:$G$972,"&lt;&gt;*No disponible*")</f>
        <v>0</v>
      </c>
      <c r="V17" s="15" t="n">
        <f aca="false">COUNTIFS('Base de Datos'!$C$5:$C$972,V$5,'Base de Datos'!$F$5:$F$972,$B17,'Base de Datos'!$G$5:$G$972,"&lt;&gt;*No disponible*")</f>
        <v>0</v>
      </c>
      <c r="W17" s="15" t="n">
        <f aca="false">SUM(C17:V17)</f>
        <v>45</v>
      </c>
    </row>
    <row r="18" customFormat="false" ht="21.75" hidden="false" customHeight="true" outlineLevel="0" collapsed="false">
      <c r="B18" s="7" t="s">
        <v>73</v>
      </c>
      <c r="C18" s="14" t="n">
        <f aca="false">COUNTIFS('Base de Datos'!$C$5:$C$972,C$5,'Base de Datos'!$F$5:$F$972,$B18,'Base de Datos'!$G$5:$G$972,"&lt;&gt;*No disponible*")</f>
        <v>5</v>
      </c>
      <c r="D18" s="14" t="n">
        <f aca="false">COUNTIFS('Base de Datos'!$C$5:$C$972,D$5,'Base de Datos'!$F$5:$F$972,$B18,'Base de Datos'!$G$5:$G$972,"&lt;&gt;*No disponible*")</f>
        <v>5</v>
      </c>
      <c r="E18" s="14" t="n">
        <f aca="false">COUNTIFS('Base de Datos'!$C$5:$C$972,E$5,'Base de Datos'!$F$5:$F$972,$B18,'Base de Datos'!$G$5:$G$972,"&lt;&gt;*No disponible*")</f>
        <v>5</v>
      </c>
      <c r="F18" s="14" t="n">
        <f aca="false">COUNTIFS('Base de Datos'!$C$5:$C$972,F$5,'Base de Datos'!$F$5:$F$972,$B18,'Base de Datos'!$G$5:$G$972,"&lt;&gt;*No disponible*")</f>
        <v>5</v>
      </c>
      <c r="G18" s="14" t="n">
        <f aca="false">COUNTIFS('Base de Datos'!$C$5:$C$972,G$5,'Base de Datos'!$F$5:$F$972,$B18,'Base de Datos'!$G$5:$G$972,"&lt;&gt;*No disponible*")</f>
        <v>5</v>
      </c>
      <c r="H18" s="14" t="n">
        <f aca="false">COUNTIFS('Base de Datos'!$C$5:$C$972,H$5,'Base de Datos'!$F$5:$F$972,$B18,'Base de Datos'!$G$5:$G$972,"&lt;&gt;*No disponible*")</f>
        <v>5</v>
      </c>
      <c r="I18" s="14" t="n">
        <f aca="false">COUNTIFS('Base de Datos'!$C$5:$C$972,I$5,'Base de Datos'!$F$5:$F$972,$B18,'Base de Datos'!$G$5:$G$972,"&lt;&gt;*No disponible*")</f>
        <v>5</v>
      </c>
      <c r="J18" s="14" t="n">
        <f aca="false">COUNTIFS('Base de Datos'!$C$5:$C$972,J$5,'Base de Datos'!$F$5:$F$972,$B18,'Base de Datos'!$G$5:$G$972,"&lt;&gt;*No disponible*")</f>
        <v>5</v>
      </c>
      <c r="K18" s="14" t="n">
        <f aca="false">COUNTIFS('Base de Datos'!$C$5:$C$972,K$5,'Base de Datos'!$F$5:$F$972,$B18,'Base de Datos'!$G$5:$G$972,"&lt;&gt;*No disponible*")</f>
        <v>5</v>
      </c>
      <c r="L18" s="14" t="n">
        <f aca="false">COUNTIFS('Base de Datos'!$C$5:$C$972,L$5,'Base de Datos'!$F$5:$F$972,$B18,'Base de Datos'!$G$5:$G$972,"&lt;&gt;*No disponible*")</f>
        <v>5</v>
      </c>
      <c r="M18" s="14" t="n">
        <f aca="false">COUNTIFS('Base de Datos'!$C$5:$C$972,M$5,'Base de Datos'!$F$5:$F$972,$B18,'Base de Datos'!$G$5:$G$972,"&lt;&gt;*No disponible*")</f>
        <v>5</v>
      </c>
      <c r="N18" s="14" t="n">
        <f aca="false">COUNTIFS('Base de Datos'!$C$5:$C$972,N$5,'Base de Datos'!$F$5:$F$972,$B18,'Base de Datos'!$G$5:$G$972,"&lt;&gt;*No disponible*")</f>
        <v>5</v>
      </c>
      <c r="O18" s="14" t="n">
        <f aca="false">COUNTIFS('Base de Datos'!$C$5:$C$972,O$5,'Base de Datos'!$F$5:$F$972,$B18,'Base de Datos'!$G$5:$G$972,"&lt;&gt;*No disponible*")</f>
        <v>5</v>
      </c>
      <c r="P18" s="14" t="n">
        <f aca="false">COUNTIFS('Base de Datos'!$C$5:$C$972,P$5,'Base de Datos'!$F$5:$F$972,$B18,'Base de Datos'!$G$5:$G$972,"&lt;&gt;*No disponible*")</f>
        <v>5</v>
      </c>
      <c r="Q18" s="14" t="n">
        <f aca="false">COUNTIFS('Base de Datos'!$C$5:$C$972,Q$5,'Base de Datos'!$F$5:$F$972,$B18,'Base de Datos'!$G$5:$G$972,"&lt;&gt;*No disponible*")</f>
        <v>5</v>
      </c>
      <c r="R18" s="14" t="n">
        <f aca="false">COUNTIFS('Base de Datos'!$C$5:$C$972,R$5,'Base de Datos'!$F$5:$F$972,$B18,'Base de Datos'!$G$5:$G$972,"&lt;&gt;*No disponible*")</f>
        <v>5</v>
      </c>
      <c r="S18" s="14" t="n">
        <f aca="false">COUNTIFS('Base de Datos'!$C$5:$C$972,S$5,'Base de Datos'!$F$5:$F$972,$B18,'Base de Datos'!$G$5:$G$972,"&lt;&gt;*No disponible*")</f>
        <v>5</v>
      </c>
      <c r="T18" s="14" t="n">
        <f aca="false">COUNTIFS('Base de Datos'!$C$5:$C$972,T$5,'Base de Datos'!$F$5:$F$972,$B18,'Base de Datos'!$G$5:$G$972,"&lt;&gt;*No disponible*")</f>
        <v>5</v>
      </c>
      <c r="U18" s="14" t="n">
        <f aca="false">COUNTIFS('Base de Datos'!$C$5:$C$972,U$5,'Base de Datos'!$F$5:$F$972,$B18,'Base de Datos'!$G$5:$G$972,"&lt;&gt;*No disponible*")</f>
        <v>5</v>
      </c>
      <c r="V18" s="14" t="n">
        <f aca="false">COUNTIFS('Base de Datos'!$C$5:$C$972,V$5,'Base de Datos'!$F$5:$F$972,$B18,'Base de Datos'!$G$5:$G$972,"&lt;&gt;*No disponible*")</f>
        <v>5</v>
      </c>
      <c r="W18" s="14" t="n">
        <f aca="false">SUM(C18:V18)</f>
        <v>100</v>
      </c>
    </row>
    <row r="19" customFormat="false" ht="21.75" hidden="false" customHeight="true" outlineLevel="0" collapsed="false">
      <c r="B19" s="9" t="s">
        <v>74</v>
      </c>
      <c r="C19" s="15" t="n">
        <f aca="false">COUNTIFS('Base de Datos'!$C$5:$C$972,C$5,'Base de Datos'!$F$5:$F$972,$B19,'Base de Datos'!$G$5:$G$972,"&lt;&gt;*No disponible*")</f>
        <v>0</v>
      </c>
      <c r="D19" s="15" t="n">
        <f aca="false">COUNTIFS('Base de Datos'!$C$5:$C$972,D$5,'Base de Datos'!$F$5:$F$972,$B19,'Base de Datos'!$G$5:$G$972,"&lt;&gt;*No disponible*")</f>
        <v>5</v>
      </c>
      <c r="E19" s="15" t="n">
        <f aca="false">COUNTIFS('Base de Datos'!$C$5:$C$972,E$5,'Base de Datos'!$F$5:$F$972,$B19,'Base de Datos'!$G$5:$G$972,"&lt;&gt;*No disponible*")</f>
        <v>5</v>
      </c>
      <c r="F19" s="15" t="n">
        <f aca="false">COUNTIFS('Base de Datos'!$C$5:$C$972,F$5,'Base de Datos'!$F$5:$F$972,$B19,'Base de Datos'!$G$5:$G$972,"&lt;&gt;*No disponible*")</f>
        <v>0</v>
      </c>
      <c r="G19" s="15" t="n">
        <f aca="false">COUNTIFS('Base de Datos'!$C$5:$C$972,G$5,'Base de Datos'!$F$5:$F$972,$B19,'Base de Datos'!$G$5:$G$972,"&lt;&gt;*No disponible*")</f>
        <v>0</v>
      </c>
      <c r="H19" s="15" t="n">
        <f aca="false">COUNTIFS('Base de Datos'!$C$5:$C$972,H$5,'Base de Datos'!$F$5:$F$972,$B19,'Base de Datos'!$G$5:$G$972,"&lt;&gt;*No disponible*")</f>
        <v>5</v>
      </c>
      <c r="I19" s="15" t="n">
        <f aca="false">COUNTIFS('Base de Datos'!$C$5:$C$972,I$5,'Base de Datos'!$F$5:$F$972,$B19,'Base de Datos'!$G$5:$G$972,"&lt;&gt;*No disponible*")</f>
        <v>0</v>
      </c>
      <c r="J19" s="15" t="n">
        <f aca="false">COUNTIFS('Base de Datos'!$C$5:$C$972,J$5,'Base de Datos'!$F$5:$F$972,$B19,'Base de Datos'!$G$5:$G$972,"&lt;&gt;*No disponible*")</f>
        <v>0</v>
      </c>
      <c r="K19" s="15" t="n">
        <f aca="false">COUNTIFS('Base de Datos'!$C$5:$C$972,K$5,'Base de Datos'!$F$5:$F$972,$B19,'Base de Datos'!$G$5:$G$972,"&lt;&gt;*No disponible*")</f>
        <v>0</v>
      </c>
      <c r="L19" s="15" t="n">
        <f aca="false">COUNTIFS('Base de Datos'!$C$5:$C$972,L$5,'Base de Datos'!$F$5:$F$972,$B19,'Base de Datos'!$G$5:$G$972,"&lt;&gt;*No disponible*")</f>
        <v>0</v>
      </c>
      <c r="M19" s="15" t="n">
        <f aca="false">COUNTIFS('Base de Datos'!$C$5:$C$972,M$5,'Base de Datos'!$F$5:$F$972,$B19,'Base de Datos'!$G$5:$G$972,"&lt;&gt;*No disponible*")</f>
        <v>0</v>
      </c>
      <c r="N19" s="15" t="n">
        <f aca="false">COUNTIFS('Base de Datos'!$C$5:$C$972,N$5,'Base de Datos'!$F$5:$F$972,$B19,'Base de Datos'!$G$5:$G$972,"&lt;&gt;*No disponible*")</f>
        <v>5</v>
      </c>
      <c r="O19" s="15" t="n">
        <f aca="false">COUNTIFS('Base de Datos'!$C$5:$C$972,O$5,'Base de Datos'!$F$5:$F$972,$B19,'Base de Datos'!$G$5:$G$972,"&lt;&gt;*No disponible*")</f>
        <v>5</v>
      </c>
      <c r="P19" s="15" t="n">
        <f aca="false">COUNTIFS('Base de Datos'!$C$5:$C$972,P$5,'Base de Datos'!$F$5:$F$972,$B19,'Base de Datos'!$G$5:$G$972,"&lt;&gt;*No disponible*")</f>
        <v>0</v>
      </c>
      <c r="Q19" s="15" t="n">
        <f aca="false">COUNTIFS('Base de Datos'!$C$5:$C$972,Q$5,'Base de Datos'!$F$5:$F$972,$B19,'Base de Datos'!$G$5:$G$972,"&lt;&gt;*No disponible*")</f>
        <v>0</v>
      </c>
      <c r="R19" s="15" t="n">
        <f aca="false">COUNTIFS('Base de Datos'!$C$5:$C$972,R$5,'Base de Datos'!$F$5:$F$972,$B19,'Base de Datos'!$G$5:$G$972,"&lt;&gt;*No disponible*")</f>
        <v>5</v>
      </c>
      <c r="S19" s="15" t="n">
        <f aca="false">COUNTIFS('Base de Datos'!$C$5:$C$972,S$5,'Base de Datos'!$F$5:$F$972,$B19,'Base de Datos'!$G$5:$G$972,"&lt;&gt;*No disponible*")</f>
        <v>5</v>
      </c>
      <c r="T19" s="15" t="n">
        <f aca="false">COUNTIFS('Base de Datos'!$C$5:$C$972,T$5,'Base de Datos'!$F$5:$F$972,$B19,'Base de Datos'!$G$5:$G$972,"&lt;&gt;*No disponible*")</f>
        <v>5</v>
      </c>
      <c r="U19" s="15" t="n">
        <f aca="false">COUNTIFS('Base de Datos'!$C$5:$C$972,U$5,'Base de Datos'!$F$5:$F$972,$B19,'Base de Datos'!$G$5:$G$972,"&lt;&gt;*No disponible*")</f>
        <v>0</v>
      </c>
      <c r="V19" s="15" t="n">
        <f aca="false">COUNTIFS('Base de Datos'!$C$5:$C$972,V$5,'Base de Datos'!$F$5:$F$972,$B19,'Base de Datos'!$G$5:$G$972,"&lt;&gt;*No disponible*")</f>
        <v>5</v>
      </c>
      <c r="W19" s="15" t="n">
        <f aca="false">SUM(C19:V19)</f>
        <v>45</v>
      </c>
    </row>
    <row r="20" customFormat="false" ht="25.5" hidden="false" customHeight="true" outlineLevel="0" collapsed="false">
      <c r="B20" s="16" t="s">
        <v>75</v>
      </c>
      <c r="C20" s="17" t="n">
        <f aca="false">SUM(C6:C19)</f>
        <v>65</v>
      </c>
      <c r="D20" s="17" t="n">
        <f aca="false">SUM(D6:D19)</f>
        <v>60</v>
      </c>
      <c r="E20" s="17" t="n">
        <f aca="false">SUM(E6:E19)</f>
        <v>65</v>
      </c>
      <c r="F20" s="17" t="n">
        <f aca="false">SUM(F6:F19)</f>
        <v>45</v>
      </c>
      <c r="G20" s="17" t="n">
        <f aca="false">SUM(G6:G19)</f>
        <v>45</v>
      </c>
      <c r="H20" s="17" t="n">
        <f aca="false">SUM(H6:H19)</f>
        <v>35</v>
      </c>
      <c r="I20" s="17" t="n">
        <f aca="false">SUM(I6:I19)</f>
        <v>50</v>
      </c>
      <c r="J20" s="17" t="n">
        <f aca="false">SUM(J6:J19)</f>
        <v>55</v>
      </c>
      <c r="K20" s="17" t="n">
        <f aca="false">SUM(K6:K19)</f>
        <v>35</v>
      </c>
      <c r="L20" s="17" t="n">
        <f aca="false">SUM(L6:L19)</f>
        <v>30</v>
      </c>
      <c r="M20" s="17" t="n">
        <f aca="false">SUM(M6:M19)</f>
        <v>30</v>
      </c>
      <c r="N20" s="17" t="n">
        <f aca="false">SUM(N6:N19)</f>
        <v>70</v>
      </c>
      <c r="O20" s="17" t="n">
        <f aca="false">SUM(O6:O19)</f>
        <v>70</v>
      </c>
      <c r="P20" s="17" t="n">
        <f aca="false">SUM(P6:P19)</f>
        <v>45</v>
      </c>
      <c r="Q20" s="17" t="n">
        <f aca="false">SUM(Q6:Q19)</f>
        <v>20</v>
      </c>
      <c r="R20" s="17" t="n">
        <f aca="false">SUM(R6:R19)</f>
        <v>30</v>
      </c>
      <c r="S20" s="17" t="n">
        <f aca="false">SUM(S6:S19)</f>
        <v>30</v>
      </c>
      <c r="T20" s="17" t="n">
        <f aca="false">SUM(T6:T19)</f>
        <v>30</v>
      </c>
      <c r="U20" s="17" t="n">
        <f aca="false">SUM(U6:U19)</f>
        <v>25</v>
      </c>
      <c r="V20" s="17" t="n">
        <f aca="false">SUM(V6:V19)</f>
        <v>25</v>
      </c>
      <c r="W20" s="17" t="n">
        <f aca="false">SUM(W6:W19)</f>
        <v>860</v>
      </c>
    </row>
    <row r="23" customFormat="false" ht="15" hidden="false" customHeight="false" outlineLevel="0" collapsed="false">
      <c r="B23" s="10" t="s">
        <v>76</v>
      </c>
    </row>
    <row r="24" customFormat="false" ht="27.75" hidden="false" customHeight="true" outlineLevel="0" collapsed="false">
      <c r="B24" s="5" t="s">
        <v>77</v>
      </c>
      <c r="C24" s="5" t="s">
        <v>16</v>
      </c>
      <c r="D24" s="5" t="s">
        <v>78</v>
      </c>
      <c r="E24" s="5" t="s">
        <v>79</v>
      </c>
      <c r="F24" s="5" t="s">
        <v>80</v>
      </c>
      <c r="G24" s="5" t="s">
        <v>81</v>
      </c>
      <c r="H24" s="5" t="s">
        <v>82</v>
      </c>
    </row>
    <row r="25" customFormat="false" ht="21.75" hidden="false" customHeight="true" outlineLevel="0" collapsed="false">
      <c r="B25" s="7" t="s">
        <v>40</v>
      </c>
      <c r="C25" s="7" t="s">
        <v>18</v>
      </c>
      <c r="D25" s="7" t="s">
        <v>83</v>
      </c>
      <c r="E25" s="14" t="n">
        <f aca="false">COUNTIFS('Base de Datos'!$C$5:$C$972,$B25,'Base de Datos'!$G$5:$G$972,"&lt;&gt;*No disponible*")</f>
        <v>65</v>
      </c>
      <c r="F25" s="18" t="n">
        <f aca="false">MIN('Base de Datos'!$AB$5:$AB$70)</f>
        <v>260</v>
      </c>
      <c r="G25" s="18" t="n">
        <f aca="false">MAX('Base de Datos'!$AB$5:$AB$70)</f>
        <v>17380</v>
      </c>
      <c r="H25" s="18" t="n">
        <f aca="false">IFERROR(ROUND(AVERAGE('Base de Datos'!$AB$5:$AB$70),0),"—")</f>
        <v>2819</v>
      </c>
    </row>
    <row r="26" customFormat="false" ht="21.75" hidden="false" customHeight="true" outlineLevel="0" collapsed="false">
      <c r="B26" s="9" t="s">
        <v>41</v>
      </c>
      <c r="C26" s="9" t="s">
        <v>18</v>
      </c>
      <c r="D26" s="9" t="s">
        <v>84</v>
      </c>
      <c r="E26" s="15" t="n">
        <f aca="false">COUNTIFS('Base de Datos'!$C$5:$C$972,$B26,'Base de Datos'!$G$5:$G$972,"&lt;&gt;*No disponible*")</f>
        <v>60</v>
      </c>
      <c r="F26" s="19" t="n">
        <f aca="false">MIN('Base de Datos'!$AB$71:$AB$132)</f>
        <v>100</v>
      </c>
      <c r="G26" s="19" t="n">
        <f aca="false">MAX('Base de Datos'!$AB$71:$AB$132)</f>
        <v>25300</v>
      </c>
      <c r="H26" s="19" t="n">
        <f aca="false">IFERROR(ROUND(AVERAGE('Base de Datos'!$AB$71:$AB$132),0),"—")</f>
        <v>2731</v>
      </c>
    </row>
    <row r="27" customFormat="false" ht="21.75" hidden="false" customHeight="true" outlineLevel="0" collapsed="false">
      <c r="B27" s="7" t="s">
        <v>42</v>
      </c>
      <c r="C27" s="7" t="s">
        <v>18</v>
      </c>
      <c r="D27" s="7" t="s">
        <v>85</v>
      </c>
      <c r="E27" s="14" t="n">
        <f aca="false">COUNTIFS('Base de Datos'!$C$5:$C$972,$B27,'Base de Datos'!$G$5:$G$972,"&lt;&gt;*No disponible*")</f>
        <v>65</v>
      </c>
      <c r="F27" s="18" t="n">
        <f aca="false">MIN('Base de Datos'!$AB$133:$AB$198)</f>
        <v>45</v>
      </c>
      <c r="G27" s="18" t="n">
        <f aca="false">MAX('Base de Datos'!$AB$133:$AB$198)</f>
        <v>10780</v>
      </c>
      <c r="H27" s="18" t="n">
        <f aca="false">IFERROR(ROUND(AVERAGE('Base de Datos'!$AB$133:$AB$198),0),"—")</f>
        <v>1635</v>
      </c>
    </row>
    <row r="28" customFormat="false" ht="21.75" hidden="false" customHeight="true" outlineLevel="0" collapsed="false">
      <c r="B28" s="9" t="s">
        <v>43</v>
      </c>
      <c r="C28" s="9" t="s">
        <v>18</v>
      </c>
      <c r="D28" s="9" t="s">
        <v>86</v>
      </c>
      <c r="E28" s="15" t="n">
        <f aca="false">COUNTIFS('Base de Datos'!$C$5:$C$972,$B28,'Base de Datos'!$G$5:$G$972,"&lt;&gt;*No disponible*")</f>
        <v>45</v>
      </c>
      <c r="F28" s="19" t="n">
        <f aca="false">MIN('Base de Datos'!$AB$199:$AB$248)</f>
        <v>360</v>
      </c>
      <c r="G28" s="19" t="n">
        <f aca="false">MAX('Base de Datos'!$AB$199:$AB$248)</f>
        <v>14300</v>
      </c>
      <c r="H28" s="19" t="n">
        <f aca="false">IFERROR(ROUND(AVERAGE('Base de Datos'!$AB$199:$AB$248),0),"—")</f>
        <v>2528</v>
      </c>
    </row>
    <row r="29" customFormat="false" ht="21.75" hidden="false" customHeight="true" outlineLevel="0" collapsed="false">
      <c r="B29" s="7" t="s">
        <v>44</v>
      </c>
      <c r="C29" s="7" t="s">
        <v>18</v>
      </c>
      <c r="D29" s="7" t="s">
        <v>87</v>
      </c>
      <c r="E29" s="14" t="n">
        <f aca="false">COUNTIFS('Base de Datos'!$C$5:$C$972,$B29,'Base de Datos'!$G$5:$G$972,"&lt;&gt;*No disponible*")</f>
        <v>45</v>
      </c>
      <c r="F29" s="18" t="n">
        <f aca="false">MIN('Base de Datos'!$AB$249:$AB$298)</f>
        <v>270</v>
      </c>
      <c r="G29" s="18" t="n">
        <f aca="false">MAX('Base de Datos'!$AB$249:$AB$298)</f>
        <v>12760</v>
      </c>
      <c r="H29" s="18" t="n">
        <f aca="false">IFERROR(ROUND(AVERAGE('Base de Datos'!$AB$249:$AB$298),0),"—")</f>
        <v>2571</v>
      </c>
    </row>
    <row r="30" customFormat="false" ht="21.75" hidden="false" customHeight="true" outlineLevel="0" collapsed="false">
      <c r="B30" s="9" t="s">
        <v>45</v>
      </c>
      <c r="C30" s="9" t="s">
        <v>18</v>
      </c>
      <c r="D30" s="9" t="s">
        <v>87</v>
      </c>
      <c r="E30" s="15" t="n">
        <f aca="false">COUNTIFS('Base de Datos'!$C$5:$C$972,$B30,'Base de Datos'!$G$5:$G$972,"&lt;&gt;*No disponible*")</f>
        <v>35</v>
      </c>
      <c r="F30" s="19" t="n">
        <f aca="false">MIN('Base de Datos'!$AB$299:$AB$340)</f>
        <v>65</v>
      </c>
      <c r="G30" s="19" t="n">
        <f aca="false">MAX('Base de Datos'!$AB$299:$AB$340)</f>
        <v>3080</v>
      </c>
      <c r="H30" s="19" t="n">
        <f aca="false">IFERROR(ROUND(AVERAGE('Base de Datos'!$AB$299:$AB$340),0),"—")</f>
        <v>510</v>
      </c>
    </row>
    <row r="31" customFormat="false" ht="21.75" hidden="false" customHeight="true" outlineLevel="0" collapsed="false">
      <c r="B31" s="7" t="s">
        <v>46</v>
      </c>
      <c r="C31" s="7" t="s">
        <v>18</v>
      </c>
      <c r="D31" s="7" t="s">
        <v>84</v>
      </c>
      <c r="E31" s="14" t="n">
        <f aca="false">COUNTIFS('Base de Datos'!$C$5:$C$972,$B31,'Base de Datos'!$G$5:$G$972,"&lt;&gt;*No disponible*")</f>
        <v>50</v>
      </c>
      <c r="F31" s="18" t="n">
        <f aca="false">MIN('Base de Datos'!$AB$341:$AB$394)</f>
        <v>445</v>
      </c>
      <c r="G31" s="18" t="n">
        <f aca="false">MAX('Base de Datos'!$AB$341:$AB$394)</f>
        <v>15180</v>
      </c>
      <c r="H31" s="18" t="n">
        <f aca="false">IFERROR(ROUND(AVERAGE('Base de Datos'!$AB$341:$AB$394),0),"—")</f>
        <v>2185</v>
      </c>
    </row>
    <row r="32" customFormat="false" ht="21.75" hidden="false" customHeight="true" outlineLevel="0" collapsed="false">
      <c r="B32" s="9" t="s">
        <v>47</v>
      </c>
      <c r="C32" s="9" t="s">
        <v>88</v>
      </c>
      <c r="D32" s="9" t="s">
        <v>89</v>
      </c>
      <c r="E32" s="15" t="n">
        <f aca="false">COUNTIFS('Base de Datos'!$C$5:$C$972,$B32,'Base de Datos'!$G$5:$G$972,"&lt;&gt;*No disponible*")</f>
        <v>55</v>
      </c>
      <c r="F32" s="19" t="n">
        <f aca="false">MIN('Base de Datos'!$AB$395:$AB$452)</f>
        <v>150</v>
      </c>
      <c r="G32" s="19" t="n">
        <f aca="false">MAX('Base de Datos'!$AB$395:$AB$452)</f>
        <v>10560</v>
      </c>
      <c r="H32" s="19" t="n">
        <f aca="false">IFERROR(ROUND(AVERAGE('Base de Datos'!$AB$395:$AB$452),0),"—")</f>
        <v>1308</v>
      </c>
    </row>
    <row r="33" customFormat="false" ht="21.75" hidden="false" customHeight="true" outlineLevel="0" collapsed="false">
      <c r="B33" s="7" t="s">
        <v>48</v>
      </c>
      <c r="C33" s="7" t="s">
        <v>88</v>
      </c>
      <c r="D33" s="7" t="s">
        <v>85</v>
      </c>
      <c r="E33" s="14" t="n">
        <f aca="false">COUNTIFS('Base de Datos'!$C$5:$C$972,$B33,'Base de Datos'!$G$5:$G$972,"&lt;&gt;*No disponible*")</f>
        <v>35</v>
      </c>
      <c r="F33" s="18" t="n">
        <f aca="false">MIN('Base de Datos'!$AB$453:$AB$494)</f>
        <v>125</v>
      </c>
      <c r="G33" s="18" t="n">
        <f aca="false">MAX('Base de Datos'!$AB$453:$AB$494)</f>
        <v>2530</v>
      </c>
      <c r="H33" s="18" t="n">
        <f aca="false">IFERROR(ROUND(AVERAGE('Base de Datos'!$AB$453:$AB$494),0),"—")</f>
        <v>510</v>
      </c>
    </row>
    <row r="34" customFormat="false" ht="21.75" hidden="false" customHeight="true" outlineLevel="0" collapsed="false">
      <c r="B34" s="9" t="s">
        <v>49</v>
      </c>
      <c r="C34" s="9" t="s">
        <v>90</v>
      </c>
      <c r="D34" s="9" t="s">
        <v>87</v>
      </c>
      <c r="E34" s="15" t="n">
        <f aca="false">COUNTIFS('Base de Datos'!$C$5:$C$972,$B34,'Base de Datos'!$G$5:$G$972,"&lt;&gt;*No disponible*")</f>
        <v>30</v>
      </c>
      <c r="F34" s="19" t="n">
        <f aca="false">MIN('Base de Datos'!$AB$495:$AB$532)</f>
        <v>300</v>
      </c>
      <c r="G34" s="19" t="n">
        <f aca="false">MAX('Base de Datos'!$AB$495:$AB$532)</f>
        <v>1870</v>
      </c>
      <c r="H34" s="19" t="n">
        <f aca="false">IFERROR(ROUND(AVERAGE('Base de Datos'!$AB$495:$AB$532),0),"—")</f>
        <v>853</v>
      </c>
    </row>
    <row r="35" customFormat="false" ht="21.75" hidden="false" customHeight="true" outlineLevel="0" collapsed="false">
      <c r="B35" s="7" t="s">
        <v>50</v>
      </c>
      <c r="C35" s="7" t="s">
        <v>24</v>
      </c>
      <c r="D35" s="7" t="s">
        <v>87</v>
      </c>
      <c r="E35" s="14" t="n">
        <f aca="false">COUNTIFS('Base de Datos'!$C$5:$C$972,$B35,'Base de Datos'!$G$5:$G$972,"&lt;&gt;*No disponible*")</f>
        <v>30</v>
      </c>
      <c r="F35" s="18" t="n">
        <f aca="false">MIN('Base de Datos'!$AB$533:$AB$570)</f>
        <v>100</v>
      </c>
      <c r="G35" s="18" t="n">
        <f aca="false">MAX('Base de Datos'!$AB$533:$AB$570)</f>
        <v>1540</v>
      </c>
      <c r="H35" s="18" t="n">
        <f aca="false">IFERROR(ROUND(AVERAGE('Base de Datos'!$AB$533:$AB$570),0),"—")</f>
        <v>387</v>
      </c>
    </row>
    <row r="36" customFormat="false" ht="21.75" hidden="false" customHeight="true" outlineLevel="0" collapsed="false">
      <c r="B36" s="9" t="s">
        <v>51</v>
      </c>
      <c r="C36" s="9" t="s">
        <v>24</v>
      </c>
      <c r="D36" s="9" t="s">
        <v>91</v>
      </c>
      <c r="E36" s="15" t="n">
        <f aca="false">COUNTIFS('Base de Datos'!$C$5:$C$972,$B36,'Base de Datos'!$G$5:$G$972,"&lt;&gt;*No disponible*")</f>
        <v>70</v>
      </c>
      <c r="F36" s="19" t="n">
        <f aca="false">MIN('Base de Datos'!$AB$571:$AB$640)</f>
        <v>40</v>
      </c>
      <c r="G36" s="19" t="n">
        <f aca="false">MAX('Base de Datos'!$AB$571:$AB$640)</f>
        <v>4180</v>
      </c>
      <c r="H36" s="19" t="n">
        <f aca="false">IFERROR(ROUND(AVERAGE('Base de Datos'!$AB$571:$AB$640),0),"—")</f>
        <v>571</v>
      </c>
    </row>
    <row r="37" customFormat="false" ht="21.75" hidden="false" customHeight="true" outlineLevel="0" collapsed="false">
      <c r="B37" s="7" t="s">
        <v>52</v>
      </c>
      <c r="C37" s="7" t="s">
        <v>24</v>
      </c>
      <c r="D37" s="7" t="s">
        <v>91</v>
      </c>
      <c r="E37" s="14" t="n">
        <f aca="false">COUNTIFS('Base de Datos'!$C$5:$C$972,$B37,'Base de Datos'!$G$5:$G$972,"&lt;&gt;*No disponible*")</f>
        <v>70</v>
      </c>
      <c r="F37" s="18" t="n">
        <f aca="false">MIN('Base de Datos'!$AB$641:$AB$710)</f>
        <v>25</v>
      </c>
      <c r="G37" s="18" t="n">
        <f aca="false">MAX('Base de Datos'!$AB$641:$AB$710)</f>
        <v>2090</v>
      </c>
      <c r="H37" s="18" t="n">
        <f aca="false">IFERROR(ROUND(AVERAGE('Base de Datos'!$AB$641:$AB$710),0),"—")</f>
        <v>323</v>
      </c>
    </row>
    <row r="38" customFormat="false" ht="21.75" hidden="false" customHeight="true" outlineLevel="0" collapsed="false">
      <c r="B38" s="9" t="s">
        <v>53</v>
      </c>
      <c r="C38" s="9" t="s">
        <v>24</v>
      </c>
      <c r="D38" s="9" t="s">
        <v>91</v>
      </c>
      <c r="E38" s="15" t="n">
        <f aca="false">COUNTIFS('Base de Datos'!$C$5:$C$972,$B38,'Base de Datos'!$G$5:$G$972,"&lt;&gt;*No disponible*")</f>
        <v>45</v>
      </c>
      <c r="F38" s="19" t="n">
        <f aca="false">MIN('Base de Datos'!$AB$711:$AB$760)</f>
        <v>50</v>
      </c>
      <c r="G38" s="19" t="n">
        <f aca="false">MAX('Base de Datos'!$AB$711:$AB$760)</f>
        <v>1520</v>
      </c>
      <c r="H38" s="19" t="n">
        <f aca="false">IFERROR(ROUND(AVERAGE('Base de Datos'!$AB$711:$AB$760),0),"—")</f>
        <v>314</v>
      </c>
    </row>
    <row r="39" customFormat="false" ht="21.75" hidden="false" customHeight="true" outlineLevel="0" collapsed="false">
      <c r="B39" s="7" t="s">
        <v>54</v>
      </c>
      <c r="C39" s="7" t="s">
        <v>27</v>
      </c>
      <c r="D39" s="7" t="s">
        <v>91</v>
      </c>
      <c r="E39" s="14" t="n">
        <f aca="false">COUNTIFS('Base de Datos'!$C$5:$C$972,$B39,'Base de Datos'!$G$5:$G$972,"&lt;&gt;*No disponible*")</f>
        <v>20</v>
      </c>
      <c r="F39" s="18" t="n">
        <f aca="false">MIN('Base de Datos'!$AB$761:$AB$790)</f>
        <v>25</v>
      </c>
      <c r="G39" s="18" t="n">
        <f aca="false">MAX('Base de Datos'!$AB$761:$AB$790)</f>
        <v>170</v>
      </c>
      <c r="H39" s="18" t="n">
        <f aca="false">IFERROR(ROUND(AVERAGE('Base de Datos'!$AB$761:$AB$790),0),"—")</f>
        <v>68</v>
      </c>
    </row>
    <row r="40" customFormat="false" ht="21.75" hidden="false" customHeight="true" outlineLevel="0" collapsed="false">
      <c r="B40" s="9" t="s">
        <v>55</v>
      </c>
      <c r="C40" s="9" t="s">
        <v>27</v>
      </c>
      <c r="D40" s="9" t="s">
        <v>91</v>
      </c>
      <c r="E40" s="15" t="n">
        <f aca="false">COUNTIFS('Base de Datos'!$C$5:$C$972,$B40,'Base de Datos'!$G$5:$G$972,"&lt;&gt;*No disponible*")</f>
        <v>30</v>
      </c>
      <c r="F40" s="19" t="n">
        <f aca="false">MIN('Base de Datos'!$AB$791:$AB$828)</f>
        <v>25</v>
      </c>
      <c r="G40" s="19" t="n">
        <f aca="false">MAX('Base de Datos'!$AB$791:$AB$828)</f>
        <v>170</v>
      </c>
      <c r="H40" s="19" t="n">
        <f aca="false">IFERROR(ROUND(AVERAGE('Base de Datos'!$AB$791:$AB$828),0),"—")</f>
        <v>58</v>
      </c>
    </row>
    <row r="41" customFormat="false" ht="21.75" hidden="false" customHeight="true" outlineLevel="0" collapsed="false">
      <c r="B41" s="7" t="s">
        <v>56</v>
      </c>
      <c r="C41" s="7" t="s">
        <v>27</v>
      </c>
      <c r="D41" s="7" t="s">
        <v>91</v>
      </c>
      <c r="E41" s="14" t="n">
        <f aca="false">COUNTIFS('Base de Datos'!$C$5:$C$972,$B41,'Base de Datos'!$G$5:$G$972,"&lt;&gt;*No disponible*")</f>
        <v>30</v>
      </c>
      <c r="F41" s="18" t="n">
        <f aca="false">MIN('Base de Datos'!$AB$829:$AB$866)</f>
        <v>25</v>
      </c>
      <c r="G41" s="18" t="n">
        <f aca="false">MAX('Base de Datos'!$AB$829:$AB$866)</f>
        <v>195</v>
      </c>
      <c r="H41" s="18" t="n">
        <f aca="false">IFERROR(ROUND(AVERAGE('Base de Datos'!$AB$829:$AB$866),0),"—")</f>
        <v>62</v>
      </c>
    </row>
    <row r="42" customFormat="false" ht="21.75" hidden="false" customHeight="true" outlineLevel="0" collapsed="false">
      <c r="B42" s="9" t="s">
        <v>57</v>
      </c>
      <c r="C42" s="9" t="s">
        <v>27</v>
      </c>
      <c r="D42" s="9" t="s">
        <v>91</v>
      </c>
      <c r="E42" s="15" t="n">
        <f aca="false">COUNTIFS('Base de Datos'!$C$5:$C$972,$B42,'Base de Datos'!$G$5:$G$972,"&lt;&gt;*No disponible*")</f>
        <v>30</v>
      </c>
      <c r="F42" s="19" t="n">
        <f aca="false">MIN('Base de Datos'!$AB$867:$AB$904)</f>
        <v>25</v>
      </c>
      <c r="G42" s="19" t="n">
        <f aca="false">MAX('Base de Datos'!$AB$867:$AB$904)</f>
        <v>420</v>
      </c>
      <c r="H42" s="19" t="n">
        <f aca="false">IFERROR(ROUND(AVERAGE('Base de Datos'!$AB$867:$AB$904),0),"—")</f>
        <v>127</v>
      </c>
    </row>
    <row r="43" customFormat="false" ht="21.75" hidden="false" customHeight="true" outlineLevel="0" collapsed="false">
      <c r="B43" s="7" t="s">
        <v>58</v>
      </c>
      <c r="C43" s="7" t="s">
        <v>27</v>
      </c>
      <c r="D43" s="7" t="s">
        <v>91</v>
      </c>
      <c r="E43" s="14" t="n">
        <f aca="false">COUNTIFS('Base de Datos'!$C$5:$C$972,$B43,'Base de Datos'!$G$5:$G$972,"&lt;&gt;*No disponible*")</f>
        <v>25</v>
      </c>
      <c r="F43" s="18" t="n">
        <f aca="false">MIN('Base de Datos'!$AB$905:$AB$938)</f>
        <v>25</v>
      </c>
      <c r="G43" s="18" t="n">
        <f aca="false">MAX('Base de Datos'!$AB$905:$AB$938)</f>
        <v>395</v>
      </c>
      <c r="H43" s="18" t="n">
        <f aca="false">IFERROR(ROUND(AVERAGE('Base de Datos'!$AB$905:$AB$938),0),"—")</f>
        <v>104</v>
      </c>
    </row>
    <row r="44" customFormat="false" ht="21.75" hidden="false" customHeight="true" outlineLevel="0" collapsed="false">
      <c r="B44" s="9" t="s">
        <v>59</v>
      </c>
      <c r="C44" s="9" t="s">
        <v>27</v>
      </c>
      <c r="D44" s="9" t="s">
        <v>91</v>
      </c>
      <c r="E44" s="15" t="n">
        <f aca="false">COUNTIFS('Base de Datos'!$C$5:$C$972,$B44,'Base de Datos'!$G$5:$G$972,"&lt;&gt;*No disponible*")</f>
        <v>25</v>
      </c>
      <c r="F44" s="19" t="n">
        <f aca="false">MIN('Base de Datos'!$AB$939:$AB$972)</f>
        <v>25</v>
      </c>
      <c r="G44" s="19" t="n">
        <f aca="false">MAX('Base de Datos'!$AB$939:$AB$972)</f>
        <v>120</v>
      </c>
      <c r="H44" s="19" t="n">
        <f aca="false">IFERROR(ROUND(AVERAGE('Base de Datos'!$AB$939:$AB$972),0),"—")</f>
        <v>50</v>
      </c>
    </row>
    <row r="45" customFormat="false" ht="25.5" hidden="false" customHeight="true" outlineLevel="0" collapsed="false">
      <c r="B45" s="16" t="s">
        <v>92</v>
      </c>
      <c r="C45" s="16"/>
      <c r="D45" s="16"/>
      <c r="E45" s="16" t="n">
        <f aca="false">SUM(E25:E44)</f>
        <v>860</v>
      </c>
      <c r="F45" s="20" t="n">
        <f aca="false">MIN(F25:F44)</f>
        <v>25</v>
      </c>
      <c r="G45" s="20" t="n">
        <f aca="false">MAX(G25:G44)</f>
        <v>25300</v>
      </c>
      <c r="H45" s="20" t="n">
        <f aca="false">IFERROR(ROUND(AVERAGE('Base de Datos'!$AB$5:$AB$972),0),"—")</f>
        <v>1193</v>
      </c>
    </row>
    <row r="48" customFormat="false" ht="15" hidden="false" customHeight="false" outlineLevel="0" collapsed="false">
      <c r="B48" s="10" t="s">
        <v>93</v>
      </c>
    </row>
    <row r="49" customFormat="false" ht="27.75" hidden="false" customHeight="true" outlineLevel="0" collapsed="false">
      <c r="B49" s="5" t="s">
        <v>94</v>
      </c>
      <c r="C49" s="5" t="s">
        <v>95</v>
      </c>
      <c r="D49" s="5" t="s">
        <v>80</v>
      </c>
      <c r="E49" s="5" t="s">
        <v>81</v>
      </c>
      <c r="F49" s="5" t="s">
        <v>82</v>
      </c>
    </row>
    <row r="50" customFormat="false" ht="21.75" hidden="false" customHeight="true" outlineLevel="0" collapsed="false">
      <c r="B50" s="7" t="s">
        <v>96</v>
      </c>
      <c r="C50" s="14" t="n">
        <f aca="false">COUNTIF(Equipamiento!$C$5:$C$66,$B50)</f>
        <v>10</v>
      </c>
      <c r="D50" s="18" t="n">
        <f aca="false">MIN(Equipamiento!$O$5:$O$14)</f>
        <v>119</v>
      </c>
      <c r="E50" s="18" t="n">
        <f aca="false">MAX(Equipamiento!$O$5:$O$14)</f>
        <v>519</v>
      </c>
      <c r="F50" s="18" t="n">
        <f aca="false">IFERROR(ROUND(AVERAGE(Equipamiento!$O$5:$O$14),0),"—")</f>
        <v>290</v>
      </c>
    </row>
    <row r="51" customFormat="false" ht="21.75" hidden="false" customHeight="true" outlineLevel="0" collapsed="false">
      <c r="B51" s="9" t="s">
        <v>97</v>
      </c>
      <c r="C51" s="15" t="n">
        <f aca="false">COUNTIF(Equipamiento!$C$5:$C$66,$B51)</f>
        <v>5</v>
      </c>
      <c r="D51" s="19" t="n">
        <f aca="false">MIN(Equipamiento!$O$15:$O$19)</f>
        <v>95</v>
      </c>
      <c r="E51" s="19" t="n">
        <f aca="false">MAX(Equipamiento!$O$15:$O$19)</f>
        <v>189</v>
      </c>
      <c r="F51" s="19" t="n">
        <f aca="false">IFERROR(ROUND(AVERAGE(Equipamiento!$O$15:$O$19),0),"—")</f>
        <v>141</v>
      </c>
    </row>
    <row r="52" customFormat="false" ht="21.75" hidden="false" customHeight="true" outlineLevel="0" collapsed="false">
      <c r="B52" s="7" t="s">
        <v>98</v>
      </c>
      <c r="C52" s="14" t="n">
        <f aca="false">COUNTIF(Equipamiento!$C$5:$C$66,$B52)</f>
        <v>7</v>
      </c>
      <c r="D52" s="18" t="n">
        <f aca="false">MIN(Equipamiento!$O$20:$O$26)</f>
        <v>79</v>
      </c>
      <c r="E52" s="18" t="n">
        <f aca="false">MAX(Equipamiento!$O$20:$O$26)</f>
        <v>599</v>
      </c>
      <c r="F52" s="18" t="n">
        <f aca="false">IFERROR(ROUND(AVERAGE(Equipamiento!$O$20:$O$26),0),"—")</f>
        <v>248</v>
      </c>
    </row>
    <row r="53" customFormat="false" ht="21.75" hidden="false" customHeight="true" outlineLevel="0" collapsed="false">
      <c r="B53" s="9" t="s">
        <v>99</v>
      </c>
      <c r="C53" s="15" t="n">
        <f aca="false">COUNTIF(Equipamiento!$C$5:$C$66,$B53)</f>
        <v>6</v>
      </c>
      <c r="D53" s="19" t="n">
        <f aca="false">MIN(Equipamiento!$O$27:$O$32)</f>
        <v>79</v>
      </c>
      <c r="E53" s="19" t="n">
        <f aca="false">MAX(Equipamiento!$O$27:$O$32)</f>
        <v>2999</v>
      </c>
      <c r="F53" s="19" t="n">
        <f aca="false">IFERROR(ROUND(AVERAGE(Equipamiento!$O$27:$O$32),0),"—")</f>
        <v>692</v>
      </c>
    </row>
    <row r="54" customFormat="false" ht="21.75" hidden="false" customHeight="true" outlineLevel="0" collapsed="false">
      <c r="B54" s="7" t="s">
        <v>100</v>
      </c>
      <c r="C54" s="14" t="n">
        <f aca="false">COUNTIF(Equipamiento!$C$5:$C$66,$B54)</f>
        <v>5</v>
      </c>
      <c r="D54" s="18" t="n">
        <f aca="false">MIN(Equipamiento!$O$33:$O$37)</f>
        <v>99</v>
      </c>
      <c r="E54" s="18" t="n">
        <f aca="false">MAX(Equipamiento!$O$33:$O$37)</f>
        <v>249</v>
      </c>
      <c r="F54" s="18" t="n">
        <f aca="false">IFERROR(ROUND(AVERAGE(Equipamiento!$O$33:$O$37),0),"—")</f>
        <v>157</v>
      </c>
    </row>
    <row r="55" customFormat="false" ht="21.75" hidden="false" customHeight="true" outlineLevel="0" collapsed="false">
      <c r="B55" s="9" t="s">
        <v>101</v>
      </c>
      <c r="C55" s="15" t="n">
        <f aca="false">COUNTIF(Equipamiento!$C$5:$C$66,$B55)</f>
        <v>5</v>
      </c>
      <c r="D55" s="19" t="n">
        <f aca="false">MIN(Equipamiento!$O$38:$O$42)</f>
        <v>179</v>
      </c>
      <c r="E55" s="19" t="n">
        <f aca="false">MAX(Equipamiento!$O$38:$O$42)</f>
        <v>1149</v>
      </c>
      <c r="F55" s="19" t="n">
        <f aca="false">IFERROR(ROUND(AVERAGE(Equipamiento!$O$38:$O$42),0),"—")</f>
        <v>415</v>
      </c>
    </row>
    <row r="56" customFormat="false" ht="21.75" hidden="false" customHeight="true" outlineLevel="0" collapsed="false">
      <c r="B56" s="7" t="s">
        <v>102</v>
      </c>
      <c r="C56" s="14" t="n">
        <f aca="false">COUNTIF(Equipamiento!$C$5:$C$66,$B56)</f>
        <v>6</v>
      </c>
      <c r="D56" s="18" t="n">
        <f aca="false">MIN(Equipamiento!$O$43:$O$48)</f>
        <v>19</v>
      </c>
      <c r="E56" s="18" t="n">
        <f aca="false">MAX(Equipamiento!$O$43:$O$48)</f>
        <v>189</v>
      </c>
      <c r="F56" s="18" t="n">
        <f aca="false">IFERROR(ROUND(AVERAGE(Equipamiento!$O$43:$O$48),0),"—")</f>
        <v>81</v>
      </c>
    </row>
    <row r="57" customFormat="false" ht="21.75" hidden="false" customHeight="true" outlineLevel="0" collapsed="false">
      <c r="B57" s="9" t="s">
        <v>103</v>
      </c>
      <c r="C57" s="15" t="n">
        <f aca="false">COUNTIF(Equipamiento!$C$5:$C$66,$B57)</f>
        <v>7</v>
      </c>
      <c r="D57" s="19" t="n">
        <f aca="false">MIN(Equipamiento!$O$49:$O$55)</f>
        <v>12</v>
      </c>
      <c r="E57" s="19" t="n">
        <f aca="false">MAX(Equipamiento!$O$49:$O$55)</f>
        <v>229</v>
      </c>
      <c r="F57" s="19" t="n">
        <f aca="false">IFERROR(ROUND(AVERAGE(Equipamiento!$O$49:$O$55),0),"—")</f>
        <v>65</v>
      </c>
    </row>
    <row r="58" customFormat="false" ht="21.75" hidden="false" customHeight="true" outlineLevel="0" collapsed="false">
      <c r="B58" s="7" t="s">
        <v>104</v>
      </c>
      <c r="C58" s="14" t="n">
        <f aca="false">COUNTIF(Equipamiento!$C$5:$C$66,$B58)</f>
        <v>5</v>
      </c>
      <c r="D58" s="18" t="n">
        <f aca="false">MIN(Equipamiento!$O$56:$O$60)</f>
        <v>19</v>
      </c>
      <c r="E58" s="18" t="n">
        <f aca="false">MAX(Equipamiento!$O$56:$O$60)</f>
        <v>29</v>
      </c>
      <c r="F58" s="18" t="n">
        <f aca="false">IFERROR(ROUND(AVERAGE(Equipamiento!$O$56:$O$60),0),"—")</f>
        <v>25</v>
      </c>
    </row>
    <row r="59" customFormat="false" ht="21.75" hidden="false" customHeight="true" outlineLevel="0" collapsed="false">
      <c r="B59" s="9" t="s">
        <v>105</v>
      </c>
      <c r="C59" s="15" t="n">
        <f aca="false">COUNTIF(Equipamiento!$C$5:$C$66,$B59)</f>
        <v>6</v>
      </c>
      <c r="D59" s="19" t="n">
        <f aca="false">MIN(Equipamiento!$O$61:$O$66)</f>
        <v>70</v>
      </c>
      <c r="E59" s="19" t="n">
        <f aca="false">MAX(Equipamiento!$O$61:$O$66)</f>
        <v>549</v>
      </c>
      <c r="F59" s="19" t="n">
        <f aca="false">IFERROR(ROUND(AVERAGE(Equipamiento!$O$61:$O$66),0),"—")</f>
        <v>171</v>
      </c>
    </row>
    <row r="60" customFormat="false" ht="25.5" hidden="false" customHeight="true" outlineLevel="0" collapsed="false">
      <c r="B60" s="16" t="s">
        <v>92</v>
      </c>
      <c r="C60" s="17" t="n">
        <f aca="false">SUM(C50:C59)</f>
        <v>62</v>
      </c>
      <c r="D60" s="20" t="n">
        <f aca="false">MIN(D50:D59)</f>
        <v>12</v>
      </c>
      <c r="E60" s="20" t="n">
        <f aca="false">MAX(E50:E59)</f>
        <v>2999</v>
      </c>
      <c r="F60" s="20" t="n">
        <f aca="false">IFERROR(ROUND(AVERAGE(Equipamiento!$O$5:$O$66),0),"—")</f>
        <v>233</v>
      </c>
    </row>
    <row r="62" customFormat="false" ht="15" hidden="false" customHeight="false" outlineLevel="0" collapsed="false">
      <c r="B62" s="21" t="s">
        <v>106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</sheetData>
  <mergeCells count="2">
    <mergeCell ref="B2:X2"/>
    <mergeCell ref="B62:N62"/>
  </mergeCells>
  <conditionalFormatting sqref="C6:V19">
    <cfRule type="cellIs" priority="2" operator="equal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AE9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1"/>
    <col collapsed="false" customWidth="true" hidden="false" outlineLevel="0" max="5" min="4" style="1" width="13"/>
    <col collapsed="false" customWidth="true" hidden="false" outlineLevel="0" max="6" min="6" style="1" width="23"/>
    <col collapsed="false" customWidth="true" hidden="false" outlineLevel="0" max="7" min="7" style="1" width="38"/>
    <col collapsed="false" customWidth="true" hidden="false" outlineLevel="0" max="8" min="8" style="1" width="17"/>
    <col collapsed="false" customWidth="true" hidden="false" outlineLevel="0" max="9" min="9" style="1" width="18"/>
    <col collapsed="false" customWidth="true" hidden="false" outlineLevel="0" max="10" min="10" style="1" width="21"/>
    <col collapsed="false" customWidth="true" hidden="false" outlineLevel="0" max="12" min="11" style="1" width="25"/>
    <col collapsed="false" customWidth="true" hidden="false" outlineLevel="0" max="13" min="13" style="1" width="14"/>
    <col collapsed="false" customWidth="true" hidden="false" outlineLevel="0" max="14" min="14" style="1" width="46"/>
    <col collapsed="false" customWidth="true" hidden="false" outlineLevel="0" max="15" min="15" style="1" width="24"/>
    <col collapsed="false" customWidth="true" hidden="false" outlineLevel="0" max="16" min="16" style="1" width="19"/>
    <col collapsed="false" customWidth="true" hidden="false" outlineLevel="0" max="17" min="17" style="1" width="22"/>
    <col collapsed="false" customWidth="true" hidden="false" outlineLevel="0" max="18" min="18" style="1" width="17"/>
    <col collapsed="false" customWidth="true" hidden="false" outlineLevel="0" max="19" min="19" style="1" width="21"/>
    <col collapsed="false" customWidth="true" hidden="false" outlineLevel="0" max="20" min="20" style="1" width="14"/>
    <col collapsed="false" customWidth="true" hidden="false" outlineLevel="0" max="21" min="21" style="1" width="13"/>
    <col collapsed="false" customWidth="true" hidden="false" outlineLevel="0" max="22" min="22" style="1" width="10"/>
    <col collapsed="false" customWidth="true" hidden="false" outlineLevel="0" max="23" min="23" style="1" width="16"/>
    <col collapsed="false" customWidth="true" hidden="false" outlineLevel="0" max="24" min="24" style="1" width="20"/>
    <col collapsed="false" customWidth="true" hidden="false" outlineLevel="0" max="25" min="25" style="1" width="9"/>
    <col collapsed="false" customWidth="true" hidden="false" outlineLevel="0" max="26" min="26" style="1" width="18"/>
    <col collapsed="false" customWidth="true" hidden="false" outlineLevel="0" max="27" min="27" style="1" width="17"/>
    <col collapsed="false" customWidth="true" hidden="false" outlineLevel="0" max="28" min="28" style="1" width="12"/>
    <col collapsed="false" customWidth="true" hidden="false" outlineLevel="0" max="29" min="29" style="1" width="18"/>
    <col collapsed="false" customWidth="true" hidden="false" outlineLevel="0" max="30" min="30" style="1" width="12"/>
    <col collapsed="false" customWidth="true" hidden="false" outlineLevel="0" max="31" min="31" style="1" width="48"/>
  </cols>
  <sheetData>
    <row r="2" customFormat="false" ht="31.5" hidden="false" customHeight="true" outlineLevel="0" collapsed="false">
      <c r="B2" s="2" t="s">
        <v>107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108</v>
      </c>
      <c r="C4" s="5" t="s">
        <v>77</v>
      </c>
      <c r="D4" s="5" t="s">
        <v>16</v>
      </c>
      <c r="E4" s="5" t="s">
        <v>78</v>
      </c>
      <c r="F4" s="5" t="s">
        <v>109</v>
      </c>
      <c r="G4" s="5" t="s">
        <v>110</v>
      </c>
      <c r="H4" s="5" t="s">
        <v>111</v>
      </c>
      <c r="I4" s="5" t="s">
        <v>112</v>
      </c>
      <c r="J4" s="5" t="s">
        <v>113</v>
      </c>
      <c r="K4" s="5" t="s">
        <v>114</v>
      </c>
      <c r="L4" s="5" t="s">
        <v>115</v>
      </c>
      <c r="M4" s="5" t="s">
        <v>116</v>
      </c>
      <c r="N4" s="5" t="s">
        <v>117</v>
      </c>
      <c r="O4" s="5" t="s">
        <v>118</v>
      </c>
      <c r="P4" s="5" t="s">
        <v>119</v>
      </c>
      <c r="Q4" s="5" t="s">
        <v>120</v>
      </c>
      <c r="R4" s="5" t="s">
        <v>121</v>
      </c>
      <c r="S4" s="5" t="s">
        <v>122</v>
      </c>
      <c r="T4" s="5" t="s">
        <v>123</v>
      </c>
      <c r="U4" s="5" t="s">
        <v>124</v>
      </c>
      <c r="V4" s="5" t="s">
        <v>125</v>
      </c>
      <c r="W4" s="5" t="s">
        <v>126</v>
      </c>
      <c r="X4" s="5" t="s">
        <v>127</v>
      </c>
      <c r="Y4" s="5" t="s">
        <v>128</v>
      </c>
      <c r="Z4" s="5" t="s">
        <v>129</v>
      </c>
      <c r="AA4" s="5" t="s">
        <v>130</v>
      </c>
      <c r="AB4" s="5" t="s">
        <v>131</v>
      </c>
      <c r="AC4" s="5" t="s">
        <v>132</v>
      </c>
      <c r="AD4" s="5" t="s">
        <v>133</v>
      </c>
      <c r="AE4" s="5" t="s">
        <v>134</v>
      </c>
    </row>
    <row r="5" customFormat="false" ht="21.75" hidden="false" customHeight="true" outlineLevel="0" collapsed="false">
      <c r="B5" s="14" t="n">
        <v>1</v>
      </c>
      <c r="C5" s="7" t="s">
        <v>40</v>
      </c>
      <c r="D5" s="7" t="s">
        <v>18</v>
      </c>
      <c r="E5" s="7" t="s">
        <v>83</v>
      </c>
      <c r="F5" s="7" t="s">
        <v>61</v>
      </c>
      <c r="G5" s="7" t="s">
        <v>135</v>
      </c>
      <c r="H5" s="7" t="s">
        <v>136</v>
      </c>
      <c r="I5" s="7" t="s">
        <v>137</v>
      </c>
      <c r="J5" s="7" t="s">
        <v>138</v>
      </c>
      <c r="K5" s="7" t="s">
        <v>139</v>
      </c>
      <c r="L5" s="7" t="s">
        <v>140</v>
      </c>
      <c r="M5" s="7" t="s">
        <v>141</v>
      </c>
      <c r="N5" s="7" t="s">
        <v>142</v>
      </c>
      <c r="O5" s="7" t="s">
        <v>143</v>
      </c>
      <c r="P5" s="7" t="s">
        <v>144</v>
      </c>
      <c r="Q5" s="7" t="s">
        <v>145</v>
      </c>
      <c r="R5" s="7" t="s">
        <v>145</v>
      </c>
      <c r="S5" s="7" t="s">
        <v>146</v>
      </c>
      <c r="T5" s="7" t="s">
        <v>147</v>
      </c>
      <c r="U5" s="7" t="s">
        <v>148</v>
      </c>
      <c r="V5" s="7" t="s">
        <v>149</v>
      </c>
      <c r="W5" s="7" t="s">
        <v>150</v>
      </c>
      <c r="X5" s="7" t="s">
        <v>151</v>
      </c>
      <c r="Y5" s="7" t="s">
        <v>152</v>
      </c>
      <c r="Z5" s="7" t="s">
        <v>153</v>
      </c>
      <c r="AA5" s="7" t="s">
        <v>154</v>
      </c>
      <c r="AB5" s="18" t="n">
        <v>545</v>
      </c>
      <c r="AC5" s="7"/>
      <c r="AD5" s="7"/>
      <c r="AE5" s="7" t="s">
        <v>155</v>
      </c>
    </row>
    <row r="6" customFormat="false" ht="21.75" hidden="false" customHeight="true" outlineLevel="0" collapsed="false">
      <c r="B6" s="15" t="n">
        <v>2</v>
      </c>
      <c r="C6" s="9" t="s">
        <v>40</v>
      </c>
      <c r="D6" s="9" t="s">
        <v>18</v>
      </c>
      <c r="E6" s="9" t="s">
        <v>83</v>
      </c>
      <c r="F6" s="9" t="s">
        <v>61</v>
      </c>
      <c r="G6" s="9" t="s">
        <v>156</v>
      </c>
      <c r="H6" s="9" t="s">
        <v>157</v>
      </c>
      <c r="I6" s="9" t="s">
        <v>158</v>
      </c>
      <c r="J6" s="9" t="s">
        <v>138</v>
      </c>
      <c r="K6" s="9" t="s">
        <v>139</v>
      </c>
      <c r="L6" s="9" t="s">
        <v>140</v>
      </c>
      <c r="M6" s="9" t="s">
        <v>141</v>
      </c>
      <c r="N6" s="9" t="s">
        <v>142</v>
      </c>
      <c r="O6" s="9" t="s">
        <v>143</v>
      </c>
      <c r="P6" s="9" t="s">
        <v>144</v>
      </c>
      <c r="Q6" s="9" t="s">
        <v>145</v>
      </c>
      <c r="R6" s="9" t="s">
        <v>145</v>
      </c>
      <c r="S6" s="9" t="s">
        <v>146</v>
      </c>
      <c r="T6" s="9" t="s">
        <v>147</v>
      </c>
      <c r="U6" s="9" t="s">
        <v>148</v>
      </c>
      <c r="V6" s="9" t="s">
        <v>149</v>
      </c>
      <c r="W6" s="9" t="s">
        <v>150</v>
      </c>
      <c r="X6" s="9" t="s">
        <v>151</v>
      </c>
      <c r="Y6" s="9" t="s">
        <v>152</v>
      </c>
      <c r="Z6" s="9" t="s">
        <v>153</v>
      </c>
      <c r="AA6" s="9" t="s">
        <v>154</v>
      </c>
      <c r="AB6" s="19" t="n">
        <v>820</v>
      </c>
      <c r="AC6" s="9"/>
      <c r="AD6" s="9"/>
      <c r="AE6" s="9" t="s">
        <v>159</v>
      </c>
    </row>
    <row r="7" customFormat="false" ht="21.75" hidden="false" customHeight="true" outlineLevel="0" collapsed="false">
      <c r="B7" s="14" t="n">
        <v>3</v>
      </c>
      <c r="C7" s="7" t="s">
        <v>40</v>
      </c>
      <c r="D7" s="7" t="s">
        <v>18</v>
      </c>
      <c r="E7" s="7" t="s">
        <v>83</v>
      </c>
      <c r="F7" s="7" t="s">
        <v>61</v>
      </c>
      <c r="G7" s="7" t="s">
        <v>160</v>
      </c>
      <c r="H7" s="7" t="s">
        <v>157</v>
      </c>
      <c r="I7" s="7" t="s">
        <v>158</v>
      </c>
      <c r="J7" s="7" t="s">
        <v>138</v>
      </c>
      <c r="K7" s="7" t="s">
        <v>139</v>
      </c>
      <c r="L7" s="7" t="s">
        <v>140</v>
      </c>
      <c r="M7" s="7" t="s">
        <v>141</v>
      </c>
      <c r="N7" s="7" t="s">
        <v>142</v>
      </c>
      <c r="O7" s="7" t="s">
        <v>143</v>
      </c>
      <c r="P7" s="7" t="s">
        <v>144</v>
      </c>
      <c r="Q7" s="7" t="s">
        <v>145</v>
      </c>
      <c r="R7" s="7" t="s">
        <v>145</v>
      </c>
      <c r="S7" s="7" t="s">
        <v>146</v>
      </c>
      <c r="T7" s="7" t="s">
        <v>147</v>
      </c>
      <c r="U7" s="7" t="s">
        <v>148</v>
      </c>
      <c r="V7" s="7" t="s">
        <v>149</v>
      </c>
      <c r="W7" s="7" t="s">
        <v>150</v>
      </c>
      <c r="X7" s="7" t="s">
        <v>151</v>
      </c>
      <c r="Y7" s="7" t="s">
        <v>152</v>
      </c>
      <c r="Z7" s="7" t="s">
        <v>153</v>
      </c>
      <c r="AA7" s="7" t="s">
        <v>154</v>
      </c>
      <c r="AB7" s="18" t="n">
        <v>1090</v>
      </c>
      <c r="AC7" s="7"/>
      <c r="AD7" s="7"/>
      <c r="AE7" s="7" t="s">
        <v>161</v>
      </c>
    </row>
    <row r="8" customFormat="false" ht="21.75" hidden="false" customHeight="true" outlineLevel="0" collapsed="false">
      <c r="B8" s="15" t="n">
        <v>4</v>
      </c>
      <c r="C8" s="9" t="s">
        <v>40</v>
      </c>
      <c r="D8" s="9" t="s">
        <v>18</v>
      </c>
      <c r="E8" s="9" t="s">
        <v>83</v>
      </c>
      <c r="F8" s="9" t="s">
        <v>61</v>
      </c>
      <c r="G8" s="9" t="s">
        <v>162</v>
      </c>
      <c r="H8" s="9" t="s">
        <v>163</v>
      </c>
      <c r="I8" s="9" t="s">
        <v>164</v>
      </c>
      <c r="J8" s="9" t="s">
        <v>138</v>
      </c>
      <c r="K8" s="9" t="s">
        <v>139</v>
      </c>
      <c r="L8" s="9" t="s">
        <v>140</v>
      </c>
      <c r="M8" s="9" t="s">
        <v>141</v>
      </c>
      <c r="N8" s="9" t="s">
        <v>142</v>
      </c>
      <c r="O8" s="9" t="s">
        <v>143</v>
      </c>
      <c r="P8" s="9" t="s">
        <v>144</v>
      </c>
      <c r="Q8" s="9" t="s">
        <v>145</v>
      </c>
      <c r="R8" s="9" t="s">
        <v>145</v>
      </c>
      <c r="S8" s="9" t="s">
        <v>146</v>
      </c>
      <c r="T8" s="9" t="s">
        <v>147</v>
      </c>
      <c r="U8" s="9" t="s">
        <v>148</v>
      </c>
      <c r="V8" s="9" t="s">
        <v>149</v>
      </c>
      <c r="W8" s="9" t="s">
        <v>150</v>
      </c>
      <c r="X8" s="9" t="s">
        <v>151</v>
      </c>
      <c r="Y8" s="9" t="s">
        <v>152</v>
      </c>
      <c r="Z8" s="9" t="s">
        <v>153</v>
      </c>
      <c r="AA8" s="9" t="s">
        <v>154</v>
      </c>
      <c r="AB8" s="19" t="n">
        <v>1635</v>
      </c>
      <c r="AC8" s="9"/>
      <c r="AD8" s="9"/>
      <c r="AE8" s="9" t="s">
        <v>165</v>
      </c>
    </row>
    <row r="9" customFormat="false" ht="21.75" hidden="false" customHeight="true" outlineLevel="0" collapsed="false">
      <c r="B9" s="14" t="n">
        <v>5</v>
      </c>
      <c r="C9" s="7" t="s">
        <v>40</v>
      </c>
      <c r="D9" s="7" t="s">
        <v>18</v>
      </c>
      <c r="E9" s="7" t="s">
        <v>83</v>
      </c>
      <c r="F9" s="7" t="s">
        <v>61</v>
      </c>
      <c r="G9" s="7" t="s">
        <v>166</v>
      </c>
      <c r="H9" s="7" t="s">
        <v>163</v>
      </c>
      <c r="I9" s="7" t="s">
        <v>164</v>
      </c>
      <c r="J9" s="7" t="s">
        <v>138</v>
      </c>
      <c r="K9" s="7" t="s">
        <v>139</v>
      </c>
      <c r="L9" s="7" t="s">
        <v>140</v>
      </c>
      <c r="M9" s="7" t="s">
        <v>141</v>
      </c>
      <c r="N9" s="7" t="s">
        <v>142</v>
      </c>
      <c r="O9" s="7" t="s">
        <v>143</v>
      </c>
      <c r="P9" s="7" t="s">
        <v>144</v>
      </c>
      <c r="Q9" s="7" t="s">
        <v>145</v>
      </c>
      <c r="R9" s="7" t="s">
        <v>145</v>
      </c>
      <c r="S9" s="7" t="s">
        <v>146</v>
      </c>
      <c r="T9" s="7" t="s">
        <v>147</v>
      </c>
      <c r="U9" s="7" t="s">
        <v>148</v>
      </c>
      <c r="V9" s="7" t="s">
        <v>149</v>
      </c>
      <c r="W9" s="7" t="s">
        <v>150</v>
      </c>
      <c r="X9" s="7" t="s">
        <v>151</v>
      </c>
      <c r="Y9" s="7" t="s">
        <v>152</v>
      </c>
      <c r="Z9" s="7" t="s">
        <v>153</v>
      </c>
      <c r="AA9" s="7" t="s">
        <v>154</v>
      </c>
      <c r="AB9" s="18" t="n">
        <v>2400</v>
      </c>
      <c r="AC9" s="7"/>
      <c r="AD9" s="7"/>
      <c r="AE9" s="7" t="s">
        <v>167</v>
      </c>
    </row>
    <row r="10" customFormat="false" ht="21.75" hidden="false" customHeight="true" outlineLevel="0" collapsed="false">
      <c r="B10" s="15" t="n">
        <v>6</v>
      </c>
      <c r="C10" s="9" t="s">
        <v>40</v>
      </c>
      <c r="D10" s="9" t="s">
        <v>18</v>
      </c>
      <c r="E10" s="9" t="s">
        <v>83</v>
      </c>
      <c r="F10" s="9" t="s">
        <v>62</v>
      </c>
      <c r="G10" s="9" t="s">
        <v>156</v>
      </c>
      <c r="H10" s="9" t="s">
        <v>136</v>
      </c>
      <c r="I10" s="9" t="s">
        <v>137</v>
      </c>
      <c r="J10" s="9" t="s">
        <v>138</v>
      </c>
      <c r="K10" s="9" t="s">
        <v>168</v>
      </c>
      <c r="L10" s="9" t="s">
        <v>169</v>
      </c>
      <c r="M10" s="9" t="s">
        <v>116</v>
      </c>
      <c r="N10" s="9" t="s">
        <v>170</v>
      </c>
      <c r="O10" s="9" t="s">
        <v>143</v>
      </c>
      <c r="P10" s="9" t="s">
        <v>144</v>
      </c>
      <c r="Q10" s="9" t="s">
        <v>145</v>
      </c>
      <c r="R10" s="9" t="s">
        <v>145</v>
      </c>
      <c r="S10" s="9" t="s">
        <v>146</v>
      </c>
      <c r="T10" s="9" t="s">
        <v>147</v>
      </c>
      <c r="U10" s="9" t="s">
        <v>148</v>
      </c>
      <c r="V10" s="9" t="s">
        <v>171</v>
      </c>
      <c r="W10" s="9" t="s">
        <v>150</v>
      </c>
      <c r="X10" s="9" t="s">
        <v>172</v>
      </c>
      <c r="Y10" s="9" t="s">
        <v>173</v>
      </c>
      <c r="Z10" s="9" t="s">
        <v>153</v>
      </c>
      <c r="AA10" s="9" t="s">
        <v>154</v>
      </c>
      <c r="AB10" s="19" t="n">
        <v>345</v>
      </c>
      <c r="AC10" s="9"/>
      <c r="AD10" s="9"/>
      <c r="AE10" s="9" t="s">
        <v>155</v>
      </c>
    </row>
    <row r="11" customFormat="false" ht="21.75" hidden="false" customHeight="true" outlineLevel="0" collapsed="false">
      <c r="B11" s="14" t="n">
        <v>7</v>
      </c>
      <c r="C11" s="7" t="s">
        <v>40</v>
      </c>
      <c r="D11" s="7" t="s">
        <v>18</v>
      </c>
      <c r="E11" s="7" t="s">
        <v>83</v>
      </c>
      <c r="F11" s="7" t="s">
        <v>62</v>
      </c>
      <c r="G11" s="7" t="s">
        <v>160</v>
      </c>
      <c r="H11" s="7" t="s">
        <v>157</v>
      </c>
      <c r="I11" s="7" t="s">
        <v>158</v>
      </c>
      <c r="J11" s="7" t="s">
        <v>138</v>
      </c>
      <c r="K11" s="7" t="s">
        <v>168</v>
      </c>
      <c r="L11" s="7" t="s">
        <v>169</v>
      </c>
      <c r="M11" s="7" t="s">
        <v>116</v>
      </c>
      <c r="N11" s="7" t="s">
        <v>170</v>
      </c>
      <c r="O11" s="7" t="s">
        <v>143</v>
      </c>
      <c r="P11" s="7" t="s">
        <v>144</v>
      </c>
      <c r="Q11" s="7" t="s">
        <v>145</v>
      </c>
      <c r="R11" s="7" t="s">
        <v>145</v>
      </c>
      <c r="S11" s="7" t="s">
        <v>146</v>
      </c>
      <c r="T11" s="7" t="s">
        <v>147</v>
      </c>
      <c r="U11" s="7" t="s">
        <v>148</v>
      </c>
      <c r="V11" s="7" t="s">
        <v>171</v>
      </c>
      <c r="W11" s="7" t="s">
        <v>150</v>
      </c>
      <c r="X11" s="7" t="s">
        <v>172</v>
      </c>
      <c r="Y11" s="7" t="s">
        <v>173</v>
      </c>
      <c r="Z11" s="7" t="s">
        <v>153</v>
      </c>
      <c r="AA11" s="7" t="s">
        <v>154</v>
      </c>
      <c r="AB11" s="18" t="n">
        <v>520</v>
      </c>
      <c r="AC11" s="7"/>
      <c r="AD11" s="7"/>
      <c r="AE11" s="7" t="s">
        <v>159</v>
      </c>
    </row>
    <row r="12" customFormat="false" ht="21.75" hidden="false" customHeight="true" outlineLevel="0" collapsed="false">
      <c r="B12" s="15" t="n">
        <v>8</v>
      </c>
      <c r="C12" s="9" t="s">
        <v>40</v>
      </c>
      <c r="D12" s="9" t="s">
        <v>18</v>
      </c>
      <c r="E12" s="9" t="s">
        <v>83</v>
      </c>
      <c r="F12" s="9" t="s">
        <v>62</v>
      </c>
      <c r="G12" s="9" t="s">
        <v>162</v>
      </c>
      <c r="H12" s="9" t="s">
        <v>157</v>
      </c>
      <c r="I12" s="9" t="s">
        <v>158</v>
      </c>
      <c r="J12" s="9" t="s">
        <v>138</v>
      </c>
      <c r="K12" s="9" t="s">
        <v>168</v>
      </c>
      <c r="L12" s="9" t="s">
        <v>169</v>
      </c>
      <c r="M12" s="9" t="s">
        <v>116</v>
      </c>
      <c r="N12" s="9" t="s">
        <v>170</v>
      </c>
      <c r="O12" s="9" t="s">
        <v>143</v>
      </c>
      <c r="P12" s="9" t="s">
        <v>144</v>
      </c>
      <c r="Q12" s="9" t="s">
        <v>145</v>
      </c>
      <c r="R12" s="9" t="s">
        <v>145</v>
      </c>
      <c r="S12" s="9" t="s">
        <v>146</v>
      </c>
      <c r="T12" s="9" t="s">
        <v>147</v>
      </c>
      <c r="U12" s="9" t="s">
        <v>148</v>
      </c>
      <c r="V12" s="9" t="s">
        <v>171</v>
      </c>
      <c r="W12" s="9" t="s">
        <v>150</v>
      </c>
      <c r="X12" s="9" t="s">
        <v>172</v>
      </c>
      <c r="Y12" s="9" t="s">
        <v>173</v>
      </c>
      <c r="Z12" s="9" t="s">
        <v>153</v>
      </c>
      <c r="AA12" s="9" t="s">
        <v>154</v>
      </c>
      <c r="AB12" s="19" t="n">
        <v>690</v>
      </c>
      <c r="AC12" s="9"/>
      <c r="AD12" s="9"/>
      <c r="AE12" s="9" t="s">
        <v>174</v>
      </c>
    </row>
    <row r="13" customFormat="false" ht="21.75" hidden="false" customHeight="true" outlineLevel="0" collapsed="false">
      <c r="B13" s="14" t="n">
        <v>9</v>
      </c>
      <c r="C13" s="7" t="s">
        <v>40</v>
      </c>
      <c r="D13" s="7" t="s">
        <v>18</v>
      </c>
      <c r="E13" s="7" t="s">
        <v>83</v>
      </c>
      <c r="F13" s="7" t="s">
        <v>62</v>
      </c>
      <c r="G13" s="7" t="s">
        <v>175</v>
      </c>
      <c r="H13" s="7" t="s">
        <v>163</v>
      </c>
      <c r="I13" s="7" t="s">
        <v>164</v>
      </c>
      <c r="J13" s="7" t="s">
        <v>138</v>
      </c>
      <c r="K13" s="7" t="s">
        <v>168</v>
      </c>
      <c r="L13" s="7" t="s">
        <v>169</v>
      </c>
      <c r="M13" s="7" t="s">
        <v>116</v>
      </c>
      <c r="N13" s="7" t="s">
        <v>170</v>
      </c>
      <c r="O13" s="7" t="s">
        <v>143</v>
      </c>
      <c r="P13" s="7" t="s">
        <v>144</v>
      </c>
      <c r="Q13" s="7" t="s">
        <v>145</v>
      </c>
      <c r="R13" s="7" t="s">
        <v>145</v>
      </c>
      <c r="S13" s="7" t="s">
        <v>146</v>
      </c>
      <c r="T13" s="7" t="s">
        <v>147</v>
      </c>
      <c r="U13" s="7" t="s">
        <v>148</v>
      </c>
      <c r="V13" s="7" t="s">
        <v>171</v>
      </c>
      <c r="W13" s="7" t="s">
        <v>150</v>
      </c>
      <c r="X13" s="7" t="s">
        <v>172</v>
      </c>
      <c r="Y13" s="7" t="s">
        <v>173</v>
      </c>
      <c r="Z13" s="7" t="s">
        <v>153</v>
      </c>
      <c r="AA13" s="7" t="s">
        <v>154</v>
      </c>
      <c r="AB13" s="18" t="n">
        <v>1035</v>
      </c>
      <c r="AC13" s="7"/>
      <c r="AD13" s="7"/>
      <c r="AE13" s="7" t="s">
        <v>165</v>
      </c>
    </row>
    <row r="14" customFormat="false" ht="21.75" hidden="false" customHeight="true" outlineLevel="0" collapsed="false">
      <c r="B14" s="15" t="n">
        <v>10</v>
      </c>
      <c r="C14" s="9" t="s">
        <v>40</v>
      </c>
      <c r="D14" s="9" t="s">
        <v>18</v>
      </c>
      <c r="E14" s="9" t="s">
        <v>83</v>
      </c>
      <c r="F14" s="9" t="s">
        <v>62</v>
      </c>
      <c r="G14" s="9" t="s">
        <v>176</v>
      </c>
      <c r="H14" s="9" t="s">
        <v>163</v>
      </c>
      <c r="I14" s="9" t="s">
        <v>164</v>
      </c>
      <c r="J14" s="9" t="s">
        <v>138</v>
      </c>
      <c r="K14" s="9" t="s">
        <v>168</v>
      </c>
      <c r="L14" s="9" t="s">
        <v>169</v>
      </c>
      <c r="M14" s="9" t="s">
        <v>116</v>
      </c>
      <c r="N14" s="9" t="s">
        <v>170</v>
      </c>
      <c r="O14" s="9" t="s">
        <v>143</v>
      </c>
      <c r="P14" s="9" t="s">
        <v>144</v>
      </c>
      <c r="Q14" s="9" t="s">
        <v>145</v>
      </c>
      <c r="R14" s="9" t="s">
        <v>145</v>
      </c>
      <c r="S14" s="9" t="s">
        <v>146</v>
      </c>
      <c r="T14" s="9" t="s">
        <v>147</v>
      </c>
      <c r="U14" s="9" t="s">
        <v>148</v>
      </c>
      <c r="V14" s="9" t="s">
        <v>171</v>
      </c>
      <c r="W14" s="9" t="s">
        <v>150</v>
      </c>
      <c r="X14" s="9" t="s">
        <v>172</v>
      </c>
      <c r="Y14" s="9" t="s">
        <v>173</v>
      </c>
      <c r="Z14" s="9" t="s">
        <v>153</v>
      </c>
      <c r="AA14" s="9" t="s">
        <v>154</v>
      </c>
      <c r="AB14" s="19" t="n">
        <v>1520</v>
      </c>
      <c r="AC14" s="9"/>
      <c r="AD14" s="9"/>
      <c r="AE14" s="9" t="s">
        <v>167</v>
      </c>
    </row>
    <row r="15" customFormat="false" ht="21.75" hidden="false" customHeight="true" outlineLevel="0" collapsed="false">
      <c r="B15" s="14" t="n">
        <v>11</v>
      </c>
      <c r="C15" s="7" t="s">
        <v>40</v>
      </c>
      <c r="D15" s="7" t="s">
        <v>18</v>
      </c>
      <c r="E15" s="7" t="s">
        <v>83</v>
      </c>
      <c r="F15" s="7" t="s">
        <v>63</v>
      </c>
      <c r="G15" s="7" t="s">
        <v>177</v>
      </c>
      <c r="H15" s="7" t="s">
        <v>136</v>
      </c>
      <c r="I15" s="7" t="s">
        <v>137</v>
      </c>
      <c r="J15" s="7" t="s">
        <v>138</v>
      </c>
      <c r="K15" s="7" t="s">
        <v>168</v>
      </c>
      <c r="L15" s="7" t="s">
        <v>178</v>
      </c>
      <c r="M15" s="7" t="s">
        <v>141</v>
      </c>
      <c r="N15" s="7" t="s">
        <v>142</v>
      </c>
      <c r="O15" s="7" t="s">
        <v>143</v>
      </c>
      <c r="P15" s="7" t="s">
        <v>144</v>
      </c>
      <c r="Q15" s="7" t="s">
        <v>145</v>
      </c>
      <c r="R15" s="7" t="s">
        <v>145</v>
      </c>
      <c r="S15" s="7" t="s">
        <v>146</v>
      </c>
      <c r="T15" s="7" t="s">
        <v>179</v>
      </c>
      <c r="U15" s="7" t="s">
        <v>148</v>
      </c>
      <c r="V15" s="7" t="s">
        <v>180</v>
      </c>
      <c r="W15" s="7" t="s">
        <v>150</v>
      </c>
      <c r="X15" s="7" t="s">
        <v>181</v>
      </c>
      <c r="Y15" s="7" t="s">
        <v>182</v>
      </c>
      <c r="Z15" s="7" t="s">
        <v>153</v>
      </c>
      <c r="AA15" s="7" t="s">
        <v>183</v>
      </c>
      <c r="AB15" s="18" t="n">
        <v>470</v>
      </c>
      <c r="AC15" s="7"/>
      <c r="AD15" s="7"/>
      <c r="AE15" s="7" t="s">
        <v>155</v>
      </c>
    </row>
    <row r="16" customFormat="false" ht="21.75" hidden="false" customHeight="true" outlineLevel="0" collapsed="false">
      <c r="B16" s="15" t="n">
        <v>12</v>
      </c>
      <c r="C16" s="9" t="s">
        <v>40</v>
      </c>
      <c r="D16" s="9" t="s">
        <v>18</v>
      </c>
      <c r="E16" s="9" t="s">
        <v>83</v>
      </c>
      <c r="F16" s="9" t="s">
        <v>63</v>
      </c>
      <c r="G16" s="9" t="s">
        <v>184</v>
      </c>
      <c r="H16" s="9" t="s">
        <v>157</v>
      </c>
      <c r="I16" s="9" t="s">
        <v>158</v>
      </c>
      <c r="J16" s="9" t="s">
        <v>138</v>
      </c>
      <c r="K16" s="9" t="s">
        <v>168</v>
      </c>
      <c r="L16" s="9" t="s">
        <v>178</v>
      </c>
      <c r="M16" s="9" t="s">
        <v>141</v>
      </c>
      <c r="N16" s="9" t="s">
        <v>142</v>
      </c>
      <c r="O16" s="9" t="s">
        <v>143</v>
      </c>
      <c r="P16" s="9" t="s">
        <v>144</v>
      </c>
      <c r="Q16" s="9" t="s">
        <v>145</v>
      </c>
      <c r="R16" s="9" t="s">
        <v>145</v>
      </c>
      <c r="S16" s="9" t="s">
        <v>146</v>
      </c>
      <c r="T16" s="9" t="s">
        <v>179</v>
      </c>
      <c r="U16" s="9" t="s">
        <v>148</v>
      </c>
      <c r="V16" s="9" t="s">
        <v>180</v>
      </c>
      <c r="W16" s="9" t="s">
        <v>150</v>
      </c>
      <c r="X16" s="9" t="s">
        <v>181</v>
      </c>
      <c r="Y16" s="9" t="s">
        <v>182</v>
      </c>
      <c r="Z16" s="9" t="s">
        <v>153</v>
      </c>
      <c r="AA16" s="9" t="s">
        <v>183</v>
      </c>
      <c r="AB16" s="19" t="n">
        <v>705</v>
      </c>
      <c r="AC16" s="9"/>
      <c r="AD16" s="9"/>
      <c r="AE16" s="9" t="s">
        <v>159</v>
      </c>
    </row>
    <row r="17" customFormat="false" ht="21.75" hidden="false" customHeight="true" outlineLevel="0" collapsed="false">
      <c r="B17" s="14" t="n">
        <v>13</v>
      </c>
      <c r="C17" s="7" t="s">
        <v>40</v>
      </c>
      <c r="D17" s="7" t="s">
        <v>18</v>
      </c>
      <c r="E17" s="7" t="s">
        <v>83</v>
      </c>
      <c r="F17" s="7" t="s">
        <v>63</v>
      </c>
      <c r="G17" s="7" t="s">
        <v>185</v>
      </c>
      <c r="H17" s="7" t="s">
        <v>157</v>
      </c>
      <c r="I17" s="7" t="s">
        <v>158</v>
      </c>
      <c r="J17" s="7" t="s">
        <v>138</v>
      </c>
      <c r="K17" s="7" t="s">
        <v>168</v>
      </c>
      <c r="L17" s="7" t="s">
        <v>178</v>
      </c>
      <c r="M17" s="7" t="s">
        <v>141</v>
      </c>
      <c r="N17" s="7" t="s">
        <v>142</v>
      </c>
      <c r="O17" s="7" t="s">
        <v>143</v>
      </c>
      <c r="P17" s="7" t="s">
        <v>144</v>
      </c>
      <c r="Q17" s="7" t="s">
        <v>145</v>
      </c>
      <c r="R17" s="7" t="s">
        <v>145</v>
      </c>
      <c r="S17" s="7" t="s">
        <v>146</v>
      </c>
      <c r="T17" s="7" t="s">
        <v>179</v>
      </c>
      <c r="U17" s="7" t="s">
        <v>148</v>
      </c>
      <c r="V17" s="7" t="s">
        <v>180</v>
      </c>
      <c r="W17" s="7" t="s">
        <v>150</v>
      </c>
      <c r="X17" s="7" t="s">
        <v>181</v>
      </c>
      <c r="Y17" s="7" t="s">
        <v>182</v>
      </c>
      <c r="Z17" s="7" t="s">
        <v>153</v>
      </c>
      <c r="AA17" s="7" t="s">
        <v>183</v>
      </c>
      <c r="AB17" s="18" t="n">
        <v>940</v>
      </c>
      <c r="AC17" s="7"/>
      <c r="AD17" s="7"/>
      <c r="AE17" s="7" t="s">
        <v>186</v>
      </c>
    </row>
    <row r="18" customFormat="false" ht="21.75" hidden="false" customHeight="true" outlineLevel="0" collapsed="false">
      <c r="B18" s="15" t="n">
        <v>14</v>
      </c>
      <c r="C18" s="9" t="s">
        <v>40</v>
      </c>
      <c r="D18" s="9" t="s">
        <v>18</v>
      </c>
      <c r="E18" s="9" t="s">
        <v>83</v>
      </c>
      <c r="F18" s="9" t="s">
        <v>63</v>
      </c>
      <c r="G18" s="9" t="s">
        <v>187</v>
      </c>
      <c r="H18" s="9" t="s">
        <v>163</v>
      </c>
      <c r="I18" s="9" t="s">
        <v>164</v>
      </c>
      <c r="J18" s="9" t="s">
        <v>138</v>
      </c>
      <c r="K18" s="9" t="s">
        <v>168</v>
      </c>
      <c r="L18" s="9" t="s">
        <v>178</v>
      </c>
      <c r="M18" s="9" t="s">
        <v>141</v>
      </c>
      <c r="N18" s="9" t="s">
        <v>142</v>
      </c>
      <c r="O18" s="9" t="s">
        <v>143</v>
      </c>
      <c r="P18" s="9" t="s">
        <v>144</v>
      </c>
      <c r="Q18" s="9" t="s">
        <v>145</v>
      </c>
      <c r="R18" s="9" t="s">
        <v>145</v>
      </c>
      <c r="S18" s="9" t="s">
        <v>146</v>
      </c>
      <c r="T18" s="9" t="s">
        <v>179</v>
      </c>
      <c r="U18" s="9" t="s">
        <v>148</v>
      </c>
      <c r="V18" s="9" t="s">
        <v>180</v>
      </c>
      <c r="W18" s="9" t="s">
        <v>150</v>
      </c>
      <c r="X18" s="9" t="s">
        <v>181</v>
      </c>
      <c r="Y18" s="9" t="s">
        <v>182</v>
      </c>
      <c r="Z18" s="9" t="s">
        <v>153</v>
      </c>
      <c r="AA18" s="9" t="s">
        <v>183</v>
      </c>
      <c r="AB18" s="19" t="n">
        <v>1410</v>
      </c>
      <c r="AC18" s="9"/>
      <c r="AD18" s="9"/>
      <c r="AE18" s="9" t="s">
        <v>165</v>
      </c>
    </row>
    <row r="19" customFormat="false" ht="21.75" hidden="false" customHeight="true" outlineLevel="0" collapsed="false">
      <c r="B19" s="14" t="n">
        <v>15</v>
      </c>
      <c r="C19" s="7" t="s">
        <v>40</v>
      </c>
      <c r="D19" s="7" t="s">
        <v>18</v>
      </c>
      <c r="E19" s="7" t="s">
        <v>83</v>
      </c>
      <c r="F19" s="7" t="s">
        <v>63</v>
      </c>
      <c r="G19" s="7" t="s">
        <v>188</v>
      </c>
      <c r="H19" s="7" t="s">
        <v>163</v>
      </c>
      <c r="I19" s="7" t="s">
        <v>164</v>
      </c>
      <c r="J19" s="7" t="s">
        <v>138</v>
      </c>
      <c r="K19" s="7" t="s">
        <v>168</v>
      </c>
      <c r="L19" s="7" t="s">
        <v>178</v>
      </c>
      <c r="M19" s="7" t="s">
        <v>141</v>
      </c>
      <c r="N19" s="7" t="s">
        <v>142</v>
      </c>
      <c r="O19" s="7" t="s">
        <v>143</v>
      </c>
      <c r="P19" s="7" t="s">
        <v>144</v>
      </c>
      <c r="Q19" s="7" t="s">
        <v>145</v>
      </c>
      <c r="R19" s="7" t="s">
        <v>145</v>
      </c>
      <c r="S19" s="7" t="s">
        <v>146</v>
      </c>
      <c r="T19" s="7" t="s">
        <v>179</v>
      </c>
      <c r="U19" s="7" t="s">
        <v>148</v>
      </c>
      <c r="V19" s="7" t="s">
        <v>180</v>
      </c>
      <c r="W19" s="7" t="s">
        <v>150</v>
      </c>
      <c r="X19" s="7" t="s">
        <v>181</v>
      </c>
      <c r="Y19" s="7" t="s">
        <v>182</v>
      </c>
      <c r="Z19" s="7" t="s">
        <v>153</v>
      </c>
      <c r="AA19" s="7" t="s">
        <v>183</v>
      </c>
      <c r="AB19" s="18" t="n">
        <v>2070</v>
      </c>
      <c r="AC19" s="7"/>
      <c r="AD19" s="7"/>
      <c r="AE19" s="7" t="s">
        <v>167</v>
      </c>
    </row>
    <row r="20" customFormat="false" ht="21.75" hidden="false" customHeight="true" outlineLevel="0" collapsed="false">
      <c r="B20" s="15" t="n">
        <v>16</v>
      </c>
      <c r="C20" s="9" t="s">
        <v>40</v>
      </c>
      <c r="D20" s="9" t="s">
        <v>18</v>
      </c>
      <c r="E20" s="9" t="s">
        <v>83</v>
      </c>
      <c r="F20" s="9" t="s">
        <v>64</v>
      </c>
      <c r="G20" s="9" t="s">
        <v>189</v>
      </c>
      <c r="H20" s="9" t="s">
        <v>136</v>
      </c>
      <c r="I20" s="9" t="s">
        <v>137</v>
      </c>
      <c r="J20" s="9" t="s">
        <v>138</v>
      </c>
      <c r="K20" s="9" t="s">
        <v>190</v>
      </c>
      <c r="L20" s="9" t="s">
        <v>191</v>
      </c>
      <c r="M20" s="9" t="s">
        <v>141</v>
      </c>
      <c r="N20" s="9" t="s">
        <v>192</v>
      </c>
      <c r="O20" s="9" t="s">
        <v>143</v>
      </c>
      <c r="P20" s="9" t="s">
        <v>144</v>
      </c>
      <c r="Q20" s="9" t="s">
        <v>145</v>
      </c>
      <c r="R20" s="9" t="s">
        <v>145</v>
      </c>
      <c r="S20" s="9" t="s">
        <v>146</v>
      </c>
      <c r="T20" s="9" t="s">
        <v>193</v>
      </c>
      <c r="U20" s="9" t="s">
        <v>194</v>
      </c>
      <c r="V20" s="9" t="s">
        <v>195</v>
      </c>
      <c r="W20" s="9" t="s">
        <v>150</v>
      </c>
      <c r="X20" s="9" t="s">
        <v>196</v>
      </c>
      <c r="Y20" s="9" t="s">
        <v>197</v>
      </c>
      <c r="Z20" s="9" t="s">
        <v>153</v>
      </c>
      <c r="AA20" s="9" t="s">
        <v>183</v>
      </c>
      <c r="AB20" s="19" t="n">
        <v>2740</v>
      </c>
      <c r="AC20" s="9"/>
      <c r="AD20" s="9"/>
      <c r="AE20" s="9" t="s">
        <v>155</v>
      </c>
    </row>
    <row r="21" customFormat="false" ht="21.75" hidden="false" customHeight="true" outlineLevel="0" collapsed="false">
      <c r="B21" s="14" t="n">
        <v>17</v>
      </c>
      <c r="C21" s="7" t="s">
        <v>40</v>
      </c>
      <c r="D21" s="7" t="s">
        <v>18</v>
      </c>
      <c r="E21" s="7" t="s">
        <v>83</v>
      </c>
      <c r="F21" s="7" t="s">
        <v>64</v>
      </c>
      <c r="G21" s="7" t="s">
        <v>198</v>
      </c>
      <c r="H21" s="7" t="s">
        <v>136</v>
      </c>
      <c r="I21" s="7" t="s">
        <v>137</v>
      </c>
      <c r="J21" s="7" t="s">
        <v>138</v>
      </c>
      <c r="K21" s="7" t="s">
        <v>190</v>
      </c>
      <c r="L21" s="7" t="s">
        <v>191</v>
      </c>
      <c r="M21" s="7" t="s">
        <v>141</v>
      </c>
      <c r="N21" s="7" t="s">
        <v>192</v>
      </c>
      <c r="O21" s="7" t="s">
        <v>143</v>
      </c>
      <c r="P21" s="7" t="s">
        <v>144</v>
      </c>
      <c r="Q21" s="7" t="s">
        <v>145</v>
      </c>
      <c r="R21" s="7" t="s">
        <v>145</v>
      </c>
      <c r="S21" s="7" t="s">
        <v>146</v>
      </c>
      <c r="T21" s="7" t="s">
        <v>193</v>
      </c>
      <c r="U21" s="7" t="s">
        <v>194</v>
      </c>
      <c r="V21" s="7" t="s">
        <v>195</v>
      </c>
      <c r="W21" s="7" t="s">
        <v>150</v>
      </c>
      <c r="X21" s="7" t="s">
        <v>196</v>
      </c>
      <c r="Y21" s="7" t="s">
        <v>197</v>
      </c>
      <c r="Z21" s="7" t="s">
        <v>153</v>
      </c>
      <c r="AA21" s="7" t="s">
        <v>183</v>
      </c>
      <c r="AB21" s="18" t="n">
        <v>4110</v>
      </c>
      <c r="AC21" s="7"/>
      <c r="AD21" s="7"/>
      <c r="AE21" s="7" t="s">
        <v>159</v>
      </c>
    </row>
    <row r="22" customFormat="false" ht="21.75" hidden="false" customHeight="true" outlineLevel="0" collapsed="false">
      <c r="B22" s="15" t="n">
        <v>18</v>
      </c>
      <c r="C22" s="9" t="s">
        <v>40</v>
      </c>
      <c r="D22" s="9" t="s">
        <v>18</v>
      </c>
      <c r="E22" s="9" t="s">
        <v>83</v>
      </c>
      <c r="F22" s="9" t="s">
        <v>64</v>
      </c>
      <c r="G22" s="9" t="s">
        <v>199</v>
      </c>
      <c r="H22" s="9" t="s">
        <v>157</v>
      </c>
      <c r="I22" s="9" t="s">
        <v>158</v>
      </c>
      <c r="J22" s="9" t="s">
        <v>138</v>
      </c>
      <c r="K22" s="9" t="s">
        <v>190</v>
      </c>
      <c r="L22" s="9" t="s">
        <v>191</v>
      </c>
      <c r="M22" s="9" t="s">
        <v>141</v>
      </c>
      <c r="N22" s="9" t="s">
        <v>192</v>
      </c>
      <c r="O22" s="9" t="s">
        <v>143</v>
      </c>
      <c r="P22" s="9" t="s">
        <v>144</v>
      </c>
      <c r="Q22" s="9" t="s">
        <v>145</v>
      </c>
      <c r="R22" s="9" t="s">
        <v>145</v>
      </c>
      <c r="S22" s="9" t="s">
        <v>146</v>
      </c>
      <c r="T22" s="9" t="s">
        <v>193</v>
      </c>
      <c r="U22" s="9" t="s">
        <v>194</v>
      </c>
      <c r="V22" s="9" t="s">
        <v>195</v>
      </c>
      <c r="W22" s="9" t="s">
        <v>150</v>
      </c>
      <c r="X22" s="9" t="s">
        <v>196</v>
      </c>
      <c r="Y22" s="9" t="s">
        <v>197</v>
      </c>
      <c r="Z22" s="9" t="s">
        <v>153</v>
      </c>
      <c r="AA22" s="9" t="s">
        <v>183</v>
      </c>
      <c r="AB22" s="19" t="n">
        <v>5480</v>
      </c>
      <c r="AC22" s="9"/>
      <c r="AD22" s="9"/>
      <c r="AE22" s="9" t="s">
        <v>200</v>
      </c>
    </row>
    <row r="23" customFormat="false" ht="21.75" hidden="false" customHeight="true" outlineLevel="0" collapsed="false">
      <c r="B23" s="14" t="n">
        <v>19</v>
      </c>
      <c r="C23" s="7" t="s">
        <v>40</v>
      </c>
      <c r="D23" s="7" t="s">
        <v>18</v>
      </c>
      <c r="E23" s="7" t="s">
        <v>83</v>
      </c>
      <c r="F23" s="7" t="s">
        <v>64</v>
      </c>
      <c r="G23" s="7" t="s">
        <v>201</v>
      </c>
      <c r="H23" s="7" t="s">
        <v>157</v>
      </c>
      <c r="I23" s="7" t="s">
        <v>158</v>
      </c>
      <c r="J23" s="7" t="s">
        <v>138</v>
      </c>
      <c r="K23" s="7" t="s">
        <v>190</v>
      </c>
      <c r="L23" s="7" t="s">
        <v>191</v>
      </c>
      <c r="M23" s="7" t="s">
        <v>141</v>
      </c>
      <c r="N23" s="7" t="s">
        <v>192</v>
      </c>
      <c r="O23" s="7" t="s">
        <v>143</v>
      </c>
      <c r="P23" s="7" t="s">
        <v>144</v>
      </c>
      <c r="Q23" s="7" t="s">
        <v>145</v>
      </c>
      <c r="R23" s="7" t="s">
        <v>145</v>
      </c>
      <c r="S23" s="7" t="s">
        <v>146</v>
      </c>
      <c r="T23" s="7" t="s">
        <v>193</v>
      </c>
      <c r="U23" s="7" t="s">
        <v>194</v>
      </c>
      <c r="V23" s="7" t="s">
        <v>195</v>
      </c>
      <c r="W23" s="7" t="s">
        <v>150</v>
      </c>
      <c r="X23" s="7" t="s">
        <v>196</v>
      </c>
      <c r="Y23" s="7" t="s">
        <v>197</v>
      </c>
      <c r="Z23" s="7" t="s">
        <v>153</v>
      </c>
      <c r="AA23" s="7" t="s">
        <v>183</v>
      </c>
      <c r="AB23" s="18" t="n">
        <v>8220</v>
      </c>
      <c r="AC23" s="7"/>
      <c r="AD23" s="7"/>
      <c r="AE23" s="7" t="s">
        <v>165</v>
      </c>
    </row>
    <row r="24" customFormat="false" ht="21.75" hidden="false" customHeight="true" outlineLevel="0" collapsed="false">
      <c r="B24" s="15" t="n">
        <v>20</v>
      </c>
      <c r="C24" s="9" t="s">
        <v>40</v>
      </c>
      <c r="D24" s="9" t="s">
        <v>18</v>
      </c>
      <c r="E24" s="9" t="s">
        <v>83</v>
      </c>
      <c r="F24" s="9" t="s">
        <v>64</v>
      </c>
      <c r="G24" s="9" t="s">
        <v>202</v>
      </c>
      <c r="H24" s="9" t="s">
        <v>163</v>
      </c>
      <c r="I24" s="9" t="s">
        <v>164</v>
      </c>
      <c r="J24" s="9" t="s">
        <v>138</v>
      </c>
      <c r="K24" s="9" t="s">
        <v>190</v>
      </c>
      <c r="L24" s="9" t="s">
        <v>191</v>
      </c>
      <c r="M24" s="9" t="s">
        <v>141</v>
      </c>
      <c r="N24" s="9" t="s">
        <v>192</v>
      </c>
      <c r="O24" s="9" t="s">
        <v>143</v>
      </c>
      <c r="P24" s="9" t="s">
        <v>144</v>
      </c>
      <c r="Q24" s="9" t="s">
        <v>145</v>
      </c>
      <c r="R24" s="9" t="s">
        <v>145</v>
      </c>
      <c r="S24" s="9" t="s">
        <v>146</v>
      </c>
      <c r="T24" s="9" t="s">
        <v>193</v>
      </c>
      <c r="U24" s="9" t="s">
        <v>194</v>
      </c>
      <c r="V24" s="9" t="s">
        <v>195</v>
      </c>
      <c r="W24" s="9" t="s">
        <v>150</v>
      </c>
      <c r="X24" s="9" t="s">
        <v>196</v>
      </c>
      <c r="Y24" s="9" t="s">
        <v>197</v>
      </c>
      <c r="Z24" s="9" t="s">
        <v>153</v>
      </c>
      <c r="AA24" s="9" t="s">
        <v>183</v>
      </c>
      <c r="AB24" s="19" t="n">
        <v>12055</v>
      </c>
      <c r="AC24" s="9"/>
      <c r="AD24" s="9"/>
      <c r="AE24" s="9" t="s">
        <v>167</v>
      </c>
    </row>
    <row r="25" customFormat="false" ht="21.75" hidden="false" customHeight="true" outlineLevel="0" collapsed="false">
      <c r="B25" s="14" t="n">
        <v>21</v>
      </c>
      <c r="C25" s="7" t="s">
        <v>40</v>
      </c>
      <c r="D25" s="7" t="s">
        <v>18</v>
      </c>
      <c r="E25" s="7" t="s">
        <v>83</v>
      </c>
      <c r="F25" s="7" t="s">
        <v>65</v>
      </c>
      <c r="G25" s="7" t="s">
        <v>189</v>
      </c>
      <c r="H25" s="7" t="s">
        <v>136</v>
      </c>
      <c r="I25" s="7" t="s">
        <v>137</v>
      </c>
      <c r="J25" s="7" t="s">
        <v>203</v>
      </c>
      <c r="K25" s="7" t="s">
        <v>204</v>
      </c>
      <c r="L25" s="7" t="s">
        <v>205</v>
      </c>
      <c r="M25" s="7" t="s">
        <v>116</v>
      </c>
      <c r="N25" s="7" t="s">
        <v>206</v>
      </c>
      <c r="O25" s="7" t="s">
        <v>143</v>
      </c>
      <c r="P25" s="7" t="s">
        <v>144</v>
      </c>
      <c r="Q25" s="7" t="s">
        <v>145</v>
      </c>
      <c r="R25" s="7" t="s">
        <v>145</v>
      </c>
      <c r="S25" s="7" t="s">
        <v>146</v>
      </c>
      <c r="T25" s="7" t="s">
        <v>207</v>
      </c>
      <c r="U25" s="7" t="s">
        <v>194</v>
      </c>
      <c r="V25" s="7" t="s">
        <v>208</v>
      </c>
      <c r="W25" s="7" t="s">
        <v>150</v>
      </c>
      <c r="X25" s="7" t="s">
        <v>209</v>
      </c>
      <c r="Y25" s="7" t="s">
        <v>210</v>
      </c>
      <c r="Z25" s="7" t="s">
        <v>153</v>
      </c>
      <c r="AA25" s="7" t="s">
        <v>154</v>
      </c>
      <c r="AB25" s="18" t="n">
        <v>825</v>
      </c>
      <c r="AC25" s="7"/>
      <c r="AD25" s="7"/>
      <c r="AE25" s="7" t="s">
        <v>155</v>
      </c>
    </row>
    <row r="26" customFormat="false" ht="21.75" hidden="false" customHeight="true" outlineLevel="0" collapsed="false">
      <c r="B26" s="15" t="n">
        <v>22</v>
      </c>
      <c r="C26" s="9" t="s">
        <v>40</v>
      </c>
      <c r="D26" s="9" t="s">
        <v>18</v>
      </c>
      <c r="E26" s="9" t="s">
        <v>83</v>
      </c>
      <c r="F26" s="9" t="s">
        <v>65</v>
      </c>
      <c r="G26" s="9" t="s">
        <v>211</v>
      </c>
      <c r="H26" s="9" t="s">
        <v>136</v>
      </c>
      <c r="I26" s="9" t="s">
        <v>137</v>
      </c>
      <c r="J26" s="9" t="s">
        <v>203</v>
      </c>
      <c r="K26" s="9" t="s">
        <v>204</v>
      </c>
      <c r="L26" s="9" t="s">
        <v>205</v>
      </c>
      <c r="M26" s="9" t="s">
        <v>116</v>
      </c>
      <c r="N26" s="9" t="s">
        <v>206</v>
      </c>
      <c r="O26" s="9" t="s">
        <v>143</v>
      </c>
      <c r="P26" s="9" t="s">
        <v>144</v>
      </c>
      <c r="Q26" s="9" t="s">
        <v>145</v>
      </c>
      <c r="R26" s="9" t="s">
        <v>145</v>
      </c>
      <c r="S26" s="9" t="s">
        <v>146</v>
      </c>
      <c r="T26" s="9" t="s">
        <v>207</v>
      </c>
      <c r="U26" s="9" t="s">
        <v>194</v>
      </c>
      <c r="V26" s="9" t="s">
        <v>208</v>
      </c>
      <c r="W26" s="9" t="s">
        <v>150</v>
      </c>
      <c r="X26" s="9" t="s">
        <v>209</v>
      </c>
      <c r="Y26" s="9" t="s">
        <v>210</v>
      </c>
      <c r="Z26" s="9" t="s">
        <v>153</v>
      </c>
      <c r="AA26" s="9" t="s">
        <v>154</v>
      </c>
      <c r="AB26" s="19" t="n">
        <v>1240</v>
      </c>
      <c r="AC26" s="9"/>
      <c r="AD26" s="9"/>
      <c r="AE26" s="9" t="s">
        <v>159</v>
      </c>
    </row>
    <row r="27" customFormat="false" ht="21.75" hidden="false" customHeight="true" outlineLevel="0" collapsed="false">
      <c r="B27" s="14" t="n">
        <v>23</v>
      </c>
      <c r="C27" s="7" t="s">
        <v>40</v>
      </c>
      <c r="D27" s="7" t="s">
        <v>18</v>
      </c>
      <c r="E27" s="7" t="s">
        <v>83</v>
      </c>
      <c r="F27" s="7" t="s">
        <v>65</v>
      </c>
      <c r="G27" s="7" t="s">
        <v>212</v>
      </c>
      <c r="H27" s="7" t="s">
        <v>157</v>
      </c>
      <c r="I27" s="7" t="s">
        <v>158</v>
      </c>
      <c r="J27" s="7" t="s">
        <v>203</v>
      </c>
      <c r="K27" s="7" t="s">
        <v>204</v>
      </c>
      <c r="L27" s="7" t="s">
        <v>205</v>
      </c>
      <c r="M27" s="7" t="s">
        <v>116</v>
      </c>
      <c r="N27" s="7" t="s">
        <v>206</v>
      </c>
      <c r="O27" s="7" t="s">
        <v>143</v>
      </c>
      <c r="P27" s="7" t="s">
        <v>144</v>
      </c>
      <c r="Q27" s="7" t="s">
        <v>145</v>
      </c>
      <c r="R27" s="7" t="s">
        <v>145</v>
      </c>
      <c r="S27" s="7" t="s">
        <v>146</v>
      </c>
      <c r="T27" s="7" t="s">
        <v>207</v>
      </c>
      <c r="U27" s="7" t="s">
        <v>194</v>
      </c>
      <c r="V27" s="7" t="s">
        <v>208</v>
      </c>
      <c r="W27" s="7" t="s">
        <v>150</v>
      </c>
      <c r="X27" s="7" t="s">
        <v>209</v>
      </c>
      <c r="Y27" s="7" t="s">
        <v>210</v>
      </c>
      <c r="Z27" s="7" t="s">
        <v>153</v>
      </c>
      <c r="AA27" s="7" t="s">
        <v>154</v>
      </c>
      <c r="AB27" s="18" t="n">
        <v>1650</v>
      </c>
      <c r="AC27" s="7"/>
      <c r="AD27" s="7"/>
      <c r="AE27" s="7" t="s">
        <v>213</v>
      </c>
    </row>
    <row r="28" customFormat="false" ht="21.75" hidden="false" customHeight="true" outlineLevel="0" collapsed="false">
      <c r="B28" s="15" t="n">
        <v>24</v>
      </c>
      <c r="C28" s="9" t="s">
        <v>40</v>
      </c>
      <c r="D28" s="9" t="s">
        <v>18</v>
      </c>
      <c r="E28" s="9" t="s">
        <v>83</v>
      </c>
      <c r="F28" s="9" t="s">
        <v>65</v>
      </c>
      <c r="G28" s="9" t="s">
        <v>214</v>
      </c>
      <c r="H28" s="9" t="s">
        <v>157</v>
      </c>
      <c r="I28" s="9" t="s">
        <v>158</v>
      </c>
      <c r="J28" s="9" t="s">
        <v>203</v>
      </c>
      <c r="K28" s="9" t="s">
        <v>204</v>
      </c>
      <c r="L28" s="9" t="s">
        <v>205</v>
      </c>
      <c r="M28" s="9" t="s">
        <v>116</v>
      </c>
      <c r="N28" s="9" t="s">
        <v>206</v>
      </c>
      <c r="O28" s="9" t="s">
        <v>143</v>
      </c>
      <c r="P28" s="9" t="s">
        <v>144</v>
      </c>
      <c r="Q28" s="9" t="s">
        <v>145</v>
      </c>
      <c r="R28" s="9" t="s">
        <v>145</v>
      </c>
      <c r="S28" s="9" t="s">
        <v>146</v>
      </c>
      <c r="T28" s="9" t="s">
        <v>207</v>
      </c>
      <c r="U28" s="9" t="s">
        <v>194</v>
      </c>
      <c r="V28" s="9" t="s">
        <v>208</v>
      </c>
      <c r="W28" s="9" t="s">
        <v>150</v>
      </c>
      <c r="X28" s="9" t="s">
        <v>209</v>
      </c>
      <c r="Y28" s="9" t="s">
        <v>210</v>
      </c>
      <c r="Z28" s="9" t="s">
        <v>153</v>
      </c>
      <c r="AA28" s="9" t="s">
        <v>154</v>
      </c>
      <c r="AB28" s="19" t="n">
        <v>2475</v>
      </c>
      <c r="AC28" s="9"/>
      <c r="AD28" s="9"/>
      <c r="AE28" s="9" t="s">
        <v>165</v>
      </c>
    </row>
    <row r="29" customFormat="false" ht="21.75" hidden="false" customHeight="true" outlineLevel="0" collapsed="false">
      <c r="B29" s="14" t="n">
        <v>25</v>
      </c>
      <c r="C29" s="7" t="s">
        <v>40</v>
      </c>
      <c r="D29" s="7" t="s">
        <v>18</v>
      </c>
      <c r="E29" s="7" t="s">
        <v>83</v>
      </c>
      <c r="F29" s="7" t="s">
        <v>65</v>
      </c>
      <c r="G29" s="7" t="s">
        <v>215</v>
      </c>
      <c r="H29" s="7" t="s">
        <v>163</v>
      </c>
      <c r="I29" s="7" t="s">
        <v>164</v>
      </c>
      <c r="J29" s="7" t="s">
        <v>203</v>
      </c>
      <c r="K29" s="7" t="s">
        <v>204</v>
      </c>
      <c r="L29" s="7" t="s">
        <v>205</v>
      </c>
      <c r="M29" s="7" t="s">
        <v>116</v>
      </c>
      <c r="N29" s="7" t="s">
        <v>206</v>
      </c>
      <c r="O29" s="7" t="s">
        <v>143</v>
      </c>
      <c r="P29" s="7" t="s">
        <v>144</v>
      </c>
      <c r="Q29" s="7" t="s">
        <v>145</v>
      </c>
      <c r="R29" s="7" t="s">
        <v>145</v>
      </c>
      <c r="S29" s="7" t="s">
        <v>146</v>
      </c>
      <c r="T29" s="7" t="s">
        <v>207</v>
      </c>
      <c r="U29" s="7" t="s">
        <v>194</v>
      </c>
      <c r="V29" s="7" t="s">
        <v>208</v>
      </c>
      <c r="W29" s="7" t="s">
        <v>150</v>
      </c>
      <c r="X29" s="7" t="s">
        <v>209</v>
      </c>
      <c r="Y29" s="7" t="s">
        <v>210</v>
      </c>
      <c r="Z29" s="7" t="s">
        <v>153</v>
      </c>
      <c r="AA29" s="7" t="s">
        <v>154</v>
      </c>
      <c r="AB29" s="18" t="n">
        <v>3630</v>
      </c>
      <c r="AC29" s="7"/>
      <c r="AD29" s="7"/>
      <c r="AE29" s="7" t="s">
        <v>167</v>
      </c>
    </row>
    <row r="30" customFormat="false" ht="21.75" hidden="false" customHeight="true" outlineLevel="0" collapsed="false">
      <c r="B30" s="15" t="n">
        <v>26</v>
      </c>
      <c r="C30" s="9" t="s">
        <v>40</v>
      </c>
      <c r="D30" s="9" t="s">
        <v>18</v>
      </c>
      <c r="E30" s="9" t="s">
        <v>83</v>
      </c>
      <c r="F30" s="9" t="s">
        <v>66</v>
      </c>
      <c r="G30" s="9" t="s">
        <v>216</v>
      </c>
      <c r="H30" s="9" t="s">
        <v>136</v>
      </c>
      <c r="I30" s="9" t="s">
        <v>137</v>
      </c>
      <c r="J30" s="9" t="s">
        <v>138</v>
      </c>
      <c r="K30" s="9" t="s">
        <v>217</v>
      </c>
      <c r="L30" s="9" t="s">
        <v>218</v>
      </c>
      <c r="M30" s="9" t="s">
        <v>141</v>
      </c>
      <c r="N30" s="9" t="s">
        <v>142</v>
      </c>
      <c r="O30" s="9" t="s">
        <v>143</v>
      </c>
      <c r="P30" s="9" t="s">
        <v>144</v>
      </c>
      <c r="Q30" s="9" t="s">
        <v>145</v>
      </c>
      <c r="R30" s="9" t="s">
        <v>145</v>
      </c>
      <c r="S30" s="9" t="s">
        <v>146</v>
      </c>
      <c r="T30" s="9" t="s">
        <v>219</v>
      </c>
      <c r="U30" s="9" t="s">
        <v>148</v>
      </c>
      <c r="V30" s="9" t="s">
        <v>220</v>
      </c>
      <c r="W30" s="9" t="s">
        <v>150</v>
      </c>
      <c r="X30" s="9" t="s">
        <v>221</v>
      </c>
      <c r="Y30" s="9" t="s">
        <v>222</v>
      </c>
      <c r="Z30" s="9" t="s">
        <v>153</v>
      </c>
      <c r="AA30" s="9" t="s">
        <v>223</v>
      </c>
      <c r="AB30" s="19" t="n">
        <v>295</v>
      </c>
      <c r="AC30" s="9"/>
      <c r="AD30" s="9"/>
      <c r="AE30" s="9" t="s">
        <v>155</v>
      </c>
    </row>
    <row r="31" customFormat="false" ht="21.75" hidden="false" customHeight="true" outlineLevel="0" collapsed="false">
      <c r="B31" s="14" t="n">
        <v>27</v>
      </c>
      <c r="C31" s="7" t="s">
        <v>40</v>
      </c>
      <c r="D31" s="7" t="s">
        <v>18</v>
      </c>
      <c r="E31" s="7" t="s">
        <v>83</v>
      </c>
      <c r="F31" s="7" t="s">
        <v>66</v>
      </c>
      <c r="G31" s="7" t="s">
        <v>224</v>
      </c>
      <c r="H31" s="7" t="s">
        <v>157</v>
      </c>
      <c r="I31" s="7" t="s">
        <v>158</v>
      </c>
      <c r="J31" s="7" t="s">
        <v>138</v>
      </c>
      <c r="K31" s="7" t="s">
        <v>217</v>
      </c>
      <c r="L31" s="7" t="s">
        <v>218</v>
      </c>
      <c r="M31" s="7" t="s">
        <v>141</v>
      </c>
      <c r="N31" s="7" t="s">
        <v>142</v>
      </c>
      <c r="O31" s="7" t="s">
        <v>143</v>
      </c>
      <c r="P31" s="7" t="s">
        <v>144</v>
      </c>
      <c r="Q31" s="7" t="s">
        <v>145</v>
      </c>
      <c r="R31" s="7" t="s">
        <v>145</v>
      </c>
      <c r="S31" s="7" t="s">
        <v>146</v>
      </c>
      <c r="T31" s="7" t="s">
        <v>219</v>
      </c>
      <c r="U31" s="7" t="s">
        <v>148</v>
      </c>
      <c r="V31" s="7" t="s">
        <v>220</v>
      </c>
      <c r="W31" s="7" t="s">
        <v>150</v>
      </c>
      <c r="X31" s="7" t="s">
        <v>221</v>
      </c>
      <c r="Y31" s="7" t="s">
        <v>222</v>
      </c>
      <c r="Z31" s="7" t="s">
        <v>153</v>
      </c>
      <c r="AA31" s="7" t="s">
        <v>223</v>
      </c>
      <c r="AB31" s="18" t="n">
        <v>440</v>
      </c>
      <c r="AC31" s="7"/>
      <c r="AD31" s="7"/>
      <c r="AE31" s="7" t="s">
        <v>159</v>
      </c>
    </row>
    <row r="32" customFormat="false" ht="21.75" hidden="false" customHeight="true" outlineLevel="0" collapsed="false">
      <c r="B32" s="15" t="n">
        <v>28</v>
      </c>
      <c r="C32" s="9" t="s">
        <v>40</v>
      </c>
      <c r="D32" s="9" t="s">
        <v>18</v>
      </c>
      <c r="E32" s="9" t="s">
        <v>83</v>
      </c>
      <c r="F32" s="9" t="s">
        <v>66</v>
      </c>
      <c r="G32" s="9" t="s">
        <v>225</v>
      </c>
      <c r="H32" s="9" t="s">
        <v>157</v>
      </c>
      <c r="I32" s="9" t="s">
        <v>158</v>
      </c>
      <c r="J32" s="9" t="s">
        <v>138</v>
      </c>
      <c r="K32" s="9" t="s">
        <v>217</v>
      </c>
      <c r="L32" s="9" t="s">
        <v>218</v>
      </c>
      <c r="M32" s="9" t="s">
        <v>141</v>
      </c>
      <c r="N32" s="9" t="s">
        <v>142</v>
      </c>
      <c r="O32" s="9" t="s">
        <v>143</v>
      </c>
      <c r="P32" s="9" t="s">
        <v>144</v>
      </c>
      <c r="Q32" s="9" t="s">
        <v>145</v>
      </c>
      <c r="R32" s="9" t="s">
        <v>145</v>
      </c>
      <c r="S32" s="9" t="s">
        <v>146</v>
      </c>
      <c r="T32" s="9" t="s">
        <v>219</v>
      </c>
      <c r="U32" s="9" t="s">
        <v>148</v>
      </c>
      <c r="V32" s="9" t="s">
        <v>220</v>
      </c>
      <c r="W32" s="9" t="s">
        <v>150</v>
      </c>
      <c r="X32" s="9" t="s">
        <v>221</v>
      </c>
      <c r="Y32" s="9" t="s">
        <v>222</v>
      </c>
      <c r="Z32" s="9" t="s">
        <v>153</v>
      </c>
      <c r="AA32" s="9" t="s">
        <v>223</v>
      </c>
      <c r="AB32" s="19" t="n">
        <v>590</v>
      </c>
      <c r="AC32" s="9"/>
      <c r="AD32" s="9"/>
      <c r="AE32" s="9" t="s">
        <v>226</v>
      </c>
    </row>
    <row r="33" customFormat="false" ht="21.75" hidden="false" customHeight="true" outlineLevel="0" collapsed="false">
      <c r="B33" s="14" t="n">
        <v>29</v>
      </c>
      <c r="C33" s="7" t="s">
        <v>40</v>
      </c>
      <c r="D33" s="7" t="s">
        <v>18</v>
      </c>
      <c r="E33" s="7" t="s">
        <v>83</v>
      </c>
      <c r="F33" s="7" t="s">
        <v>66</v>
      </c>
      <c r="G33" s="7" t="s">
        <v>227</v>
      </c>
      <c r="H33" s="7" t="s">
        <v>163</v>
      </c>
      <c r="I33" s="7" t="s">
        <v>164</v>
      </c>
      <c r="J33" s="7" t="s">
        <v>138</v>
      </c>
      <c r="K33" s="7" t="s">
        <v>217</v>
      </c>
      <c r="L33" s="7" t="s">
        <v>218</v>
      </c>
      <c r="M33" s="7" t="s">
        <v>141</v>
      </c>
      <c r="N33" s="7" t="s">
        <v>142</v>
      </c>
      <c r="O33" s="7" t="s">
        <v>143</v>
      </c>
      <c r="P33" s="7" t="s">
        <v>144</v>
      </c>
      <c r="Q33" s="7" t="s">
        <v>145</v>
      </c>
      <c r="R33" s="7" t="s">
        <v>145</v>
      </c>
      <c r="S33" s="7" t="s">
        <v>146</v>
      </c>
      <c r="T33" s="7" t="s">
        <v>219</v>
      </c>
      <c r="U33" s="7" t="s">
        <v>148</v>
      </c>
      <c r="V33" s="7" t="s">
        <v>220</v>
      </c>
      <c r="W33" s="7" t="s">
        <v>150</v>
      </c>
      <c r="X33" s="7" t="s">
        <v>221</v>
      </c>
      <c r="Y33" s="7" t="s">
        <v>222</v>
      </c>
      <c r="Z33" s="7" t="s">
        <v>153</v>
      </c>
      <c r="AA33" s="7" t="s">
        <v>223</v>
      </c>
      <c r="AB33" s="18" t="n">
        <v>885</v>
      </c>
      <c r="AC33" s="7"/>
      <c r="AD33" s="7"/>
      <c r="AE33" s="7" t="s">
        <v>165</v>
      </c>
    </row>
    <row r="34" customFormat="false" ht="21.75" hidden="false" customHeight="true" outlineLevel="0" collapsed="false">
      <c r="B34" s="15" t="n">
        <v>30</v>
      </c>
      <c r="C34" s="9" t="s">
        <v>40</v>
      </c>
      <c r="D34" s="9" t="s">
        <v>18</v>
      </c>
      <c r="E34" s="9" t="s">
        <v>83</v>
      </c>
      <c r="F34" s="9" t="s">
        <v>66</v>
      </c>
      <c r="G34" s="9" t="s">
        <v>228</v>
      </c>
      <c r="H34" s="9" t="s">
        <v>163</v>
      </c>
      <c r="I34" s="9" t="s">
        <v>164</v>
      </c>
      <c r="J34" s="9" t="s">
        <v>138</v>
      </c>
      <c r="K34" s="9" t="s">
        <v>217</v>
      </c>
      <c r="L34" s="9" t="s">
        <v>218</v>
      </c>
      <c r="M34" s="9" t="s">
        <v>141</v>
      </c>
      <c r="N34" s="9" t="s">
        <v>142</v>
      </c>
      <c r="O34" s="9" t="s">
        <v>143</v>
      </c>
      <c r="P34" s="9" t="s">
        <v>144</v>
      </c>
      <c r="Q34" s="9" t="s">
        <v>145</v>
      </c>
      <c r="R34" s="9" t="s">
        <v>145</v>
      </c>
      <c r="S34" s="9" t="s">
        <v>146</v>
      </c>
      <c r="T34" s="9" t="s">
        <v>219</v>
      </c>
      <c r="U34" s="9" t="s">
        <v>148</v>
      </c>
      <c r="V34" s="9" t="s">
        <v>220</v>
      </c>
      <c r="W34" s="9" t="s">
        <v>150</v>
      </c>
      <c r="X34" s="9" t="s">
        <v>221</v>
      </c>
      <c r="Y34" s="9" t="s">
        <v>222</v>
      </c>
      <c r="Z34" s="9" t="s">
        <v>153</v>
      </c>
      <c r="AA34" s="9" t="s">
        <v>223</v>
      </c>
      <c r="AB34" s="19" t="n">
        <v>1300</v>
      </c>
      <c r="AC34" s="9"/>
      <c r="AD34" s="9"/>
      <c r="AE34" s="9" t="s">
        <v>167</v>
      </c>
    </row>
    <row r="35" customFormat="false" ht="21.75" hidden="false" customHeight="true" outlineLevel="0" collapsed="false">
      <c r="B35" s="14" t="n">
        <v>31</v>
      </c>
      <c r="C35" s="7" t="s">
        <v>40</v>
      </c>
      <c r="D35" s="7" t="s">
        <v>18</v>
      </c>
      <c r="E35" s="7" t="s">
        <v>83</v>
      </c>
      <c r="F35" s="7" t="s">
        <v>67</v>
      </c>
      <c r="G35" s="7" t="s">
        <v>229</v>
      </c>
      <c r="H35" s="7" t="s">
        <v>230</v>
      </c>
      <c r="I35" s="7" t="s">
        <v>231</v>
      </c>
      <c r="J35" s="7" t="s">
        <v>232</v>
      </c>
      <c r="K35" s="7" t="s">
        <v>233</v>
      </c>
      <c r="L35" s="7" t="s">
        <v>234</v>
      </c>
      <c r="M35" s="7" t="s">
        <v>116</v>
      </c>
      <c r="N35" s="7" t="s">
        <v>235</v>
      </c>
      <c r="O35" s="7" t="s">
        <v>143</v>
      </c>
      <c r="P35" s="7" t="s">
        <v>144</v>
      </c>
      <c r="Q35" s="7" t="s">
        <v>145</v>
      </c>
      <c r="R35" s="7" t="s">
        <v>145</v>
      </c>
      <c r="S35" s="7" t="s">
        <v>146</v>
      </c>
      <c r="T35" s="7" t="s">
        <v>147</v>
      </c>
      <c r="U35" s="7" t="s">
        <v>194</v>
      </c>
      <c r="V35" s="7" t="s">
        <v>236</v>
      </c>
      <c r="W35" s="7" t="s">
        <v>150</v>
      </c>
      <c r="X35" s="7" t="s">
        <v>172</v>
      </c>
      <c r="Y35" s="7" t="s">
        <v>237</v>
      </c>
      <c r="Z35" s="7" t="s">
        <v>153</v>
      </c>
      <c r="AA35" s="7" t="s">
        <v>154</v>
      </c>
      <c r="AB35" s="18" t="n">
        <v>495</v>
      </c>
      <c r="AC35" s="7"/>
      <c r="AD35" s="7"/>
      <c r="AE35" s="7" t="s">
        <v>155</v>
      </c>
    </row>
    <row r="36" customFormat="false" ht="21.75" hidden="false" customHeight="true" outlineLevel="0" collapsed="false">
      <c r="B36" s="15" t="n">
        <v>32</v>
      </c>
      <c r="C36" s="9" t="s">
        <v>40</v>
      </c>
      <c r="D36" s="9" t="s">
        <v>18</v>
      </c>
      <c r="E36" s="9" t="s">
        <v>83</v>
      </c>
      <c r="F36" s="9" t="s">
        <v>67</v>
      </c>
      <c r="G36" s="9" t="s">
        <v>238</v>
      </c>
      <c r="H36" s="9" t="s">
        <v>230</v>
      </c>
      <c r="I36" s="9" t="s">
        <v>231</v>
      </c>
      <c r="J36" s="9" t="s">
        <v>232</v>
      </c>
      <c r="K36" s="9" t="s">
        <v>233</v>
      </c>
      <c r="L36" s="9" t="s">
        <v>234</v>
      </c>
      <c r="M36" s="9" t="s">
        <v>116</v>
      </c>
      <c r="N36" s="9" t="s">
        <v>235</v>
      </c>
      <c r="O36" s="9" t="s">
        <v>143</v>
      </c>
      <c r="P36" s="9" t="s">
        <v>144</v>
      </c>
      <c r="Q36" s="9" t="s">
        <v>145</v>
      </c>
      <c r="R36" s="9" t="s">
        <v>145</v>
      </c>
      <c r="S36" s="9" t="s">
        <v>146</v>
      </c>
      <c r="T36" s="9" t="s">
        <v>147</v>
      </c>
      <c r="U36" s="9" t="s">
        <v>194</v>
      </c>
      <c r="V36" s="9" t="s">
        <v>236</v>
      </c>
      <c r="W36" s="9" t="s">
        <v>150</v>
      </c>
      <c r="X36" s="9" t="s">
        <v>172</v>
      </c>
      <c r="Y36" s="9" t="s">
        <v>237</v>
      </c>
      <c r="Z36" s="9" t="s">
        <v>153</v>
      </c>
      <c r="AA36" s="9" t="s">
        <v>154</v>
      </c>
      <c r="AB36" s="19" t="n">
        <v>740</v>
      </c>
      <c r="AC36" s="9"/>
      <c r="AD36" s="9"/>
      <c r="AE36" s="9" t="s">
        <v>159</v>
      </c>
    </row>
    <row r="37" customFormat="false" ht="21.75" hidden="false" customHeight="true" outlineLevel="0" collapsed="false">
      <c r="B37" s="14" t="n">
        <v>33</v>
      </c>
      <c r="C37" s="7" t="s">
        <v>40</v>
      </c>
      <c r="D37" s="7" t="s">
        <v>18</v>
      </c>
      <c r="E37" s="7" t="s">
        <v>83</v>
      </c>
      <c r="F37" s="7" t="s">
        <v>67</v>
      </c>
      <c r="G37" s="7" t="s">
        <v>239</v>
      </c>
      <c r="H37" s="7" t="s">
        <v>240</v>
      </c>
      <c r="I37" s="7" t="s">
        <v>241</v>
      </c>
      <c r="J37" s="7" t="s">
        <v>232</v>
      </c>
      <c r="K37" s="7" t="s">
        <v>233</v>
      </c>
      <c r="L37" s="7" t="s">
        <v>234</v>
      </c>
      <c r="M37" s="7" t="s">
        <v>116</v>
      </c>
      <c r="N37" s="7" t="s">
        <v>235</v>
      </c>
      <c r="O37" s="7" t="s">
        <v>143</v>
      </c>
      <c r="P37" s="7" t="s">
        <v>144</v>
      </c>
      <c r="Q37" s="7" t="s">
        <v>145</v>
      </c>
      <c r="R37" s="7" t="s">
        <v>145</v>
      </c>
      <c r="S37" s="7" t="s">
        <v>146</v>
      </c>
      <c r="T37" s="7" t="s">
        <v>147</v>
      </c>
      <c r="U37" s="7" t="s">
        <v>194</v>
      </c>
      <c r="V37" s="7" t="s">
        <v>236</v>
      </c>
      <c r="W37" s="7" t="s">
        <v>150</v>
      </c>
      <c r="X37" s="7" t="s">
        <v>172</v>
      </c>
      <c r="Y37" s="7" t="s">
        <v>237</v>
      </c>
      <c r="Z37" s="7" t="s">
        <v>153</v>
      </c>
      <c r="AA37" s="7" t="s">
        <v>154</v>
      </c>
      <c r="AB37" s="18" t="n">
        <v>990</v>
      </c>
      <c r="AC37" s="7"/>
      <c r="AD37" s="7"/>
      <c r="AE37" s="7" t="s">
        <v>242</v>
      </c>
    </row>
    <row r="38" customFormat="false" ht="21.75" hidden="false" customHeight="true" outlineLevel="0" collapsed="false">
      <c r="B38" s="15" t="n">
        <v>34</v>
      </c>
      <c r="C38" s="9" t="s">
        <v>40</v>
      </c>
      <c r="D38" s="9" t="s">
        <v>18</v>
      </c>
      <c r="E38" s="9" t="s">
        <v>83</v>
      </c>
      <c r="F38" s="9" t="s">
        <v>67</v>
      </c>
      <c r="G38" s="9" t="s">
        <v>243</v>
      </c>
      <c r="H38" s="9" t="s">
        <v>240</v>
      </c>
      <c r="I38" s="9" t="s">
        <v>241</v>
      </c>
      <c r="J38" s="9" t="s">
        <v>232</v>
      </c>
      <c r="K38" s="9" t="s">
        <v>233</v>
      </c>
      <c r="L38" s="9" t="s">
        <v>234</v>
      </c>
      <c r="M38" s="9" t="s">
        <v>116</v>
      </c>
      <c r="N38" s="9" t="s">
        <v>235</v>
      </c>
      <c r="O38" s="9" t="s">
        <v>143</v>
      </c>
      <c r="P38" s="9" t="s">
        <v>144</v>
      </c>
      <c r="Q38" s="9" t="s">
        <v>145</v>
      </c>
      <c r="R38" s="9" t="s">
        <v>145</v>
      </c>
      <c r="S38" s="9" t="s">
        <v>146</v>
      </c>
      <c r="T38" s="9" t="s">
        <v>147</v>
      </c>
      <c r="U38" s="9" t="s">
        <v>194</v>
      </c>
      <c r="V38" s="9" t="s">
        <v>236</v>
      </c>
      <c r="W38" s="9" t="s">
        <v>150</v>
      </c>
      <c r="X38" s="9" t="s">
        <v>172</v>
      </c>
      <c r="Y38" s="9" t="s">
        <v>237</v>
      </c>
      <c r="Z38" s="9" t="s">
        <v>153</v>
      </c>
      <c r="AA38" s="9" t="s">
        <v>154</v>
      </c>
      <c r="AB38" s="19" t="n">
        <v>1485</v>
      </c>
      <c r="AC38" s="9"/>
      <c r="AD38" s="9"/>
      <c r="AE38" s="9" t="s">
        <v>165</v>
      </c>
    </row>
    <row r="39" customFormat="false" ht="21.75" hidden="false" customHeight="true" outlineLevel="0" collapsed="false">
      <c r="B39" s="14" t="n">
        <v>35</v>
      </c>
      <c r="C39" s="7" t="s">
        <v>40</v>
      </c>
      <c r="D39" s="7" t="s">
        <v>18</v>
      </c>
      <c r="E39" s="7" t="s">
        <v>83</v>
      </c>
      <c r="F39" s="7" t="s">
        <v>67</v>
      </c>
      <c r="G39" s="7" t="s">
        <v>244</v>
      </c>
      <c r="H39" s="7" t="s">
        <v>240</v>
      </c>
      <c r="I39" s="7" t="s">
        <v>241</v>
      </c>
      <c r="J39" s="7" t="s">
        <v>232</v>
      </c>
      <c r="K39" s="7" t="s">
        <v>233</v>
      </c>
      <c r="L39" s="7" t="s">
        <v>234</v>
      </c>
      <c r="M39" s="7" t="s">
        <v>116</v>
      </c>
      <c r="N39" s="7" t="s">
        <v>235</v>
      </c>
      <c r="O39" s="7" t="s">
        <v>143</v>
      </c>
      <c r="P39" s="7" t="s">
        <v>144</v>
      </c>
      <c r="Q39" s="7" t="s">
        <v>145</v>
      </c>
      <c r="R39" s="7" t="s">
        <v>145</v>
      </c>
      <c r="S39" s="7" t="s">
        <v>146</v>
      </c>
      <c r="T39" s="7" t="s">
        <v>147</v>
      </c>
      <c r="U39" s="7" t="s">
        <v>194</v>
      </c>
      <c r="V39" s="7" t="s">
        <v>236</v>
      </c>
      <c r="W39" s="7" t="s">
        <v>150</v>
      </c>
      <c r="X39" s="7" t="s">
        <v>172</v>
      </c>
      <c r="Y39" s="7" t="s">
        <v>237</v>
      </c>
      <c r="Z39" s="7" t="s">
        <v>153</v>
      </c>
      <c r="AA39" s="7" t="s">
        <v>154</v>
      </c>
      <c r="AB39" s="18" t="n">
        <v>2180</v>
      </c>
      <c r="AC39" s="7"/>
      <c r="AD39" s="7"/>
      <c r="AE39" s="7" t="s">
        <v>167</v>
      </c>
    </row>
    <row r="40" customFormat="false" ht="21.75" hidden="false" customHeight="true" outlineLevel="0" collapsed="false">
      <c r="B40" s="15" t="n">
        <v>36</v>
      </c>
      <c r="C40" s="9" t="s">
        <v>40</v>
      </c>
      <c r="D40" s="9" t="s">
        <v>18</v>
      </c>
      <c r="E40" s="9" t="s">
        <v>83</v>
      </c>
      <c r="F40" s="9" t="s">
        <v>68</v>
      </c>
      <c r="G40" s="9" t="s">
        <v>245</v>
      </c>
      <c r="H40" s="9" t="s">
        <v>246</v>
      </c>
      <c r="I40" s="9" t="s">
        <v>247</v>
      </c>
      <c r="J40" s="9" t="s">
        <v>248</v>
      </c>
      <c r="K40" s="9" t="s">
        <v>249</v>
      </c>
      <c r="L40" s="9" t="s">
        <v>205</v>
      </c>
      <c r="M40" s="9" t="s">
        <v>116</v>
      </c>
      <c r="N40" s="9" t="s">
        <v>250</v>
      </c>
      <c r="O40" s="9" t="s">
        <v>143</v>
      </c>
      <c r="P40" s="9" t="s">
        <v>144</v>
      </c>
      <c r="Q40" s="9" t="s">
        <v>145</v>
      </c>
      <c r="R40" s="9" t="s">
        <v>145</v>
      </c>
      <c r="S40" s="9" t="s">
        <v>146</v>
      </c>
      <c r="T40" s="9" t="s">
        <v>147</v>
      </c>
      <c r="U40" s="9" t="s">
        <v>194</v>
      </c>
      <c r="V40" s="9" t="s">
        <v>208</v>
      </c>
      <c r="W40" s="9" t="s">
        <v>150</v>
      </c>
      <c r="X40" s="9" t="s">
        <v>251</v>
      </c>
      <c r="Y40" s="9" t="s">
        <v>252</v>
      </c>
      <c r="Z40" s="9" t="s">
        <v>153</v>
      </c>
      <c r="AA40" s="9" t="s">
        <v>154</v>
      </c>
      <c r="AB40" s="19" t="n">
        <v>1645</v>
      </c>
      <c r="AC40" s="9"/>
      <c r="AD40" s="9"/>
      <c r="AE40" s="9" t="s">
        <v>155</v>
      </c>
    </row>
    <row r="41" customFormat="false" ht="21.75" hidden="false" customHeight="true" outlineLevel="0" collapsed="false">
      <c r="B41" s="14" t="n">
        <v>37</v>
      </c>
      <c r="C41" s="7" t="s">
        <v>40</v>
      </c>
      <c r="D41" s="7" t="s">
        <v>18</v>
      </c>
      <c r="E41" s="7" t="s">
        <v>83</v>
      </c>
      <c r="F41" s="7" t="s">
        <v>68</v>
      </c>
      <c r="G41" s="7" t="s">
        <v>253</v>
      </c>
      <c r="H41" s="7" t="s">
        <v>254</v>
      </c>
      <c r="I41" s="7" t="s">
        <v>255</v>
      </c>
      <c r="J41" s="7" t="s">
        <v>248</v>
      </c>
      <c r="K41" s="7" t="s">
        <v>249</v>
      </c>
      <c r="L41" s="7" t="s">
        <v>205</v>
      </c>
      <c r="M41" s="7" t="s">
        <v>116</v>
      </c>
      <c r="N41" s="7" t="s">
        <v>250</v>
      </c>
      <c r="O41" s="7" t="s">
        <v>143</v>
      </c>
      <c r="P41" s="7" t="s">
        <v>144</v>
      </c>
      <c r="Q41" s="7" t="s">
        <v>145</v>
      </c>
      <c r="R41" s="7" t="s">
        <v>145</v>
      </c>
      <c r="S41" s="7" t="s">
        <v>146</v>
      </c>
      <c r="T41" s="7" t="s">
        <v>147</v>
      </c>
      <c r="U41" s="7" t="s">
        <v>194</v>
      </c>
      <c r="V41" s="7" t="s">
        <v>208</v>
      </c>
      <c r="W41" s="7" t="s">
        <v>150</v>
      </c>
      <c r="X41" s="7" t="s">
        <v>251</v>
      </c>
      <c r="Y41" s="7" t="s">
        <v>252</v>
      </c>
      <c r="Z41" s="7" t="s">
        <v>153</v>
      </c>
      <c r="AA41" s="7" t="s">
        <v>154</v>
      </c>
      <c r="AB41" s="18" t="n">
        <v>2470</v>
      </c>
      <c r="AC41" s="7"/>
      <c r="AD41" s="7"/>
      <c r="AE41" s="7" t="s">
        <v>159</v>
      </c>
    </row>
    <row r="42" customFormat="false" ht="21.75" hidden="false" customHeight="true" outlineLevel="0" collapsed="false">
      <c r="B42" s="15" t="n">
        <v>38</v>
      </c>
      <c r="C42" s="9" t="s">
        <v>40</v>
      </c>
      <c r="D42" s="9" t="s">
        <v>18</v>
      </c>
      <c r="E42" s="9" t="s">
        <v>83</v>
      </c>
      <c r="F42" s="9" t="s">
        <v>68</v>
      </c>
      <c r="G42" s="9" t="s">
        <v>256</v>
      </c>
      <c r="H42" s="9" t="s">
        <v>257</v>
      </c>
      <c r="I42" s="9" t="s">
        <v>258</v>
      </c>
      <c r="J42" s="9" t="s">
        <v>248</v>
      </c>
      <c r="K42" s="9" t="s">
        <v>249</v>
      </c>
      <c r="L42" s="9" t="s">
        <v>205</v>
      </c>
      <c r="M42" s="9" t="s">
        <v>116</v>
      </c>
      <c r="N42" s="9" t="s">
        <v>250</v>
      </c>
      <c r="O42" s="9" t="s">
        <v>143</v>
      </c>
      <c r="P42" s="9" t="s">
        <v>144</v>
      </c>
      <c r="Q42" s="9" t="s">
        <v>145</v>
      </c>
      <c r="R42" s="9" t="s">
        <v>145</v>
      </c>
      <c r="S42" s="9" t="s">
        <v>146</v>
      </c>
      <c r="T42" s="9" t="s">
        <v>147</v>
      </c>
      <c r="U42" s="9" t="s">
        <v>194</v>
      </c>
      <c r="V42" s="9" t="s">
        <v>208</v>
      </c>
      <c r="W42" s="9" t="s">
        <v>150</v>
      </c>
      <c r="X42" s="9" t="s">
        <v>251</v>
      </c>
      <c r="Y42" s="9" t="s">
        <v>252</v>
      </c>
      <c r="Z42" s="9" t="s">
        <v>153</v>
      </c>
      <c r="AA42" s="9" t="s">
        <v>154</v>
      </c>
      <c r="AB42" s="19" t="n">
        <v>3290</v>
      </c>
      <c r="AC42" s="9"/>
      <c r="AD42" s="9"/>
      <c r="AE42" s="9" t="s">
        <v>259</v>
      </c>
    </row>
    <row r="43" customFormat="false" ht="21.75" hidden="false" customHeight="true" outlineLevel="0" collapsed="false">
      <c r="B43" s="14" t="n">
        <v>39</v>
      </c>
      <c r="C43" s="7" t="s">
        <v>40</v>
      </c>
      <c r="D43" s="7" t="s">
        <v>18</v>
      </c>
      <c r="E43" s="7" t="s">
        <v>83</v>
      </c>
      <c r="F43" s="7" t="s">
        <v>68</v>
      </c>
      <c r="G43" s="7" t="s">
        <v>260</v>
      </c>
      <c r="H43" s="7" t="s">
        <v>257</v>
      </c>
      <c r="I43" s="7" t="s">
        <v>258</v>
      </c>
      <c r="J43" s="7" t="s">
        <v>248</v>
      </c>
      <c r="K43" s="7" t="s">
        <v>249</v>
      </c>
      <c r="L43" s="7" t="s">
        <v>205</v>
      </c>
      <c r="M43" s="7" t="s">
        <v>116</v>
      </c>
      <c r="N43" s="7" t="s">
        <v>250</v>
      </c>
      <c r="O43" s="7" t="s">
        <v>143</v>
      </c>
      <c r="P43" s="7" t="s">
        <v>144</v>
      </c>
      <c r="Q43" s="7" t="s">
        <v>145</v>
      </c>
      <c r="R43" s="7" t="s">
        <v>145</v>
      </c>
      <c r="S43" s="7" t="s">
        <v>146</v>
      </c>
      <c r="T43" s="7" t="s">
        <v>147</v>
      </c>
      <c r="U43" s="7" t="s">
        <v>194</v>
      </c>
      <c r="V43" s="7" t="s">
        <v>208</v>
      </c>
      <c r="W43" s="7" t="s">
        <v>150</v>
      </c>
      <c r="X43" s="7" t="s">
        <v>251</v>
      </c>
      <c r="Y43" s="7" t="s">
        <v>252</v>
      </c>
      <c r="Z43" s="7" t="s">
        <v>153</v>
      </c>
      <c r="AA43" s="7" t="s">
        <v>154</v>
      </c>
      <c r="AB43" s="18" t="n">
        <v>4935</v>
      </c>
      <c r="AC43" s="7"/>
      <c r="AD43" s="7"/>
      <c r="AE43" s="7" t="s">
        <v>165</v>
      </c>
    </row>
    <row r="44" customFormat="false" ht="21.75" hidden="false" customHeight="true" outlineLevel="0" collapsed="false">
      <c r="B44" s="15" t="n">
        <v>40</v>
      </c>
      <c r="C44" s="9" t="s">
        <v>40</v>
      </c>
      <c r="D44" s="9" t="s">
        <v>18</v>
      </c>
      <c r="E44" s="9" t="s">
        <v>83</v>
      </c>
      <c r="F44" s="9" t="s">
        <v>68</v>
      </c>
      <c r="G44" s="9" t="s">
        <v>261</v>
      </c>
      <c r="H44" s="9" t="s">
        <v>262</v>
      </c>
      <c r="I44" s="9" t="s">
        <v>263</v>
      </c>
      <c r="J44" s="9" t="s">
        <v>248</v>
      </c>
      <c r="K44" s="9" t="s">
        <v>249</v>
      </c>
      <c r="L44" s="9" t="s">
        <v>205</v>
      </c>
      <c r="M44" s="9" t="s">
        <v>116</v>
      </c>
      <c r="N44" s="9" t="s">
        <v>250</v>
      </c>
      <c r="O44" s="9" t="s">
        <v>143</v>
      </c>
      <c r="P44" s="9" t="s">
        <v>144</v>
      </c>
      <c r="Q44" s="9" t="s">
        <v>145</v>
      </c>
      <c r="R44" s="9" t="s">
        <v>145</v>
      </c>
      <c r="S44" s="9" t="s">
        <v>146</v>
      </c>
      <c r="T44" s="9" t="s">
        <v>147</v>
      </c>
      <c r="U44" s="9" t="s">
        <v>194</v>
      </c>
      <c r="V44" s="9" t="s">
        <v>208</v>
      </c>
      <c r="W44" s="9" t="s">
        <v>150</v>
      </c>
      <c r="X44" s="9" t="s">
        <v>251</v>
      </c>
      <c r="Y44" s="9" t="s">
        <v>252</v>
      </c>
      <c r="Z44" s="9" t="s">
        <v>153</v>
      </c>
      <c r="AA44" s="9" t="s">
        <v>154</v>
      </c>
      <c r="AB44" s="19" t="n">
        <v>7240</v>
      </c>
      <c r="AC44" s="9"/>
      <c r="AD44" s="9"/>
      <c r="AE44" s="9" t="s">
        <v>167</v>
      </c>
    </row>
    <row r="45" customFormat="false" ht="21.75" hidden="false" customHeight="true" outlineLevel="0" collapsed="false">
      <c r="B45" s="14" t="n">
        <v>41</v>
      </c>
      <c r="C45" s="7" t="s">
        <v>40</v>
      </c>
      <c r="D45" s="7" t="s">
        <v>18</v>
      </c>
      <c r="E45" s="7" t="s">
        <v>83</v>
      </c>
      <c r="F45" s="7" t="s">
        <v>69</v>
      </c>
      <c r="G45" s="7" t="s">
        <v>264</v>
      </c>
      <c r="H45" s="7" t="s">
        <v>136</v>
      </c>
      <c r="I45" s="7" t="s">
        <v>137</v>
      </c>
      <c r="J45" s="7" t="s">
        <v>203</v>
      </c>
      <c r="K45" s="7" t="s">
        <v>265</v>
      </c>
      <c r="L45" s="7" t="s">
        <v>218</v>
      </c>
      <c r="M45" s="7" t="s">
        <v>116</v>
      </c>
      <c r="N45" s="7" t="s">
        <v>266</v>
      </c>
      <c r="O45" s="7" t="s">
        <v>143</v>
      </c>
      <c r="P45" s="7" t="s">
        <v>144</v>
      </c>
      <c r="Q45" s="7" t="s">
        <v>145</v>
      </c>
      <c r="R45" s="7" t="s">
        <v>145</v>
      </c>
      <c r="S45" s="7" t="s">
        <v>146</v>
      </c>
      <c r="T45" s="7" t="s">
        <v>223</v>
      </c>
      <c r="U45" s="7" t="s">
        <v>148</v>
      </c>
      <c r="V45" s="7" t="s">
        <v>267</v>
      </c>
      <c r="W45" s="7" t="s">
        <v>150</v>
      </c>
      <c r="X45" s="7" t="s">
        <v>268</v>
      </c>
      <c r="Y45" s="7" t="s">
        <v>269</v>
      </c>
      <c r="Z45" s="7" t="s">
        <v>153</v>
      </c>
      <c r="AA45" s="7" t="s">
        <v>223</v>
      </c>
      <c r="AB45" s="18" t="n">
        <v>260</v>
      </c>
      <c r="AC45" s="7"/>
      <c r="AD45" s="7"/>
      <c r="AE45" s="7" t="s">
        <v>155</v>
      </c>
    </row>
    <row r="46" customFormat="false" ht="21.75" hidden="false" customHeight="true" outlineLevel="0" collapsed="false">
      <c r="B46" s="15" t="n">
        <v>42</v>
      </c>
      <c r="C46" s="9" t="s">
        <v>40</v>
      </c>
      <c r="D46" s="9" t="s">
        <v>18</v>
      </c>
      <c r="E46" s="9" t="s">
        <v>83</v>
      </c>
      <c r="F46" s="9" t="s">
        <v>69</v>
      </c>
      <c r="G46" s="9" t="s">
        <v>270</v>
      </c>
      <c r="H46" s="9" t="s">
        <v>136</v>
      </c>
      <c r="I46" s="9" t="s">
        <v>137</v>
      </c>
      <c r="J46" s="9" t="s">
        <v>203</v>
      </c>
      <c r="K46" s="9" t="s">
        <v>265</v>
      </c>
      <c r="L46" s="9" t="s">
        <v>218</v>
      </c>
      <c r="M46" s="9" t="s">
        <v>116</v>
      </c>
      <c r="N46" s="9" t="s">
        <v>266</v>
      </c>
      <c r="O46" s="9" t="s">
        <v>143</v>
      </c>
      <c r="P46" s="9" t="s">
        <v>144</v>
      </c>
      <c r="Q46" s="9" t="s">
        <v>145</v>
      </c>
      <c r="R46" s="9" t="s">
        <v>145</v>
      </c>
      <c r="S46" s="9" t="s">
        <v>146</v>
      </c>
      <c r="T46" s="9" t="s">
        <v>223</v>
      </c>
      <c r="U46" s="9" t="s">
        <v>148</v>
      </c>
      <c r="V46" s="9" t="s">
        <v>267</v>
      </c>
      <c r="W46" s="9" t="s">
        <v>150</v>
      </c>
      <c r="X46" s="9" t="s">
        <v>268</v>
      </c>
      <c r="Y46" s="9" t="s">
        <v>269</v>
      </c>
      <c r="Z46" s="9" t="s">
        <v>153</v>
      </c>
      <c r="AA46" s="9" t="s">
        <v>223</v>
      </c>
      <c r="AB46" s="19" t="n">
        <v>390</v>
      </c>
      <c r="AC46" s="9"/>
      <c r="AD46" s="9"/>
      <c r="AE46" s="9" t="s">
        <v>159</v>
      </c>
    </row>
    <row r="47" customFormat="false" ht="21.75" hidden="false" customHeight="true" outlineLevel="0" collapsed="false">
      <c r="B47" s="14" t="n">
        <v>43</v>
      </c>
      <c r="C47" s="7" t="s">
        <v>40</v>
      </c>
      <c r="D47" s="7" t="s">
        <v>18</v>
      </c>
      <c r="E47" s="7" t="s">
        <v>83</v>
      </c>
      <c r="F47" s="7" t="s">
        <v>69</v>
      </c>
      <c r="G47" s="7" t="s">
        <v>271</v>
      </c>
      <c r="H47" s="7" t="s">
        <v>157</v>
      </c>
      <c r="I47" s="7" t="s">
        <v>158</v>
      </c>
      <c r="J47" s="7" t="s">
        <v>203</v>
      </c>
      <c r="K47" s="7" t="s">
        <v>265</v>
      </c>
      <c r="L47" s="7" t="s">
        <v>218</v>
      </c>
      <c r="M47" s="7" t="s">
        <v>116</v>
      </c>
      <c r="N47" s="7" t="s">
        <v>266</v>
      </c>
      <c r="O47" s="7" t="s">
        <v>143</v>
      </c>
      <c r="P47" s="7" t="s">
        <v>144</v>
      </c>
      <c r="Q47" s="7" t="s">
        <v>145</v>
      </c>
      <c r="R47" s="7" t="s">
        <v>145</v>
      </c>
      <c r="S47" s="7" t="s">
        <v>146</v>
      </c>
      <c r="T47" s="7" t="s">
        <v>223</v>
      </c>
      <c r="U47" s="7" t="s">
        <v>148</v>
      </c>
      <c r="V47" s="7" t="s">
        <v>267</v>
      </c>
      <c r="W47" s="7" t="s">
        <v>150</v>
      </c>
      <c r="X47" s="7" t="s">
        <v>268</v>
      </c>
      <c r="Y47" s="7" t="s">
        <v>269</v>
      </c>
      <c r="Z47" s="7" t="s">
        <v>153</v>
      </c>
      <c r="AA47" s="7" t="s">
        <v>223</v>
      </c>
      <c r="AB47" s="18" t="n">
        <v>520</v>
      </c>
      <c r="AC47" s="7"/>
      <c r="AD47" s="7"/>
      <c r="AE47" s="7" t="s">
        <v>272</v>
      </c>
    </row>
    <row r="48" customFormat="false" ht="21.75" hidden="false" customHeight="true" outlineLevel="0" collapsed="false">
      <c r="B48" s="15" t="n">
        <v>44</v>
      </c>
      <c r="C48" s="9" t="s">
        <v>40</v>
      </c>
      <c r="D48" s="9" t="s">
        <v>18</v>
      </c>
      <c r="E48" s="9" t="s">
        <v>83</v>
      </c>
      <c r="F48" s="9" t="s">
        <v>69</v>
      </c>
      <c r="G48" s="9" t="s">
        <v>273</v>
      </c>
      <c r="H48" s="9" t="s">
        <v>157</v>
      </c>
      <c r="I48" s="9" t="s">
        <v>158</v>
      </c>
      <c r="J48" s="9" t="s">
        <v>203</v>
      </c>
      <c r="K48" s="9" t="s">
        <v>265</v>
      </c>
      <c r="L48" s="9" t="s">
        <v>218</v>
      </c>
      <c r="M48" s="9" t="s">
        <v>116</v>
      </c>
      <c r="N48" s="9" t="s">
        <v>266</v>
      </c>
      <c r="O48" s="9" t="s">
        <v>143</v>
      </c>
      <c r="P48" s="9" t="s">
        <v>144</v>
      </c>
      <c r="Q48" s="9" t="s">
        <v>145</v>
      </c>
      <c r="R48" s="9" t="s">
        <v>145</v>
      </c>
      <c r="S48" s="9" t="s">
        <v>146</v>
      </c>
      <c r="T48" s="9" t="s">
        <v>223</v>
      </c>
      <c r="U48" s="9" t="s">
        <v>148</v>
      </c>
      <c r="V48" s="9" t="s">
        <v>267</v>
      </c>
      <c r="W48" s="9" t="s">
        <v>150</v>
      </c>
      <c r="X48" s="9" t="s">
        <v>268</v>
      </c>
      <c r="Y48" s="9" t="s">
        <v>269</v>
      </c>
      <c r="Z48" s="9" t="s">
        <v>153</v>
      </c>
      <c r="AA48" s="9" t="s">
        <v>223</v>
      </c>
      <c r="AB48" s="19" t="n">
        <v>780</v>
      </c>
      <c r="AC48" s="9"/>
      <c r="AD48" s="9"/>
      <c r="AE48" s="9" t="s">
        <v>165</v>
      </c>
    </row>
    <row r="49" customFormat="false" ht="21.75" hidden="false" customHeight="true" outlineLevel="0" collapsed="false">
      <c r="B49" s="14" t="n">
        <v>45</v>
      </c>
      <c r="C49" s="7" t="s">
        <v>40</v>
      </c>
      <c r="D49" s="7" t="s">
        <v>18</v>
      </c>
      <c r="E49" s="7" t="s">
        <v>83</v>
      </c>
      <c r="F49" s="7" t="s">
        <v>69</v>
      </c>
      <c r="G49" s="7" t="s">
        <v>274</v>
      </c>
      <c r="H49" s="7" t="s">
        <v>157</v>
      </c>
      <c r="I49" s="7" t="s">
        <v>158</v>
      </c>
      <c r="J49" s="7" t="s">
        <v>203</v>
      </c>
      <c r="K49" s="7" t="s">
        <v>265</v>
      </c>
      <c r="L49" s="7" t="s">
        <v>218</v>
      </c>
      <c r="M49" s="7" t="s">
        <v>116</v>
      </c>
      <c r="N49" s="7" t="s">
        <v>266</v>
      </c>
      <c r="O49" s="7" t="s">
        <v>143</v>
      </c>
      <c r="P49" s="7" t="s">
        <v>144</v>
      </c>
      <c r="Q49" s="7" t="s">
        <v>145</v>
      </c>
      <c r="R49" s="7" t="s">
        <v>145</v>
      </c>
      <c r="S49" s="7" t="s">
        <v>146</v>
      </c>
      <c r="T49" s="7" t="s">
        <v>223</v>
      </c>
      <c r="U49" s="7" t="s">
        <v>148</v>
      </c>
      <c r="V49" s="7" t="s">
        <v>267</v>
      </c>
      <c r="W49" s="7" t="s">
        <v>150</v>
      </c>
      <c r="X49" s="7" t="s">
        <v>268</v>
      </c>
      <c r="Y49" s="7" t="s">
        <v>269</v>
      </c>
      <c r="Z49" s="7" t="s">
        <v>153</v>
      </c>
      <c r="AA49" s="7" t="s">
        <v>223</v>
      </c>
      <c r="AB49" s="18" t="n">
        <v>1145</v>
      </c>
      <c r="AC49" s="7"/>
      <c r="AD49" s="7"/>
      <c r="AE49" s="7" t="s">
        <v>167</v>
      </c>
    </row>
    <row r="50" customFormat="false" ht="21.75" hidden="false" customHeight="true" outlineLevel="0" collapsed="false">
      <c r="B50" s="15" t="n">
        <v>46</v>
      </c>
      <c r="C50" s="9" t="s">
        <v>40</v>
      </c>
      <c r="D50" s="9" t="s">
        <v>18</v>
      </c>
      <c r="E50" s="9" t="s">
        <v>83</v>
      </c>
      <c r="F50" s="9" t="s">
        <v>70</v>
      </c>
      <c r="G50" s="9" t="s">
        <v>275</v>
      </c>
      <c r="H50" s="9" t="s">
        <v>276</v>
      </c>
      <c r="I50" s="9" t="s">
        <v>277</v>
      </c>
      <c r="J50" s="9" t="s">
        <v>278</v>
      </c>
      <c r="K50" s="9" t="s">
        <v>279</v>
      </c>
      <c r="L50" s="9" t="s">
        <v>280</v>
      </c>
      <c r="M50" s="9" t="s">
        <v>281</v>
      </c>
      <c r="N50" s="9" t="s">
        <v>282</v>
      </c>
      <c r="O50" s="9" t="s">
        <v>143</v>
      </c>
      <c r="P50" s="9" t="s">
        <v>144</v>
      </c>
      <c r="Q50" s="9" t="s">
        <v>145</v>
      </c>
      <c r="R50" s="9" t="s">
        <v>145</v>
      </c>
      <c r="S50" s="9" t="s">
        <v>146</v>
      </c>
      <c r="T50" s="9" t="s">
        <v>193</v>
      </c>
      <c r="U50" s="9" t="s">
        <v>194</v>
      </c>
      <c r="V50" s="9" t="s">
        <v>208</v>
      </c>
      <c r="W50" s="9" t="s">
        <v>150</v>
      </c>
      <c r="X50" s="9" t="s">
        <v>283</v>
      </c>
      <c r="Y50" s="9" t="s">
        <v>284</v>
      </c>
      <c r="Z50" s="9" t="s">
        <v>153</v>
      </c>
      <c r="AA50" s="9" t="s">
        <v>183</v>
      </c>
      <c r="AB50" s="19" t="n">
        <v>3950</v>
      </c>
      <c r="AC50" s="9"/>
      <c r="AD50" s="9"/>
      <c r="AE50" s="9" t="s">
        <v>155</v>
      </c>
    </row>
    <row r="51" customFormat="false" ht="21.75" hidden="false" customHeight="true" outlineLevel="0" collapsed="false">
      <c r="B51" s="14" t="n">
        <v>47</v>
      </c>
      <c r="C51" s="7" t="s">
        <v>40</v>
      </c>
      <c r="D51" s="7" t="s">
        <v>18</v>
      </c>
      <c r="E51" s="7" t="s">
        <v>83</v>
      </c>
      <c r="F51" s="7" t="s">
        <v>70</v>
      </c>
      <c r="G51" s="7" t="s">
        <v>285</v>
      </c>
      <c r="H51" s="7" t="s">
        <v>276</v>
      </c>
      <c r="I51" s="7" t="s">
        <v>277</v>
      </c>
      <c r="J51" s="7" t="s">
        <v>278</v>
      </c>
      <c r="K51" s="7" t="s">
        <v>279</v>
      </c>
      <c r="L51" s="7" t="s">
        <v>280</v>
      </c>
      <c r="M51" s="7" t="s">
        <v>281</v>
      </c>
      <c r="N51" s="7" t="s">
        <v>282</v>
      </c>
      <c r="O51" s="7" t="s">
        <v>143</v>
      </c>
      <c r="P51" s="7" t="s">
        <v>144</v>
      </c>
      <c r="Q51" s="7" t="s">
        <v>145</v>
      </c>
      <c r="R51" s="7" t="s">
        <v>145</v>
      </c>
      <c r="S51" s="7" t="s">
        <v>146</v>
      </c>
      <c r="T51" s="7" t="s">
        <v>193</v>
      </c>
      <c r="U51" s="7" t="s">
        <v>194</v>
      </c>
      <c r="V51" s="7" t="s">
        <v>208</v>
      </c>
      <c r="W51" s="7" t="s">
        <v>150</v>
      </c>
      <c r="X51" s="7" t="s">
        <v>283</v>
      </c>
      <c r="Y51" s="7" t="s">
        <v>284</v>
      </c>
      <c r="Z51" s="7" t="s">
        <v>153</v>
      </c>
      <c r="AA51" s="7" t="s">
        <v>183</v>
      </c>
      <c r="AB51" s="18" t="n">
        <v>5925</v>
      </c>
      <c r="AC51" s="7"/>
      <c r="AD51" s="7"/>
      <c r="AE51" s="7" t="s">
        <v>159</v>
      </c>
    </row>
    <row r="52" customFormat="false" ht="21.75" hidden="false" customHeight="true" outlineLevel="0" collapsed="false">
      <c r="B52" s="15" t="n">
        <v>48</v>
      </c>
      <c r="C52" s="9" t="s">
        <v>40</v>
      </c>
      <c r="D52" s="9" t="s">
        <v>18</v>
      </c>
      <c r="E52" s="9" t="s">
        <v>83</v>
      </c>
      <c r="F52" s="9" t="s">
        <v>70</v>
      </c>
      <c r="G52" s="9" t="s">
        <v>286</v>
      </c>
      <c r="H52" s="9" t="s">
        <v>287</v>
      </c>
      <c r="I52" s="9" t="s">
        <v>288</v>
      </c>
      <c r="J52" s="9" t="s">
        <v>278</v>
      </c>
      <c r="K52" s="9" t="s">
        <v>279</v>
      </c>
      <c r="L52" s="9" t="s">
        <v>280</v>
      </c>
      <c r="M52" s="9" t="s">
        <v>281</v>
      </c>
      <c r="N52" s="9" t="s">
        <v>282</v>
      </c>
      <c r="O52" s="9" t="s">
        <v>143</v>
      </c>
      <c r="P52" s="9" t="s">
        <v>144</v>
      </c>
      <c r="Q52" s="9" t="s">
        <v>145</v>
      </c>
      <c r="R52" s="9" t="s">
        <v>145</v>
      </c>
      <c r="S52" s="9" t="s">
        <v>146</v>
      </c>
      <c r="T52" s="9" t="s">
        <v>193</v>
      </c>
      <c r="U52" s="9" t="s">
        <v>194</v>
      </c>
      <c r="V52" s="9" t="s">
        <v>208</v>
      </c>
      <c r="W52" s="9" t="s">
        <v>150</v>
      </c>
      <c r="X52" s="9" t="s">
        <v>283</v>
      </c>
      <c r="Y52" s="9" t="s">
        <v>284</v>
      </c>
      <c r="Z52" s="9" t="s">
        <v>153</v>
      </c>
      <c r="AA52" s="9" t="s">
        <v>183</v>
      </c>
      <c r="AB52" s="19" t="n">
        <v>7900</v>
      </c>
      <c r="AC52" s="9"/>
      <c r="AD52" s="9"/>
      <c r="AE52" s="9" t="s">
        <v>289</v>
      </c>
    </row>
    <row r="53" customFormat="false" ht="21.75" hidden="false" customHeight="true" outlineLevel="0" collapsed="false">
      <c r="B53" s="14" t="n">
        <v>49</v>
      </c>
      <c r="C53" s="7" t="s">
        <v>40</v>
      </c>
      <c r="D53" s="7" t="s">
        <v>18</v>
      </c>
      <c r="E53" s="7" t="s">
        <v>83</v>
      </c>
      <c r="F53" s="7" t="s">
        <v>70</v>
      </c>
      <c r="G53" s="7" t="s">
        <v>290</v>
      </c>
      <c r="H53" s="7" t="s">
        <v>287</v>
      </c>
      <c r="I53" s="7" t="s">
        <v>288</v>
      </c>
      <c r="J53" s="7" t="s">
        <v>278</v>
      </c>
      <c r="K53" s="7" t="s">
        <v>279</v>
      </c>
      <c r="L53" s="7" t="s">
        <v>280</v>
      </c>
      <c r="M53" s="7" t="s">
        <v>281</v>
      </c>
      <c r="N53" s="7" t="s">
        <v>282</v>
      </c>
      <c r="O53" s="7" t="s">
        <v>143</v>
      </c>
      <c r="P53" s="7" t="s">
        <v>144</v>
      </c>
      <c r="Q53" s="7" t="s">
        <v>145</v>
      </c>
      <c r="R53" s="7" t="s">
        <v>145</v>
      </c>
      <c r="S53" s="7" t="s">
        <v>146</v>
      </c>
      <c r="T53" s="7" t="s">
        <v>193</v>
      </c>
      <c r="U53" s="7" t="s">
        <v>194</v>
      </c>
      <c r="V53" s="7" t="s">
        <v>208</v>
      </c>
      <c r="W53" s="7" t="s">
        <v>150</v>
      </c>
      <c r="X53" s="7" t="s">
        <v>283</v>
      </c>
      <c r="Y53" s="7" t="s">
        <v>284</v>
      </c>
      <c r="Z53" s="7" t="s">
        <v>153</v>
      </c>
      <c r="AA53" s="7" t="s">
        <v>183</v>
      </c>
      <c r="AB53" s="18" t="n">
        <v>11850</v>
      </c>
      <c r="AC53" s="7"/>
      <c r="AD53" s="7"/>
      <c r="AE53" s="7" t="s">
        <v>165</v>
      </c>
    </row>
    <row r="54" customFormat="false" ht="21.75" hidden="false" customHeight="true" outlineLevel="0" collapsed="false">
      <c r="B54" s="15" t="n">
        <v>50</v>
      </c>
      <c r="C54" s="9" t="s">
        <v>40</v>
      </c>
      <c r="D54" s="9" t="s">
        <v>18</v>
      </c>
      <c r="E54" s="9" t="s">
        <v>83</v>
      </c>
      <c r="F54" s="9" t="s">
        <v>70</v>
      </c>
      <c r="G54" s="9" t="s">
        <v>291</v>
      </c>
      <c r="H54" s="9" t="s">
        <v>287</v>
      </c>
      <c r="I54" s="9" t="s">
        <v>288</v>
      </c>
      <c r="J54" s="9" t="s">
        <v>278</v>
      </c>
      <c r="K54" s="9" t="s">
        <v>279</v>
      </c>
      <c r="L54" s="9" t="s">
        <v>280</v>
      </c>
      <c r="M54" s="9" t="s">
        <v>281</v>
      </c>
      <c r="N54" s="9" t="s">
        <v>282</v>
      </c>
      <c r="O54" s="9" t="s">
        <v>143</v>
      </c>
      <c r="P54" s="9" t="s">
        <v>144</v>
      </c>
      <c r="Q54" s="9" t="s">
        <v>145</v>
      </c>
      <c r="R54" s="9" t="s">
        <v>145</v>
      </c>
      <c r="S54" s="9" t="s">
        <v>146</v>
      </c>
      <c r="T54" s="9" t="s">
        <v>193</v>
      </c>
      <c r="U54" s="9" t="s">
        <v>194</v>
      </c>
      <c r="V54" s="9" t="s">
        <v>208</v>
      </c>
      <c r="W54" s="9" t="s">
        <v>150</v>
      </c>
      <c r="X54" s="9" t="s">
        <v>283</v>
      </c>
      <c r="Y54" s="9" t="s">
        <v>284</v>
      </c>
      <c r="Z54" s="9" t="s">
        <v>153</v>
      </c>
      <c r="AA54" s="9" t="s">
        <v>183</v>
      </c>
      <c r="AB54" s="19" t="n">
        <v>17380</v>
      </c>
      <c r="AC54" s="9"/>
      <c r="AD54" s="9"/>
      <c r="AE54" s="9" t="s">
        <v>167</v>
      </c>
    </row>
    <row r="55" customFormat="false" ht="21.75" hidden="false" customHeight="true" outlineLevel="0" collapsed="false">
      <c r="B55" s="14" t="n">
        <v>51</v>
      </c>
      <c r="C55" s="7" t="s">
        <v>40</v>
      </c>
      <c r="D55" s="7" t="s">
        <v>18</v>
      </c>
      <c r="E55" s="7" t="s">
        <v>83</v>
      </c>
      <c r="F55" s="7" t="s">
        <v>71</v>
      </c>
      <c r="G55" s="7" t="s">
        <v>292</v>
      </c>
      <c r="H55" s="7" t="s">
        <v>136</v>
      </c>
      <c r="I55" s="7" t="s">
        <v>137</v>
      </c>
      <c r="J55" s="7" t="s">
        <v>293</v>
      </c>
      <c r="K55" s="7" t="s">
        <v>294</v>
      </c>
      <c r="L55" s="7" t="s">
        <v>205</v>
      </c>
      <c r="M55" s="7" t="s">
        <v>141</v>
      </c>
      <c r="N55" s="7" t="s">
        <v>295</v>
      </c>
      <c r="O55" s="7" t="s">
        <v>143</v>
      </c>
      <c r="P55" s="7" t="s">
        <v>144</v>
      </c>
      <c r="Q55" s="7" t="s">
        <v>145</v>
      </c>
      <c r="R55" s="7" t="s">
        <v>145</v>
      </c>
      <c r="S55" s="7" t="s">
        <v>146</v>
      </c>
      <c r="T55" s="7" t="s">
        <v>147</v>
      </c>
      <c r="U55" s="7" t="s">
        <v>194</v>
      </c>
      <c r="V55" s="7" t="s">
        <v>296</v>
      </c>
      <c r="W55" s="7" t="s">
        <v>150</v>
      </c>
      <c r="X55" s="7" t="s">
        <v>297</v>
      </c>
      <c r="Y55" s="7" t="s">
        <v>284</v>
      </c>
      <c r="Z55" s="7" t="s">
        <v>153</v>
      </c>
      <c r="AA55" s="7" t="s">
        <v>183</v>
      </c>
      <c r="AB55" s="18" t="n">
        <v>1740</v>
      </c>
      <c r="AC55" s="7"/>
      <c r="AD55" s="7"/>
      <c r="AE55" s="7" t="s">
        <v>155</v>
      </c>
    </row>
    <row r="56" customFormat="false" ht="21.75" hidden="false" customHeight="true" outlineLevel="0" collapsed="false">
      <c r="B56" s="15" t="n">
        <v>52</v>
      </c>
      <c r="C56" s="9" t="s">
        <v>40</v>
      </c>
      <c r="D56" s="9" t="s">
        <v>18</v>
      </c>
      <c r="E56" s="9" t="s">
        <v>83</v>
      </c>
      <c r="F56" s="9" t="s">
        <v>71</v>
      </c>
      <c r="G56" s="9" t="s">
        <v>185</v>
      </c>
      <c r="H56" s="9" t="s">
        <v>157</v>
      </c>
      <c r="I56" s="9" t="s">
        <v>158</v>
      </c>
      <c r="J56" s="9" t="s">
        <v>293</v>
      </c>
      <c r="K56" s="9" t="s">
        <v>294</v>
      </c>
      <c r="L56" s="9" t="s">
        <v>205</v>
      </c>
      <c r="M56" s="9" t="s">
        <v>141</v>
      </c>
      <c r="N56" s="9" t="s">
        <v>295</v>
      </c>
      <c r="O56" s="9" t="s">
        <v>143</v>
      </c>
      <c r="P56" s="9" t="s">
        <v>144</v>
      </c>
      <c r="Q56" s="9" t="s">
        <v>145</v>
      </c>
      <c r="R56" s="9" t="s">
        <v>145</v>
      </c>
      <c r="S56" s="9" t="s">
        <v>146</v>
      </c>
      <c r="T56" s="9" t="s">
        <v>147</v>
      </c>
      <c r="U56" s="9" t="s">
        <v>194</v>
      </c>
      <c r="V56" s="9" t="s">
        <v>296</v>
      </c>
      <c r="W56" s="9" t="s">
        <v>150</v>
      </c>
      <c r="X56" s="9" t="s">
        <v>297</v>
      </c>
      <c r="Y56" s="9" t="s">
        <v>284</v>
      </c>
      <c r="Z56" s="9" t="s">
        <v>153</v>
      </c>
      <c r="AA56" s="9" t="s">
        <v>183</v>
      </c>
      <c r="AB56" s="19" t="n">
        <v>2610</v>
      </c>
      <c r="AC56" s="9"/>
      <c r="AD56" s="9"/>
      <c r="AE56" s="9" t="s">
        <v>159</v>
      </c>
    </row>
    <row r="57" customFormat="false" ht="21.75" hidden="false" customHeight="true" outlineLevel="0" collapsed="false">
      <c r="B57" s="14" t="n">
        <v>53</v>
      </c>
      <c r="C57" s="7" t="s">
        <v>40</v>
      </c>
      <c r="D57" s="7" t="s">
        <v>18</v>
      </c>
      <c r="E57" s="7" t="s">
        <v>83</v>
      </c>
      <c r="F57" s="7" t="s">
        <v>71</v>
      </c>
      <c r="G57" s="7" t="s">
        <v>187</v>
      </c>
      <c r="H57" s="7" t="s">
        <v>163</v>
      </c>
      <c r="I57" s="7" t="s">
        <v>164</v>
      </c>
      <c r="J57" s="7" t="s">
        <v>293</v>
      </c>
      <c r="K57" s="7" t="s">
        <v>294</v>
      </c>
      <c r="L57" s="7" t="s">
        <v>205</v>
      </c>
      <c r="M57" s="7" t="s">
        <v>141</v>
      </c>
      <c r="N57" s="7" t="s">
        <v>295</v>
      </c>
      <c r="O57" s="7" t="s">
        <v>143</v>
      </c>
      <c r="P57" s="7" t="s">
        <v>144</v>
      </c>
      <c r="Q57" s="7" t="s">
        <v>145</v>
      </c>
      <c r="R57" s="7" t="s">
        <v>145</v>
      </c>
      <c r="S57" s="7" t="s">
        <v>146</v>
      </c>
      <c r="T57" s="7" t="s">
        <v>147</v>
      </c>
      <c r="U57" s="7" t="s">
        <v>194</v>
      </c>
      <c r="V57" s="7" t="s">
        <v>296</v>
      </c>
      <c r="W57" s="7" t="s">
        <v>150</v>
      </c>
      <c r="X57" s="7" t="s">
        <v>297</v>
      </c>
      <c r="Y57" s="7" t="s">
        <v>284</v>
      </c>
      <c r="Z57" s="7" t="s">
        <v>153</v>
      </c>
      <c r="AA57" s="7" t="s">
        <v>183</v>
      </c>
      <c r="AB57" s="18" t="n">
        <v>3480</v>
      </c>
      <c r="AC57" s="7"/>
      <c r="AD57" s="7"/>
      <c r="AE57" s="7" t="s">
        <v>298</v>
      </c>
    </row>
    <row r="58" customFormat="false" ht="21.75" hidden="false" customHeight="true" outlineLevel="0" collapsed="false">
      <c r="B58" s="15" t="n">
        <v>54</v>
      </c>
      <c r="C58" s="9" t="s">
        <v>40</v>
      </c>
      <c r="D58" s="9" t="s">
        <v>18</v>
      </c>
      <c r="E58" s="9" t="s">
        <v>83</v>
      </c>
      <c r="F58" s="9" t="s">
        <v>71</v>
      </c>
      <c r="G58" s="9" t="s">
        <v>299</v>
      </c>
      <c r="H58" s="9" t="s">
        <v>163</v>
      </c>
      <c r="I58" s="9" t="s">
        <v>164</v>
      </c>
      <c r="J58" s="9" t="s">
        <v>293</v>
      </c>
      <c r="K58" s="9" t="s">
        <v>294</v>
      </c>
      <c r="L58" s="9" t="s">
        <v>205</v>
      </c>
      <c r="M58" s="9" t="s">
        <v>141</v>
      </c>
      <c r="N58" s="9" t="s">
        <v>295</v>
      </c>
      <c r="O58" s="9" t="s">
        <v>143</v>
      </c>
      <c r="P58" s="9" t="s">
        <v>144</v>
      </c>
      <c r="Q58" s="9" t="s">
        <v>145</v>
      </c>
      <c r="R58" s="9" t="s">
        <v>145</v>
      </c>
      <c r="S58" s="9" t="s">
        <v>146</v>
      </c>
      <c r="T58" s="9" t="s">
        <v>147</v>
      </c>
      <c r="U58" s="9" t="s">
        <v>194</v>
      </c>
      <c r="V58" s="9" t="s">
        <v>296</v>
      </c>
      <c r="W58" s="9" t="s">
        <v>150</v>
      </c>
      <c r="X58" s="9" t="s">
        <v>297</v>
      </c>
      <c r="Y58" s="9" t="s">
        <v>284</v>
      </c>
      <c r="Z58" s="9" t="s">
        <v>153</v>
      </c>
      <c r="AA58" s="9" t="s">
        <v>183</v>
      </c>
      <c r="AB58" s="19" t="n">
        <v>5220</v>
      </c>
      <c r="AC58" s="9"/>
      <c r="AD58" s="9"/>
      <c r="AE58" s="9" t="s">
        <v>165</v>
      </c>
    </row>
    <row r="59" customFormat="false" ht="21.75" hidden="false" customHeight="true" outlineLevel="0" collapsed="false">
      <c r="B59" s="14" t="n">
        <v>55</v>
      </c>
      <c r="C59" s="7" t="s">
        <v>40</v>
      </c>
      <c r="D59" s="7" t="s">
        <v>18</v>
      </c>
      <c r="E59" s="7" t="s">
        <v>83</v>
      </c>
      <c r="F59" s="7" t="s">
        <v>71</v>
      </c>
      <c r="G59" s="7" t="s">
        <v>188</v>
      </c>
      <c r="H59" s="7" t="s">
        <v>163</v>
      </c>
      <c r="I59" s="7" t="s">
        <v>164</v>
      </c>
      <c r="J59" s="7" t="s">
        <v>293</v>
      </c>
      <c r="K59" s="7" t="s">
        <v>294</v>
      </c>
      <c r="L59" s="7" t="s">
        <v>205</v>
      </c>
      <c r="M59" s="7" t="s">
        <v>141</v>
      </c>
      <c r="N59" s="7" t="s">
        <v>295</v>
      </c>
      <c r="O59" s="7" t="s">
        <v>143</v>
      </c>
      <c r="P59" s="7" t="s">
        <v>144</v>
      </c>
      <c r="Q59" s="7" t="s">
        <v>145</v>
      </c>
      <c r="R59" s="7" t="s">
        <v>145</v>
      </c>
      <c r="S59" s="7" t="s">
        <v>146</v>
      </c>
      <c r="T59" s="7" t="s">
        <v>147</v>
      </c>
      <c r="U59" s="7" t="s">
        <v>194</v>
      </c>
      <c r="V59" s="7" t="s">
        <v>296</v>
      </c>
      <c r="W59" s="7" t="s">
        <v>150</v>
      </c>
      <c r="X59" s="7" t="s">
        <v>297</v>
      </c>
      <c r="Y59" s="7" t="s">
        <v>284</v>
      </c>
      <c r="Z59" s="7" t="s">
        <v>153</v>
      </c>
      <c r="AA59" s="7" t="s">
        <v>183</v>
      </c>
      <c r="AB59" s="18" t="n">
        <v>7655</v>
      </c>
      <c r="AC59" s="7"/>
      <c r="AD59" s="7"/>
      <c r="AE59" s="7" t="s">
        <v>167</v>
      </c>
    </row>
    <row r="60" customFormat="false" ht="21.75" hidden="false" customHeight="true" outlineLevel="0" collapsed="false">
      <c r="B60" s="15" t="n">
        <v>56</v>
      </c>
      <c r="C60" s="9" t="s">
        <v>40</v>
      </c>
      <c r="D60" s="9" t="s">
        <v>18</v>
      </c>
      <c r="E60" s="9" t="s">
        <v>83</v>
      </c>
      <c r="F60" s="9" t="s">
        <v>72</v>
      </c>
      <c r="G60" s="9" t="s">
        <v>300</v>
      </c>
      <c r="H60" s="9" t="s">
        <v>301</v>
      </c>
      <c r="I60" s="9" t="s">
        <v>302</v>
      </c>
      <c r="J60" s="9" t="s">
        <v>303</v>
      </c>
      <c r="K60" s="9" t="s">
        <v>304</v>
      </c>
      <c r="L60" s="9" t="s">
        <v>169</v>
      </c>
      <c r="M60" s="9" t="s">
        <v>116</v>
      </c>
      <c r="N60" s="9" t="s">
        <v>305</v>
      </c>
      <c r="O60" s="9" t="s">
        <v>143</v>
      </c>
      <c r="P60" s="9" t="s">
        <v>144</v>
      </c>
      <c r="Q60" s="9" t="s">
        <v>145</v>
      </c>
      <c r="R60" s="9" t="s">
        <v>145</v>
      </c>
      <c r="S60" s="9" t="s">
        <v>146</v>
      </c>
      <c r="T60" s="9" t="s">
        <v>147</v>
      </c>
      <c r="U60" s="9" t="s">
        <v>194</v>
      </c>
      <c r="V60" s="9" t="s">
        <v>208</v>
      </c>
      <c r="W60" s="9" t="s">
        <v>150</v>
      </c>
      <c r="X60" s="9" t="s">
        <v>306</v>
      </c>
      <c r="Y60" s="9" t="s">
        <v>307</v>
      </c>
      <c r="Z60" s="9" t="s">
        <v>153</v>
      </c>
      <c r="AA60" s="9" t="s">
        <v>154</v>
      </c>
      <c r="AB60" s="19" t="n">
        <v>1395</v>
      </c>
      <c r="AC60" s="9"/>
      <c r="AD60" s="9"/>
      <c r="AE60" s="9" t="s">
        <v>155</v>
      </c>
    </row>
    <row r="61" customFormat="false" ht="21.75" hidden="false" customHeight="true" outlineLevel="0" collapsed="false">
      <c r="B61" s="14" t="n">
        <v>57</v>
      </c>
      <c r="C61" s="7" t="s">
        <v>40</v>
      </c>
      <c r="D61" s="7" t="s">
        <v>18</v>
      </c>
      <c r="E61" s="7" t="s">
        <v>83</v>
      </c>
      <c r="F61" s="7" t="s">
        <v>72</v>
      </c>
      <c r="G61" s="7" t="s">
        <v>308</v>
      </c>
      <c r="H61" s="7" t="s">
        <v>309</v>
      </c>
      <c r="I61" s="7" t="s">
        <v>310</v>
      </c>
      <c r="J61" s="7" t="s">
        <v>303</v>
      </c>
      <c r="K61" s="7" t="s">
        <v>304</v>
      </c>
      <c r="L61" s="7" t="s">
        <v>169</v>
      </c>
      <c r="M61" s="7" t="s">
        <v>116</v>
      </c>
      <c r="N61" s="7" t="s">
        <v>305</v>
      </c>
      <c r="O61" s="7" t="s">
        <v>143</v>
      </c>
      <c r="P61" s="7" t="s">
        <v>144</v>
      </c>
      <c r="Q61" s="7" t="s">
        <v>145</v>
      </c>
      <c r="R61" s="7" t="s">
        <v>145</v>
      </c>
      <c r="S61" s="7" t="s">
        <v>146</v>
      </c>
      <c r="T61" s="7" t="s">
        <v>147</v>
      </c>
      <c r="U61" s="7" t="s">
        <v>194</v>
      </c>
      <c r="V61" s="7" t="s">
        <v>208</v>
      </c>
      <c r="W61" s="7" t="s">
        <v>150</v>
      </c>
      <c r="X61" s="7" t="s">
        <v>306</v>
      </c>
      <c r="Y61" s="7" t="s">
        <v>307</v>
      </c>
      <c r="Z61" s="7" t="s">
        <v>153</v>
      </c>
      <c r="AA61" s="7" t="s">
        <v>154</v>
      </c>
      <c r="AB61" s="18" t="n">
        <v>2090</v>
      </c>
      <c r="AC61" s="7"/>
      <c r="AD61" s="7"/>
      <c r="AE61" s="7" t="s">
        <v>159</v>
      </c>
    </row>
    <row r="62" customFormat="false" ht="21.75" hidden="false" customHeight="true" outlineLevel="0" collapsed="false">
      <c r="B62" s="15" t="n">
        <v>58</v>
      </c>
      <c r="C62" s="9" t="s">
        <v>40</v>
      </c>
      <c r="D62" s="9" t="s">
        <v>18</v>
      </c>
      <c r="E62" s="9" t="s">
        <v>83</v>
      </c>
      <c r="F62" s="9" t="s">
        <v>72</v>
      </c>
      <c r="G62" s="9" t="s">
        <v>311</v>
      </c>
      <c r="H62" s="9" t="s">
        <v>309</v>
      </c>
      <c r="I62" s="9" t="s">
        <v>310</v>
      </c>
      <c r="J62" s="9" t="s">
        <v>303</v>
      </c>
      <c r="K62" s="9" t="s">
        <v>304</v>
      </c>
      <c r="L62" s="9" t="s">
        <v>169</v>
      </c>
      <c r="M62" s="9" t="s">
        <v>116</v>
      </c>
      <c r="N62" s="9" t="s">
        <v>305</v>
      </c>
      <c r="O62" s="9" t="s">
        <v>143</v>
      </c>
      <c r="P62" s="9" t="s">
        <v>144</v>
      </c>
      <c r="Q62" s="9" t="s">
        <v>145</v>
      </c>
      <c r="R62" s="9" t="s">
        <v>145</v>
      </c>
      <c r="S62" s="9" t="s">
        <v>146</v>
      </c>
      <c r="T62" s="9" t="s">
        <v>147</v>
      </c>
      <c r="U62" s="9" t="s">
        <v>194</v>
      </c>
      <c r="V62" s="9" t="s">
        <v>208</v>
      </c>
      <c r="W62" s="9" t="s">
        <v>150</v>
      </c>
      <c r="X62" s="9" t="s">
        <v>306</v>
      </c>
      <c r="Y62" s="9" t="s">
        <v>307</v>
      </c>
      <c r="Z62" s="9" t="s">
        <v>153</v>
      </c>
      <c r="AA62" s="9" t="s">
        <v>154</v>
      </c>
      <c r="AB62" s="19" t="n">
        <v>2790</v>
      </c>
      <c r="AC62" s="9"/>
      <c r="AD62" s="9"/>
      <c r="AE62" s="9" t="s">
        <v>312</v>
      </c>
    </row>
    <row r="63" customFormat="false" ht="21.75" hidden="false" customHeight="true" outlineLevel="0" collapsed="false">
      <c r="B63" s="14" t="n">
        <v>59</v>
      </c>
      <c r="C63" s="7" t="s">
        <v>40</v>
      </c>
      <c r="D63" s="7" t="s">
        <v>18</v>
      </c>
      <c r="E63" s="7" t="s">
        <v>83</v>
      </c>
      <c r="F63" s="7" t="s">
        <v>72</v>
      </c>
      <c r="G63" s="7" t="s">
        <v>313</v>
      </c>
      <c r="H63" s="7" t="s">
        <v>309</v>
      </c>
      <c r="I63" s="7" t="s">
        <v>310</v>
      </c>
      <c r="J63" s="7" t="s">
        <v>303</v>
      </c>
      <c r="K63" s="7" t="s">
        <v>304</v>
      </c>
      <c r="L63" s="7" t="s">
        <v>169</v>
      </c>
      <c r="M63" s="7" t="s">
        <v>116</v>
      </c>
      <c r="N63" s="7" t="s">
        <v>305</v>
      </c>
      <c r="O63" s="7" t="s">
        <v>143</v>
      </c>
      <c r="P63" s="7" t="s">
        <v>144</v>
      </c>
      <c r="Q63" s="7" t="s">
        <v>145</v>
      </c>
      <c r="R63" s="7" t="s">
        <v>145</v>
      </c>
      <c r="S63" s="7" t="s">
        <v>146</v>
      </c>
      <c r="T63" s="7" t="s">
        <v>147</v>
      </c>
      <c r="U63" s="7" t="s">
        <v>194</v>
      </c>
      <c r="V63" s="7" t="s">
        <v>208</v>
      </c>
      <c r="W63" s="7" t="s">
        <v>150</v>
      </c>
      <c r="X63" s="7" t="s">
        <v>306</v>
      </c>
      <c r="Y63" s="7" t="s">
        <v>307</v>
      </c>
      <c r="Z63" s="7" t="s">
        <v>153</v>
      </c>
      <c r="AA63" s="7" t="s">
        <v>154</v>
      </c>
      <c r="AB63" s="18" t="n">
        <v>4185</v>
      </c>
      <c r="AC63" s="7"/>
      <c r="AD63" s="7"/>
      <c r="AE63" s="7" t="s">
        <v>165</v>
      </c>
    </row>
    <row r="64" customFormat="false" ht="21.75" hidden="false" customHeight="true" outlineLevel="0" collapsed="false">
      <c r="B64" s="15" t="n">
        <v>60</v>
      </c>
      <c r="C64" s="9" t="s">
        <v>40</v>
      </c>
      <c r="D64" s="9" t="s">
        <v>18</v>
      </c>
      <c r="E64" s="9" t="s">
        <v>83</v>
      </c>
      <c r="F64" s="9" t="s">
        <v>72</v>
      </c>
      <c r="G64" s="9" t="s">
        <v>314</v>
      </c>
      <c r="H64" s="9" t="s">
        <v>315</v>
      </c>
      <c r="I64" s="9" t="s">
        <v>316</v>
      </c>
      <c r="J64" s="9" t="s">
        <v>303</v>
      </c>
      <c r="K64" s="9" t="s">
        <v>304</v>
      </c>
      <c r="L64" s="9" t="s">
        <v>169</v>
      </c>
      <c r="M64" s="9" t="s">
        <v>116</v>
      </c>
      <c r="N64" s="9" t="s">
        <v>305</v>
      </c>
      <c r="O64" s="9" t="s">
        <v>143</v>
      </c>
      <c r="P64" s="9" t="s">
        <v>144</v>
      </c>
      <c r="Q64" s="9" t="s">
        <v>145</v>
      </c>
      <c r="R64" s="9" t="s">
        <v>145</v>
      </c>
      <c r="S64" s="9" t="s">
        <v>146</v>
      </c>
      <c r="T64" s="9" t="s">
        <v>147</v>
      </c>
      <c r="U64" s="9" t="s">
        <v>194</v>
      </c>
      <c r="V64" s="9" t="s">
        <v>208</v>
      </c>
      <c r="W64" s="9" t="s">
        <v>150</v>
      </c>
      <c r="X64" s="9" t="s">
        <v>306</v>
      </c>
      <c r="Y64" s="9" t="s">
        <v>307</v>
      </c>
      <c r="Z64" s="9" t="s">
        <v>153</v>
      </c>
      <c r="AA64" s="9" t="s">
        <v>154</v>
      </c>
      <c r="AB64" s="19" t="n">
        <v>6140</v>
      </c>
      <c r="AC64" s="9"/>
      <c r="AD64" s="9"/>
      <c r="AE64" s="9" t="s">
        <v>167</v>
      </c>
    </row>
    <row r="65" customFormat="false" ht="21.75" hidden="false" customHeight="true" outlineLevel="0" collapsed="false">
      <c r="B65" s="14" t="n">
        <v>61</v>
      </c>
      <c r="C65" s="7" t="s">
        <v>40</v>
      </c>
      <c r="D65" s="7" t="s">
        <v>18</v>
      </c>
      <c r="E65" s="7" t="s">
        <v>83</v>
      </c>
      <c r="F65" s="7" t="s">
        <v>73</v>
      </c>
      <c r="G65" s="7" t="s">
        <v>184</v>
      </c>
      <c r="H65" s="7" t="s">
        <v>136</v>
      </c>
      <c r="I65" s="7" t="s">
        <v>137</v>
      </c>
      <c r="J65" s="7" t="s">
        <v>138</v>
      </c>
      <c r="K65" s="7" t="s">
        <v>168</v>
      </c>
      <c r="L65" s="7" t="s">
        <v>178</v>
      </c>
      <c r="M65" s="7" t="s">
        <v>141</v>
      </c>
      <c r="N65" s="7" t="s">
        <v>317</v>
      </c>
      <c r="O65" s="7" t="s">
        <v>143</v>
      </c>
      <c r="P65" s="7" t="s">
        <v>144</v>
      </c>
      <c r="Q65" s="7" t="s">
        <v>145</v>
      </c>
      <c r="R65" s="7" t="s">
        <v>145</v>
      </c>
      <c r="S65" s="7" t="s">
        <v>146</v>
      </c>
      <c r="T65" s="7" t="s">
        <v>179</v>
      </c>
      <c r="U65" s="7" t="s">
        <v>194</v>
      </c>
      <c r="V65" s="7" t="s">
        <v>208</v>
      </c>
      <c r="W65" s="7" t="s">
        <v>150</v>
      </c>
      <c r="X65" s="7" t="s">
        <v>297</v>
      </c>
      <c r="Y65" s="7" t="s">
        <v>284</v>
      </c>
      <c r="Z65" s="7" t="s">
        <v>153</v>
      </c>
      <c r="AA65" s="7" t="s">
        <v>183</v>
      </c>
      <c r="AB65" s="18" t="n">
        <v>690</v>
      </c>
      <c r="AC65" s="7"/>
      <c r="AD65" s="7"/>
      <c r="AE65" s="7" t="s">
        <v>155</v>
      </c>
    </row>
    <row r="66" customFormat="false" ht="21.75" hidden="false" customHeight="true" outlineLevel="0" collapsed="false">
      <c r="B66" s="15" t="n">
        <v>62</v>
      </c>
      <c r="C66" s="9" t="s">
        <v>40</v>
      </c>
      <c r="D66" s="9" t="s">
        <v>18</v>
      </c>
      <c r="E66" s="9" t="s">
        <v>83</v>
      </c>
      <c r="F66" s="9" t="s">
        <v>73</v>
      </c>
      <c r="G66" s="9" t="s">
        <v>185</v>
      </c>
      <c r="H66" s="9" t="s">
        <v>157</v>
      </c>
      <c r="I66" s="9" t="s">
        <v>158</v>
      </c>
      <c r="J66" s="9" t="s">
        <v>138</v>
      </c>
      <c r="K66" s="9" t="s">
        <v>168</v>
      </c>
      <c r="L66" s="9" t="s">
        <v>178</v>
      </c>
      <c r="M66" s="9" t="s">
        <v>141</v>
      </c>
      <c r="N66" s="9" t="s">
        <v>317</v>
      </c>
      <c r="O66" s="9" t="s">
        <v>143</v>
      </c>
      <c r="P66" s="9" t="s">
        <v>144</v>
      </c>
      <c r="Q66" s="9" t="s">
        <v>145</v>
      </c>
      <c r="R66" s="9" t="s">
        <v>145</v>
      </c>
      <c r="S66" s="9" t="s">
        <v>146</v>
      </c>
      <c r="T66" s="9" t="s">
        <v>179</v>
      </c>
      <c r="U66" s="9" t="s">
        <v>194</v>
      </c>
      <c r="V66" s="9" t="s">
        <v>208</v>
      </c>
      <c r="W66" s="9" t="s">
        <v>150</v>
      </c>
      <c r="X66" s="9" t="s">
        <v>297</v>
      </c>
      <c r="Y66" s="9" t="s">
        <v>284</v>
      </c>
      <c r="Z66" s="9" t="s">
        <v>153</v>
      </c>
      <c r="AA66" s="9" t="s">
        <v>183</v>
      </c>
      <c r="AB66" s="19" t="n">
        <v>1035</v>
      </c>
      <c r="AC66" s="9"/>
      <c r="AD66" s="9"/>
      <c r="AE66" s="9" t="s">
        <v>159</v>
      </c>
    </row>
    <row r="67" customFormat="false" ht="21.75" hidden="false" customHeight="true" outlineLevel="0" collapsed="false">
      <c r="B67" s="14" t="n">
        <v>63</v>
      </c>
      <c r="C67" s="7" t="s">
        <v>40</v>
      </c>
      <c r="D67" s="7" t="s">
        <v>18</v>
      </c>
      <c r="E67" s="7" t="s">
        <v>83</v>
      </c>
      <c r="F67" s="7" t="s">
        <v>73</v>
      </c>
      <c r="G67" s="7" t="s">
        <v>318</v>
      </c>
      <c r="H67" s="7" t="s">
        <v>157</v>
      </c>
      <c r="I67" s="7" t="s">
        <v>158</v>
      </c>
      <c r="J67" s="7" t="s">
        <v>138</v>
      </c>
      <c r="K67" s="7" t="s">
        <v>168</v>
      </c>
      <c r="L67" s="7" t="s">
        <v>178</v>
      </c>
      <c r="M67" s="7" t="s">
        <v>141</v>
      </c>
      <c r="N67" s="7" t="s">
        <v>317</v>
      </c>
      <c r="O67" s="7" t="s">
        <v>143</v>
      </c>
      <c r="P67" s="7" t="s">
        <v>144</v>
      </c>
      <c r="Q67" s="7" t="s">
        <v>145</v>
      </c>
      <c r="R67" s="7" t="s">
        <v>145</v>
      </c>
      <c r="S67" s="7" t="s">
        <v>146</v>
      </c>
      <c r="T67" s="7" t="s">
        <v>179</v>
      </c>
      <c r="U67" s="7" t="s">
        <v>194</v>
      </c>
      <c r="V67" s="7" t="s">
        <v>208</v>
      </c>
      <c r="W67" s="7" t="s">
        <v>150</v>
      </c>
      <c r="X67" s="7" t="s">
        <v>297</v>
      </c>
      <c r="Y67" s="7" t="s">
        <v>284</v>
      </c>
      <c r="Z67" s="7" t="s">
        <v>153</v>
      </c>
      <c r="AA67" s="7" t="s">
        <v>183</v>
      </c>
      <c r="AB67" s="18" t="n">
        <v>1380</v>
      </c>
      <c r="AC67" s="7"/>
      <c r="AD67" s="7"/>
      <c r="AE67" s="7" t="s">
        <v>319</v>
      </c>
    </row>
    <row r="68" customFormat="false" ht="21.75" hidden="false" customHeight="true" outlineLevel="0" collapsed="false">
      <c r="B68" s="15" t="n">
        <v>64</v>
      </c>
      <c r="C68" s="9" t="s">
        <v>40</v>
      </c>
      <c r="D68" s="9" t="s">
        <v>18</v>
      </c>
      <c r="E68" s="9" t="s">
        <v>83</v>
      </c>
      <c r="F68" s="9" t="s">
        <v>73</v>
      </c>
      <c r="G68" s="9" t="s">
        <v>320</v>
      </c>
      <c r="H68" s="9" t="s">
        <v>163</v>
      </c>
      <c r="I68" s="9" t="s">
        <v>164</v>
      </c>
      <c r="J68" s="9" t="s">
        <v>138</v>
      </c>
      <c r="K68" s="9" t="s">
        <v>168</v>
      </c>
      <c r="L68" s="9" t="s">
        <v>178</v>
      </c>
      <c r="M68" s="9" t="s">
        <v>141</v>
      </c>
      <c r="N68" s="9" t="s">
        <v>317</v>
      </c>
      <c r="O68" s="9" t="s">
        <v>143</v>
      </c>
      <c r="P68" s="9" t="s">
        <v>144</v>
      </c>
      <c r="Q68" s="9" t="s">
        <v>145</v>
      </c>
      <c r="R68" s="9" t="s">
        <v>145</v>
      </c>
      <c r="S68" s="9" t="s">
        <v>146</v>
      </c>
      <c r="T68" s="9" t="s">
        <v>179</v>
      </c>
      <c r="U68" s="9" t="s">
        <v>194</v>
      </c>
      <c r="V68" s="9" t="s">
        <v>208</v>
      </c>
      <c r="W68" s="9" t="s">
        <v>150</v>
      </c>
      <c r="X68" s="9" t="s">
        <v>297</v>
      </c>
      <c r="Y68" s="9" t="s">
        <v>284</v>
      </c>
      <c r="Z68" s="9" t="s">
        <v>153</v>
      </c>
      <c r="AA68" s="9" t="s">
        <v>183</v>
      </c>
      <c r="AB68" s="19" t="n">
        <v>2070</v>
      </c>
      <c r="AC68" s="9"/>
      <c r="AD68" s="9"/>
      <c r="AE68" s="9" t="s">
        <v>165</v>
      </c>
    </row>
    <row r="69" customFormat="false" ht="21.75" hidden="false" customHeight="true" outlineLevel="0" collapsed="false">
      <c r="B69" s="14" t="n">
        <v>65</v>
      </c>
      <c r="C69" s="7" t="s">
        <v>40</v>
      </c>
      <c r="D69" s="7" t="s">
        <v>18</v>
      </c>
      <c r="E69" s="7" t="s">
        <v>83</v>
      </c>
      <c r="F69" s="7" t="s">
        <v>73</v>
      </c>
      <c r="G69" s="7" t="s">
        <v>188</v>
      </c>
      <c r="H69" s="7" t="s">
        <v>163</v>
      </c>
      <c r="I69" s="7" t="s">
        <v>164</v>
      </c>
      <c r="J69" s="7" t="s">
        <v>138</v>
      </c>
      <c r="K69" s="7" t="s">
        <v>168</v>
      </c>
      <c r="L69" s="7" t="s">
        <v>178</v>
      </c>
      <c r="M69" s="7" t="s">
        <v>141</v>
      </c>
      <c r="N69" s="7" t="s">
        <v>317</v>
      </c>
      <c r="O69" s="7" t="s">
        <v>143</v>
      </c>
      <c r="P69" s="7" t="s">
        <v>144</v>
      </c>
      <c r="Q69" s="7" t="s">
        <v>145</v>
      </c>
      <c r="R69" s="7" t="s">
        <v>145</v>
      </c>
      <c r="S69" s="7" t="s">
        <v>146</v>
      </c>
      <c r="T69" s="7" t="s">
        <v>179</v>
      </c>
      <c r="U69" s="7" t="s">
        <v>194</v>
      </c>
      <c r="V69" s="7" t="s">
        <v>208</v>
      </c>
      <c r="W69" s="7" t="s">
        <v>150</v>
      </c>
      <c r="X69" s="7" t="s">
        <v>297</v>
      </c>
      <c r="Y69" s="7" t="s">
        <v>284</v>
      </c>
      <c r="Z69" s="7" t="s">
        <v>153</v>
      </c>
      <c r="AA69" s="7" t="s">
        <v>183</v>
      </c>
      <c r="AB69" s="18" t="n">
        <v>3035</v>
      </c>
      <c r="AC69" s="7"/>
      <c r="AD69" s="7"/>
      <c r="AE69" s="7" t="s">
        <v>167</v>
      </c>
    </row>
    <row r="70" customFormat="false" ht="21.75" hidden="false" customHeight="true" outlineLevel="0" collapsed="false">
      <c r="B70" s="15" t="n">
        <v>66</v>
      </c>
      <c r="C70" s="9" t="s">
        <v>40</v>
      </c>
      <c r="D70" s="9" t="s">
        <v>18</v>
      </c>
      <c r="E70" s="9" t="s">
        <v>83</v>
      </c>
      <c r="F70" s="9" t="s">
        <v>74</v>
      </c>
      <c r="G70" s="9" t="s">
        <v>321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19"/>
      <c r="AC70" s="9"/>
      <c r="AD70" s="9"/>
      <c r="AE70" s="9" t="s">
        <v>322</v>
      </c>
    </row>
    <row r="71" customFormat="false" ht="21.75" hidden="false" customHeight="true" outlineLevel="0" collapsed="false">
      <c r="B71" s="14" t="n">
        <v>67</v>
      </c>
      <c r="C71" s="7" t="s">
        <v>41</v>
      </c>
      <c r="D71" s="7" t="s">
        <v>18</v>
      </c>
      <c r="E71" s="7" t="s">
        <v>84</v>
      </c>
      <c r="F71" s="7" t="s">
        <v>61</v>
      </c>
      <c r="G71" s="7" t="s">
        <v>323</v>
      </c>
      <c r="H71" s="7" t="s">
        <v>136</v>
      </c>
      <c r="I71" s="7" t="s">
        <v>137</v>
      </c>
      <c r="J71" s="7" t="s">
        <v>203</v>
      </c>
      <c r="K71" s="7" t="s">
        <v>324</v>
      </c>
      <c r="L71" s="7" t="s">
        <v>325</v>
      </c>
      <c r="M71" s="7" t="s">
        <v>326</v>
      </c>
      <c r="N71" s="7" t="s">
        <v>327</v>
      </c>
      <c r="O71" s="7" t="s">
        <v>328</v>
      </c>
      <c r="P71" s="7" t="s">
        <v>144</v>
      </c>
      <c r="Q71" s="7" t="s">
        <v>329</v>
      </c>
      <c r="R71" s="7" t="s">
        <v>330</v>
      </c>
      <c r="S71" s="7" t="s">
        <v>331</v>
      </c>
      <c r="T71" s="7" t="s">
        <v>332</v>
      </c>
      <c r="U71" s="7" t="s">
        <v>148</v>
      </c>
      <c r="V71" s="7" t="s">
        <v>333</v>
      </c>
      <c r="W71" s="7" t="s">
        <v>334</v>
      </c>
      <c r="X71" s="7" t="s">
        <v>335</v>
      </c>
      <c r="Y71" s="7" t="s">
        <v>336</v>
      </c>
      <c r="Z71" s="7" t="s">
        <v>337</v>
      </c>
      <c r="AA71" s="7" t="s">
        <v>223</v>
      </c>
      <c r="AB71" s="18" t="n">
        <v>390</v>
      </c>
      <c r="AC71" s="7"/>
      <c r="AD71" s="7"/>
      <c r="AE71" s="7" t="s">
        <v>155</v>
      </c>
    </row>
    <row r="72" customFormat="false" ht="21.75" hidden="false" customHeight="true" outlineLevel="0" collapsed="false">
      <c r="B72" s="15" t="n">
        <v>68</v>
      </c>
      <c r="C72" s="9" t="s">
        <v>41</v>
      </c>
      <c r="D72" s="9" t="s">
        <v>18</v>
      </c>
      <c r="E72" s="9" t="s">
        <v>84</v>
      </c>
      <c r="F72" s="9" t="s">
        <v>61</v>
      </c>
      <c r="G72" s="9" t="s">
        <v>338</v>
      </c>
      <c r="H72" s="9" t="s">
        <v>157</v>
      </c>
      <c r="I72" s="9" t="s">
        <v>158</v>
      </c>
      <c r="J72" s="9" t="s">
        <v>203</v>
      </c>
      <c r="K72" s="9" t="s">
        <v>324</v>
      </c>
      <c r="L72" s="9" t="s">
        <v>325</v>
      </c>
      <c r="M72" s="9" t="s">
        <v>326</v>
      </c>
      <c r="N72" s="9" t="s">
        <v>327</v>
      </c>
      <c r="O72" s="9" t="s">
        <v>328</v>
      </c>
      <c r="P72" s="9" t="s">
        <v>144</v>
      </c>
      <c r="Q72" s="9" t="s">
        <v>329</v>
      </c>
      <c r="R72" s="9" t="s">
        <v>330</v>
      </c>
      <c r="S72" s="9" t="s">
        <v>331</v>
      </c>
      <c r="T72" s="9" t="s">
        <v>332</v>
      </c>
      <c r="U72" s="9" t="s">
        <v>148</v>
      </c>
      <c r="V72" s="9" t="s">
        <v>333</v>
      </c>
      <c r="W72" s="9" t="s">
        <v>334</v>
      </c>
      <c r="X72" s="9" t="s">
        <v>335</v>
      </c>
      <c r="Y72" s="9" t="s">
        <v>336</v>
      </c>
      <c r="Z72" s="9" t="s">
        <v>337</v>
      </c>
      <c r="AA72" s="9" t="s">
        <v>223</v>
      </c>
      <c r="AB72" s="19" t="n">
        <v>585</v>
      </c>
      <c r="AC72" s="9"/>
      <c r="AD72" s="9"/>
      <c r="AE72" s="9" t="s">
        <v>159</v>
      </c>
    </row>
    <row r="73" customFormat="false" ht="21.75" hidden="false" customHeight="true" outlineLevel="0" collapsed="false">
      <c r="B73" s="14" t="n">
        <v>69</v>
      </c>
      <c r="C73" s="7" t="s">
        <v>41</v>
      </c>
      <c r="D73" s="7" t="s">
        <v>18</v>
      </c>
      <c r="E73" s="7" t="s">
        <v>84</v>
      </c>
      <c r="F73" s="7" t="s">
        <v>61</v>
      </c>
      <c r="G73" s="7" t="s">
        <v>339</v>
      </c>
      <c r="H73" s="7" t="s">
        <v>157</v>
      </c>
      <c r="I73" s="7" t="s">
        <v>158</v>
      </c>
      <c r="J73" s="7" t="s">
        <v>203</v>
      </c>
      <c r="K73" s="7" t="s">
        <v>324</v>
      </c>
      <c r="L73" s="7" t="s">
        <v>325</v>
      </c>
      <c r="M73" s="7" t="s">
        <v>326</v>
      </c>
      <c r="N73" s="7" t="s">
        <v>327</v>
      </c>
      <c r="O73" s="7" t="s">
        <v>328</v>
      </c>
      <c r="P73" s="7" t="s">
        <v>144</v>
      </c>
      <c r="Q73" s="7" t="s">
        <v>329</v>
      </c>
      <c r="R73" s="7" t="s">
        <v>330</v>
      </c>
      <c r="S73" s="7" t="s">
        <v>331</v>
      </c>
      <c r="T73" s="7" t="s">
        <v>332</v>
      </c>
      <c r="U73" s="7" t="s">
        <v>148</v>
      </c>
      <c r="V73" s="7" t="s">
        <v>333</v>
      </c>
      <c r="W73" s="7" t="s">
        <v>334</v>
      </c>
      <c r="X73" s="7" t="s">
        <v>335</v>
      </c>
      <c r="Y73" s="7" t="s">
        <v>336</v>
      </c>
      <c r="Z73" s="7" t="s">
        <v>337</v>
      </c>
      <c r="AA73" s="7" t="s">
        <v>223</v>
      </c>
      <c r="AB73" s="18" t="n">
        <v>780</v>
      </c>
      <c r="AC73" s="7"/>
      <c r="AD73" s="7"/>
      <c r="AE73" s="7" t="s">
        <v>340</v>
      </c>
    </row>
    <row r="74" customFormat="false" ht="21.75" hidden="false" customHeight="true" outlineLevel="0" collapsed="false">
      <c r="B74" s="15" t="n">
        <v>70</v>
      </c>
      <c r="C74" s="9" t="s">
        <v>41</v>
      </c>
      <c r="D74" s="9" t="s">
        <v>18</v>
      </c>
      <c r="E74" s="9" t="s">
        <v>84</v>
      </c>
      <c r="F74" s="9" t="s">
        <v>61</v>
      </c>
      <c r="G74" s="9" t="s">
        <v>341</v>
      </c>
      <c r="H74" s="9" t="s">
        <v>163</v>
      </c>
      <c r="I74" s="9" t="s">
        <v>164</v>
      </c>
      <c r="J74" s="9" t="s">
        <v>203</v>
      </c>
      <c r="K74" s="9" t="s">
        <v>324</v>
      </c>
      <c r="L74" s="9" t="s">
        <v>325</v>
      </c>
      <c r="M74" s="9" t="s">
        <v>326</v>
      </c>
      <c r="N74" s="9" t="s">
        <v>327</v>
      </c>
      <c r="O74" s="9" t="s">
        <v>328</v>
      </c>
      <c r="P74" s="9" t="s">
        <v>144</v>
      </c>
      <c r="Q74" s="9" t="s">
        <v>329</v>
      </c>
      <c r="R74" s="9" t="s">
        <v>330</v>
      </c>
      <c r="S74" s="9" t="s">
        <v>331</v>
      </c>
      <c r="T74" s="9" t="s">
        <v>332</v>
      </c>
      <c r="U74" s="9" t="s">
        <v>148</v>
      </c>
      <c r="V74" s="9" t="s">
        <v>333</v>
      </c>
      <c r="W74" s="9" t="s">
        <v>334</v>
      </c>
      <c r="X74" s="9" t="s">
        <v>335</v>
      </c>
      <c r="Y74" s="9" t="s">
        <v>336</v>
      </c>
      <c r="Z74" s="9" t="s">
        <v>337</v>
      </c>
      <c r="AA74" s="9" t="s">
        <v>223</v>
      </c>
      <c r="AB74" s="19" t="n">
        <v>1170</v>
      </c>
      <c r="AC74" s="9"/>
      <c r="AD74" s="9"/>
      <c r="AE74" s="9" t="s">
        <v>165</v>
      </c>
    </row>
    <row r="75" customFormat="false" ht="21.75" hidden="false" customHeight="true" outlineLevel="0" collapsed="false">
      <c r="B75" s="14" t="n">
        <v>71</v>
      </c>
      <c r="C75" s="7" t="s">
        <v>41</v>
      </c>
      <c r="D75" s="7" t="s">
        <v>18</v>
      </c>
      <c r="E75" s="7" t="s">
        <v>84</v>
      </c>
      <c r="F75" s="7" t="s">
        <v>61</v>
      </c>
      <c r="G75" s="7" t="s">
        <v>342</v>
      </c>
      <c r="H75" s="7" t="s">
        <v>163</v>
      </c>
      <c r="I75" s="7" t="s">
        <v>164</v>
      </c>
      <c r="J75" s="7" t="s">
        <v>203</v>
      </c>
      <c r="K75" s="7" t="s">
        <v>324</v>
      </c>
      <c r="L75" s="7" t="s">
        <v>325</v>
      </c>
      <c r="M75" s="7" t="s">
        <v>326</v>
      </c>
      <c r="N75" s="7" t="s">
        <v>327</v>
      </c>
      <c r="O75" s="7" t="s">
        <v>328</v>
      </c>
      <c r="P75" s="7" t="s">
        <v>144</v>
      </c>
      <c r="Q75" s="7" t="s">
        <v>329</v>
      </c>
      <c r="R75" s="7" t="s">
        <v>330</v>
      </c>
      <c r="S75" s="7" t="s">
        <v>331</v>
      </c>
      <c r="T75" s="7" t="s">
        <v>332</v>
      </c>
      <c r="U75" s="7" t="s">
        <v>148</v>
      </c>
      <c r="V75" s="7" t="s">
        <v>333</v>
      </c>
      <c r="W75" s="7" t="s">
        <v>334</v>
      </c>
      <c r="X75" s="7" t="s">
        <v>335</v>
      </c>
      <c r="Y75" s="7" t="s">
        <v>336</v>
      </c>
      <c r="Z75" s="7" t="s">
        <v>337</v>
      </c>
      <c r="AA75" s="7" t="s">
        <v>223</v>
      </c>
      <c r="AB75" s="18" t="n">
        <v>1715</v>
      </c>
      <c r="AC75" s="7"/>
      <c r="AD75" s="7"/>
      <c r="AE75" s="7" t="s">
        <v>167</v>
      </c>
    </row>
    <row r="76" customFormat="false" ht="21.75" hidden="false" customHeight="true" outlineLevel="0" collapsed="false">
      <c r="B76" s="15" t="n">
        <v>72</v>
      </c>
      <c r="C76" s="9" t="s">
        <v>41</v>
      </c>
      <c r="D76" s="9" t="s">
        <v>18</v>
      </c>
      <c r="E76" s="9" t="s">
        <v>84</v>
      </c>
      <c r="F76" s="9" t="s">
        <v>62</v>
      </c>
      <c r="G76" s="9" t="s">
        <v>343</v>
      </c>
      <c r="H76" s="9" t="s">
        <v>136</v>
      </c>
      <c r="I76" s="9" t="s">
        <v>137</v>
      </c>
      <c r="J76" s="9" t="s">
        <v>203</v>
      </c>
      <c r="K76" s="9" t="s">
        <v>324</v>
      </c>
      <c r="L76" s="9" t="s">
        <v>205</v>
      </c>
      <c r="M76" s="9" t="s">
        <v>326</v>
      </c>
      <c r="N76" s="9" t="s">
        <v>327</v>
      </c>
      <c r="O76" s="9" t="s">
        <v>328</v>
      </c>
      <c r="P76" s="9" t="s">
        <v>144</v>
      </c>
      <c r="Q76" s="9" t="s">
        <v>329</v>
      </c>
      <c r="R76" s="9" t="s">
        <v>330</v>
      </c>
      <c r="S76" s="9" t="s">
        <v>331</v>
      </c>
      <c r="T76" s="9" t="s">
        <v>147</v>
      </c>
      <c r="U76" s="9" t="s">
        <v>148</v>
      </c>
      <c r="V76" s="9" t="s">
        <v>344</v>
      </c>
      <c r="W76" s="9" t="s">
        <v>334</v>
      </c>
      <c r="X76" s="9" t="s">
        <v>345</v>
      </c>
      <c r="Y76" s="9" t="s">
        <v>346</v>
      </c>
      <c r="Z76" s="9" t="s">
        <v>337</v>
      </c>
      <c r="AA76" s="9" t="s">
        <v>183</v>
      </c>
      <c r="AB76" s="19" t="n">
        <v>445</v>
      </c>
      <c r="AC76" s="9"/>
      <c r="AD76" s="9"/>
      <c r="AE76" s="9" t="s">
        <v>155</v>
      </c>
    </row>
    <row r="77" customFormat="false" ht="21.75" hidden="false" customHeight="true" outlineLevel="0" collapsed="false">
      <c r="B77" s="14" t="n">
        <v>73</v>
      </c>
      <c r="C77" s="7" t="s">
        <v>41</v>
      </c>
      <c r="D77" s="7" t="s">
        <v>18</v>
      </c>
      <c r="E77" s="7" t="s">
        <v>84</v>
      </c>
      <c r="F77" s="7" t="s">
        <v>62</v>
      </c>
      <c r="G77" s="7" t="s">
        <v>347</v>
      </c>
      <c r="H77" s="7" t="s">
        <v>157</v>
      </c>
      <c r="I77" s="7" t="s">
        <v>158</v>
      </c>
      <c r="J77" s="7" t="s">
        <v>203</v>
      </c>
      <c r="K77" s="7" t="s">
        <v>324</v>
      </c>
      <c r="L77" s="7" t="s">
        <v>205</v>
      </c>
      <c r="M77" s="7" t="s">
        <v>326</v>
      </c>
      <c r="N77" s="7" t="s">
        <v>327</v>
      </c>
      <c r="O77" s="7" t="s">
        <v>328</v>
      </c>
      <c r="P77" s="7" t="s">
        <v>144</v>
      </c>
      <c r="Q77" s="7" t="s">
        <v>329</v>
      </c>
      <c r="R77" s="7" t="s">
        <v>330</v>
      </c>
      <c r="S77" s="7" t="s">
        <v>331</v>
      </c>
      <c r="T77" s="7" t="s">
        <v>147</v>
      </c>
      <c r="U77" s="7" t="s">
        <v>148</v>
      </c>
      <c r="V77" s="7" t="s">
        <v>344</v>
      </c>
      <c r="W77" s="7" t="s">
        <v>334</v>
      </c>
      <c r="X77" s="7" t="s">
        <v>345</v>
      </c>
      <c r="Y77" s="7" t="s">
        <v>346</v>
      </c>
      <c r="Z77" s="7" t="s">
        <v>337</v>
      </c>
      <c r="AA77" s="7" t="s">
        <v>183</v>
      </c>
      <c r="AB77" s="18" t="n">
        <v>670</v>
      </c>
      <c r="AC77" s="7"/>
      <c r="AD77" s="7"/>
      <c r="AE77" s="7" t="s">
        <v>159</v>
      </c>
    </row>
    <row r="78" customFormat="false" ht="21.75" hidden="false" customHeight="true" outlineLevel="0" collapsed="false">
      <c r="B78" s="15" t="n">
        <v>74</v>
      </c>
      <c r="C78" s="9" t="s">
        <v>41</v>
      </c>
      <c r="D78" s="9" t="s">
        <v>18</v>
      </c>
      <c r="E78" s="9" t="s">
        <v>84</v>
      </c>
      <c r="F78" s="9" t="s">
        <v>62</v>
      </c>
      <c r="G78" s="9" t="s">
        <v>348</v>
      </c>
      <c r="H78" s="9" t="s">
        <v>157</v>
      </c>
      <c r="I78" s="9" t="s">
        <v>158</v>
      </c>
      <c r="J78" s="9" t="s">
        <v>203</v>
      </c>
      <c r="K78" s="9" t="s">
        <v>324</v>
      </c>
      <c r="L78" s="9" t="s">
        <v>205</v>
      </c>
      <c r="M78" s="9" t="s">
        <v>326</v>
      </c>
      <c r="N78" s="9" t="s">
        <v>327</v>
      </c>
      <c r="O78" s="9" t="s">
        <v>328</v>
      </c>
      <c r="P78" s="9" t="s">
        <v>144</v>
      </c>
      <c r="Q78" s="9" t="s">
        <v>329</v>
      </c>
      <c r="R78" s="9" t="s">
        <v>330</v>
      </c>
      <c r="S78" s="9" t="s">
        <v>331</v>
      </c>
      <c r="T78" s="9" t="s">
        <v>147</v>
      </c>
      <c r="U78" s="9" t="s">
        <v>148</v>
      </c>
      <c r="V78" s="9" t="s">
        <v>344</v>
      </c>
      <c r="W78" s="9" t="s">
        <v>334</v>
      </c>
      <c r="X78" s="9" t="s">
        <v>345</v>
      </c>
      <c r="Y78" s="9" t="s">
        <v>346</v>
      </c>
      <c r="Z78" s="9" t="s">
        <v>337</v>
      </c>
      <c r="AA78" s="9" t="s">
        <v>183</v>
      </c>
      <c r="AB78" s="19" t="n">
        <v>890</v>
      </c>
      <c r="AC78" s="9"/>
      <c r="AD78" s="9"/>
      <c r="AE78" s="9" t="s">
        <v>349</v>
      </c>
    </row>
    <row r="79" customFormat="false" ht="21.75" hidden="false" customHeight="true" outlineLevel="0" collapsed="false">
      <c r="B79" s="14" t="n">
        <v>75</v>
      </c>
      <c r="C79" s="7" t="s">
        <v>41</v>
      </c>
      <c r="D79" s="7" t="s">
        <v>18</v>
      </c>
      <c r="E79" s="7" t="s">
        <v>84</v>
      </c>
      <c r="F79" s="7" t="s">
        <v>62</v>
      </c>
      <c r="G79" s="7" t="s">
        <v>350</v>
      </c>
      <c r="H79" s="7" t="s">
        <v>163</v>
      </c>
      <c r="I79" s="7" t="s">
        <v>164</v>
      </c>
      <c r="J79" s="7" t="s">
        <v>203</v>
      </c>
      <c r="K79" s="7" t="s">
        <v>324</v>
      </c>
      <c r="L79" s="7" t="s">
        <v>205</v>
      </c>
      <c r="M79" s="7" t="s">
        <v>326</v>
      </c>
      <c r="N79" s="7" t="s">
        <v>327</v>
      </c>
      <c r="O79" s="7" t="s">
        <v>328</v>
      </c>
      <c r="P79" s="7" t="s">
        <v>144</v>
      </c>
      <c r="Q79" s="7" t="s">
        <v>329</v>
      </c>
      <c r="R79" s="7" t="s">
        <v>330</v>
      </c>
      <c r="S79" s="7" t="s">
        <v>331</v>
      </c>
      <c r="T79" s="7" t="s">
        <v>147</v>
      </c>
      <c r="U79" s="7" t="s">
        <v>148</v>
      </c>
      <c r="V79" s="7" t="s">
        <v>344</v>
      </c>
      <c r="W79" s="7" t="s">
        <v>334</v>
      </c>
      <c r="X79" s="7" t="s">
        <v>345</v>
      </c>
      <c r="Y79" s="7" t="s">
        <v>346</v>
      </c>
      <c r="Z79" s="7" t="s">
        <v>337</v>
      </c>
      <c r="AA79" s="7" t="s">
        <v>183</v>
      </c>
      <c r="AB79" s="18" t="n">
        <v>1335</v>
      </c>
      <c r="AC79" s="7"/>
      <c r="AD79" s="7"/>
      <c r="AE79" s="7" t="s">
        <v>165</v>
      </c>
    </row>
    <row r="80" customFormat="false" ht="21.75" hidden="false" customHeight="true" outlineLevel="0" collapsed="false">
      <c r="B80" s="15" t="n">
        <v>76</v>
      </c>
      <c r="C80" s="9" t="s">
        <v>41</v>
      </c>
      <c r="D80" s="9" t="s">
        <v>18</v>
      </c>
      <c r="E80" s="9" t="s">
        <v>84</v>
      </c>
      <c r="F80" s="9" t="s">
        <v>62</v>
      </c>
      <c r="G80" s="9" t="s">
        <v>351</v>
      </c>
      <c r="H80" s="9" t="s">
        <v>163</v>
      </c>
      <c r="I80" s="9" t="s">
        <v>164</v>
      </c>
      <c r="J80" s="9" t="s">
        <v>203</v>
      </c>
      <c r="K80" s="9" t="s">
        <v>324</v>
      </c>
      <c r="L80" s="9" t="s">
        <v>205</v>
      </c>
      <c r="M80" s="9" t="s">
        <v>326</v>
      </c>
      <c r="N80" s="9" t="s">
        <v>327</v>
      </c>
      <c r="O80" s="9" t="s">
        <v>328</v>
      </c>
      <c r="P80" s="9" t="s">
        <v>144</v>
      </c>
      <c r="Q80" s="9" t="s">
        <v>329</v>
      </c>
      <c r="R80" s="9" t="s">
        <v>330</v>
      </c>
      <c r="S80" s="9" t="s">
        <v>331</v>
      </c>
      <c r="T80" s="9" t="s">
        <v>147</v>
      </c>
      <c r="U80" s="9" t="s">
        <v>148</v>
      </c>
      <c r="V80" s="9" t="s">
        <v>344</v>
      </c>
      <c r="W80" s="9" t="s">
        <v>334</v>
      </c>
      <c r="X80" s="9" t="s">
        <v>345</v>
      </c>
      <c r="Y80" s="9" t="s">
        <v>346</v>
      </c>
      <c r="Z80" s="9" t="s">
        <v>337</v>
      </c>
      <c r="AA80" s="9" t="s">
        <v>183</v>
      </c>
      <c r="AB80" s="19" t="n">
        <v>1960</v>
      </c>
      <c r="AC80" s="9"/>
      <c r="AD80" s="9"/>
      <c r="AE80" s="9" t="s">
        <v>167</v>
      </c>
    </row>
    <row r="81" customFormat="false" ht="21.75" hidden="false" customHeight="true" outlineLevel="0" collapsed="false">
      <c r="B81" s="14" t="n">
        <v>77</v>
      </c>
      <c r="C81" s="7" t="s">
        <v>41</v>
      </c>
      <c r="D81" s="7" t="s">
        <v>18</v>
      </c>
      <c r="E81" s="7" t="s">
        <v>84</v>
      </c>
      <c r="F81" s="7" t="s">
        <v>63</v>
      </c>
      <c r="G81" s="7" t="s">
        <v>352</v>
      </c>
      <c r="H81" s="7" t="s">
        <v>136</v>
      </c>
      <c r="I81" s="7" t="s">
        <v>137</v>
      </c>
      <c r="J81" s="7" t="s">
        <v>203</v>
      </c>
      <c r="K81" s="7" t="s">
        <v>353</v>
      </c>
      <c r="L81" s="7" t="s">
        <v>354</v>
      </c>
      <c r="M81" s="7" t="s">
        <v>326</v>
      </c>
      <c r="N81" s="7" t="s">
        <v>355</v>
      </c>
      <c r="O81" s="7" t="s">
        <v>328</v>
      </c>
      <c r="P81" s="7" t="s">
        <v>144</v>
      </c>
      <c r="Q81" s="7" t="s">
        <v>329</v>
      </c>
      <c r="R81" s="7" t="s">
        <v>330</v>
      </c>
      <c r="S81" s="7" t="s">
        <v>331</v>
      </c>
      <c r="T81" s="7" t="s">
        <v>356</v>
      </c>
      <c r="U81" s="7" t="s">
        <v>148</v>
      </c>
      <c r="V81" s="7" t="s">
        <v>344</v>
      </c>
      <c r="W81" s="7" t="s">
        <v>334</v>
      </c>
      <c r="X81" s="7" t="s">
        <v>357</v>
      </c>
      <c r="Y81" s="7" t="s">
        <v>358</v>
      </c>
      <c r="Z81" s="7" t="s">
        <v>337</v>
      </c>
      <c r="AA81" s="7" t="s">
        <v>183</v>
      </c>
      <c r="AB81" s="18" t="n">
        <v>465</v>
      </c>
      <c r="AC81" s="7"/>
      <c r="AD81" s="7"/>
      <c r="AE81" s="7" t="s">
        <v>155</v>
      </c>
    </row>
    <row r="82" customFormat="false" ht="21.75" hidden="false" customHeight="true" outlineLevel="0" collapsed="false">
      <c r="B82" s="15" t="n">
        <v>78</v>
      </c>
      <c r="C82" s="9" t="s">
        <v>41</v>
      </c>
      <c r="D82" s="9" t="s">
        <v>18</v>
      </c>
      <c r="E82" s="9" t="s">
        <v>84</v>
      </c>
      <c r="F82" s="9" t="s">
        <v>63</v>
      </c>
      <c r="G82" s="9" t="s">
        <v>359</v>
      </c>
      <c r="H82" s="9" t="s">
        <v>157</v>
      </c>
      <c r="I82" s="9" t="s">
        <v>158</v>
      </c>
      <c r="J82" s="9" t="s">
        <v>203</v>
      </c>
      <c r="K82" s="9" t="s">
        <v>353</v>
      </c>
      <c r="L82" s="9" t="s">
        <v>354</v>
      </c>
      <c r="M82" s="9" t="s">
        <v>326</v>
      </c>
      <c r="N82" s="9" t="s">
        <v>355</v>
      </c>
      <c r="O82" s="9" t="s">
        <v>328</v>
      </c>
      <c r="P82" s="9" t="s">
        <v>144</v>
      </c>
      <c r="Q82" s="9" t="s">
        <v>329</v>
      </c>
      <c r="R82" s="9" t="s">
        <v>330</v>
      </c>
      <c r="S82" s="9" t="s">
        <v>331</v>
      </c>
      <c r="T82" s="9" t="s">
        <v>356</v>
      </c>
      <c r="U82" s="9" t="s">
        <v>148</v>
      </c>
      <c r="V82" s="9" t="s">
        <v>344</v>
      </c>
      <c r="W82" s="9" t="s">
        <v>334</v>
      </c>
      <c r="X82" s="9" t="s">
        <v>357</v>
      </c>
      <c r="Y82" s="9" t="s">
        <v>358</v>
      </c>
      <c r="Z82" s="9" t="s">
        <v>337</v>
      </c>
      <c r="AA82" s="9" t="s">
        <v>183</v>
      </c>
      <c r="AB82" s="19" t="n">
        <v>700</v>
      </c>
      <c r="AC82" s="9"/>
      <c r="AD82" s="9"/>
      <c r="AE82" s="9" t="s">
        <v>159</v>
      </c>
    </row>
    <row r="83" customFormat="false" ht="21.75" hidden="false" customHeight="true" outlineLevel="0" collapsed="false">
      <c r="B83" s="14" t="n">
        <v>79</v>
      </c>
      <c r="C83" s="7" t="s">
        <v>41</v>
      </c>
      <c r="D83" s="7" t="s">
        <v>18</v>
      </c>
      <c r="E83" s="7" t="s">
        <v>84</v>
      </c>
      <c r="F83" s="7" t="s">
        <v>63</v>
      </c>
      <c r="G83" s="7" t="s">
        <v>360</v>
      </c>
      <c r="H83" s="7" t="s">
        <v>157</v>
      </c>
      <c r="I83" s="7" t="s">
        <v>158</v>
      </c>
      <c r="J83" s="7" t="s">
        <v>203</v>
      </c>
      <c r="K83" s="7" t="s">
        <v>353</v>
      </c>
      <c r="L83" s="7" t="s">
        <v>354</v>
      </c>
      <c r="M83" s="7" t="s">
        <v>326</v>
      </c>
      <c r="N83" s="7" t="s">
        <v>355</v>
      </c>
      <c r="O83" s="7" t="s">
        <v>328</v>
      </c>
      <c r="P83" s="7" t="s">
        <v>144</v>
      </c>
      <c r="Q83" s="7" t="s">
        <v>329</v>
      </c>
      <c r="R83" s="7" t="s">
        <v>330</v>
      </c>
      <c r="S83" s="7" t="s">
        <v>331</v>
      </c>
      <c r="T83" s="7" t="s">
        <v>356</v>
      </c>
      <c r="U83" s="7" t="s">
        <v>148</v>
      </c>
      <c r="V83" s="7" t="s">
        <v>344</v>
      </c>
      <c r="W83" s="7" t="s">
        <v>334</v>
      </c>
      <c r="X83" s="7" t="s">
        <v>357</v>
      </c>
      <c r="Y83" s="7" t="s">
        <v>358</v>
      </c>
      <c r="Z83" s="7" t="s">
        <v>337</v>
      </c>
      <c r="AA83" s="7" t="s">
        <v>183</v>
      </c>
      <c r="AB83" s="18" t="n">
        <v>930</v>
      </c>
      <c r="AC83" s="7"/>
      <c r="AD83" s="7"/>
      <c r="AE83" s="7" t="s">
        <v>361</v>
      </c>
    </row>
    <row r="84" customFormat="false" ht="21.75" hidden="false" customHeight="true" outlineLevel="0" collapsed="false">
      <c r="B84" s="15" t="n">
        <v>80</v>
      </c>
      <c r="C84" s="9" t="s">
        <v>41</v>
      </c>
      <c r="D84" s="9" t="s">
        <v>18</v>
      </c>
      <c r="E84" s="9" t="s">
        <v>84</v>
      </c>
      <c r="F84" s="9" t="s">
        <v>63</v>
      </c>
      <c r="G84" s="9" t="s">
        <v>362</v>
      </c>
      <c r="H84" s="9" t="s">
        <v>163</v>
      </c>
      <c r="I84" s="9" t="s">
        <v>164</v>
      </c>
      <c r="J84" s="9" t="s">
        <v>203</v>
      </c>
      <c r="K84" s="9" t="s">
        <v>353</v>
      </c>
      <c r="L84" s="9" t="s">
        <v>354</v>
      </c>
      <c r="M84" s="9" t="s">
        <v>326</v>
      </c>
      <c r="N84" s="9" t="s">
        <v>355</v>
      </c>
      <c r="O84" s="9" t="s">
        <v>328</v>
      </c>
      <c r="P84" s="9" t="s">
        <v>144</v>
      </c>
      <c r="Q84" s="9" t="s">
        <v>329</v>
      </c>
      <c r="R84" s="9" t="s">
        <v>330</v>
      </c>
      <c r="S84" s="9" t="s">
        <v>331</v>
      </c>
      <c r="T84" s="9" t="s">
        <v>356</v>
      </c>
      <c r="U84" s="9" t="s">
        <v>148</v>
      </c>
      <c r="V84" s="9" t="s">
        <v>344</v>
      </c>
      <c r="W84" s="9" t="s">
        <v>334</v>
      </c>
      <c r="X84" s="9" t="s">
        <v>357</v>
      </c>
      <c r="Y84" s="9" t="s">
        <v>358</v>
      </c>
      <c r="Z84" s="9" t="s">
        <v>337</v>
      </c>
      <c r="AA84" s="9" t="s">
        <v>183</v>
      </c>
      <c r="AB84" s="19" t="n">
        <v>1395</v>
      </c>
      <c r="AC84" s="9"/>
      <c r="AD84" s="9"/>
      <c r="AE84" s="9" t="s">
        <v>165</v>
      </c>
    </row>
    <row r="85" customFormat="false" ht="21.75" hidden="false" customHeight="true" outlineLevel="0" collapsed="false">
      <c r="B85" s="14" t="n">
        <v>81</v>
      </c>
      <c r="C85" s="7" t="s">
        <v>41</v>
      </c>
      <c r="D85" s="7" t="s">
        <v>18</v>
      </c>
      <c r="E85" s="7" t="s">
        <v>84</v>
      </c>
      <c r="F85" s="7" t="s">
        <v>63</v>
      </c>
      <c r="G85" s="7" t="s">
        <v>363</v>
      </c>
      <c r="H85" s="7" t="s">
        <v>163</v>
      </c>
      <c r="I85" s="7" t="s">
        <v>164</v>
      </c>
      <c r="J85" s="7" t="s">
        <v>203</v>
      </c>
      <c r="K85" s="7" t="s">
        <v>353</v>
      </c>
      <c r="L85" s="7" t="s">
        <v>354</v>
      </c>
      <c r="M85" s="7" t="s">
        <v>326</v>
      </c>
      <c r="N85" s="7" t="s">
        <v>355</v>
      </c>
      <c r="O85" s="7" t="s">
        <v>328</v>
      </c>
      <c r="P85" s="7" t="s">
        <v>144</v>
      </c>
      <c r="Q85" s="7" t="s">
        <v>329</v>
      </c>
      <c r="R85" s="7" t="s">
        <v>330</v>
      </c>
      <c r="S85" s="7" t="s">
        <v>331</v>
      </c>
      <c r="T85" s="7" t="s">
        <v>356</v>
      </c>
      <c r="U85" s="7" t="s">
        <v>148</v>
      </c>
      <c r="V85" s="7" t="s">
        <v>344</v>
      </c>
      <c r="W85" s="7" t="s">
        <v>334</v>
      </c>
      <c r="X85" s="7" t="s">
        <v>357</v>
      </c>
      <c r="Y85" s="7" t="s">
        <v>358</v>
      </c>
      <c r="Z85" s="7" t="s">
        <v>337</v>
      </c>
      <c r="AA85" s="7" t="s">
        <v>183</v>
      </c>
      <c r="AB85" s="18" t="n">
        <v>2045</v>
      </c>
      <c r="AC85" s="7"/>
      <c r="AD85" s="7"/>
      <c r="AE85" s="7" t="s">
        <v>167</v>
      </c>
    </row>
    <row r="86" customFormat="false" ht="21.75" hidden="false" customHeight="true" outlineLevel="0" collapsed="false">
      <c r="B86" s="15" t="n">
        <v>82</v>
      </c>
      <c r="C86" s="9" t="s">
        <v>41</v>
      </c>
      <c r="D86" s="9" t="s">
        <v>18</v>
      </c>
      <c r="E86" s="9" t="s">
        <v>84</v>
      </c>
      <c r="F86" s="9" t="s">
        <v>64</v>
      </c>
      <c r="G86" s="9" t="s">
        <v>364</v>
      </c>
      <c r="H86" s="9" t="s">
        <v>136</v>
      </c>
      <c r="I86" s="9" t="s">
        <v>137</v>
      </c>
      <c r="J86" s="9" t="s">
        <v>203</v>
      </c>
      <c r="K86" s="9" t="s">
        <v>365</v>
      </c>
      <c r="L86" s="9" t="s">
        <v>366</v>
      </c>
      <c r="M86" s="9" t="s">
        <v>326</v>
      </c>
      <c r="N86" s="9" t="s">
        <v>367</v>
      </c>
      <c r="O86" s="9" t="s">
        <v>328</v>
      </c>
      <c r="P86" s="9" t="s">
        <v>144</v>
      </c>
      <c r="Q86" s="9" t="s">
        <v>329</v>
      </c>
      <c r="R86" s="9" t="s">
        <v>330</v>
      </c>
      <c r="S86" s="9" t="s">
        <v>331</v>
      </c>
      <c r="T86" s="9" t="s">
        <v>356</v>
      </c>
      <c r="U86" s="9" t="s">
        <v>194</v>
      </c>
      <c r="V86" s="9" t="s">
        <v>368</v>
      </c>
      <c r="W86" s="9" t="s">
        <v>334</v>
      </c>
      <c r="X86" s="9" t="s">
        <v>369</v>
      </c>
      <c r="Y86" s="9" t="s">
        <v>370</v>
      </c>
      <c r="Z86" s="9" t="s">
        <v>337</v>
      </c>
      <c r="AA86" s="9" t="s">
        <v>154</v>
      </c>
      <c r="AB86" s="19" t="n">
        <v>1375</v>
      </c>
      <c r="AC86" s="9"/>
      <c r="AD86" s="9"/>
      <c r="AE86" s="9" t="s">
        <v>155</v>
      </c>
    </row>
    <row r="87" customFormat="false" ht="21.75" hidden="false" customHeight="true" outlineLevel="0" collapsed="false">
      <c r="B87" s="14" t="n">
        <v>83</v>
      </c>
      <c r="C87" s="7" t="s">
        <v>41</v>
      </c>
      <c r="D87" s="7" t="s">
        <v>18</v>
      </c>
      <c r="E87" s="7" t="s">
        <v>84</v>
      </c>
      <c r="F87" s="7" t="s">
        <v>64</v>
      </c>
      <c r="G87" s="7" t="s">
        <v>371</v>
      </c>
      <c r="H87" s="7" t="s">
        <v>136</v>
      </c>
      <c r="I87" s="7" t="s">
        <v>137</v>
      </c>
      <c r="J87" s="7" t="s">
        <v>203</v>
      </c>
      <c r="K87" s="7" t="s">
        <v>365</v>
      </c>
      <c r="L87" s="7" t="s">
        <v>366</v>
      </c>
      <c r="M87" s="7" t="s">
        <v>326</v>
      </c>
      <c r="N87" s="7" t="s">
        <v>367</v>
      </c>
      <c r="O87" s="7" t="s">
        <v>328</v>
      </c>
      <c r="P87" s="7" t="s">
        <v>144</v>
      </c>
      <c r="Q87" s="7" t="s">
        <v>329</v>
      </c>
      <c r="R87" s="7" t="s">
        <v>330</v>
      </c>
      <c r="S87" s="7" t="s">
        <v>331</v>
      </c>
      <c r="T87" s="7" t="s">
        <v>356</v>
      </c>
      <c r="U87" s="7" t="s">
        <v>194</v>
      </c>
      <c r="V87" s="7" t="s">
        <v>368</v>
      </c>
      <c r="W87" s="7" t="s">
        <v>334</v>
      </c>
      <c r="X87" s="7" t="s">
        <v>369</v>
      </c>
      <c r="Y87" s="7" t="s">
        <v>370</v>
      </c>
      <c r="Z87" s="7" t="s">
        <v>337</v>
      </c>
      <c r="AA87" s="7" t="s">
        <v>154</v>
      </c>
      <c r="AB87" s="18" t="n">
        <v>2060</v>
      </c>
      <c r="AC87" s="7"/>
      <c r="AD87" s="7"/>
      <c r="AE87" s="7" t="s">
        <v>159</v>
      </c>
    </row>
    <row r="88" customFormat="false" ht="21.75" hidden="false" customHeight="true" outlineLevel="0" collapsed="false">
      <c r="B88" s="15" t="n">
        <v>84</v>
      </c>
      <c r="C88" s="9" t="s">
        <v>41</v>
      </c>
      <c r="D88" s="9" t="s">
        <v>18</v>
      </c>
      <c r="E88" s="9" t="s">
        <v>84</v>
      </c>
      <c r="F88" s="9" t="s">
        <v>64</v>
      </c>
      <c r="G88" s="9" t="s">
        <v>372</v>
      </c>
      <c r="H88" s="9" t="s">
        <v>157</v>
      </c>
      <c r="I88" s="9" t="s">
        <v>158</v>
      </c>
      <c r="J88" s="9" t="s">
        <v>203</v>
      </c>
      <c r="K88" s="9" t="s">
        <v>365</v>
      </c>
      <c r="L88" s="9" t="s">
        <v>366</v>
      </c>
      <c r="M88" s="9" t="s">
        <v>326</v>
      </c>
      <c r="N88" s="9" t="s">
        <v>367</v>
      </c>
      <c r="O88" s="9" t="s">
        <v>328</v>
      </c>
      <c r="P88" s="9" t="s">
        <v>144</v>
      </c>
      <c r="Q88" s="9" t="s">
        <v>329</v>
      </c>
      <c r="R88" s="9" t="s">
        <v>330</v>
      </c>
      <c r="S88" s="9" t="s">
        <v>331</v>
      </c>
      <c r="T88" s="9" t="s">
        <v>356</v>
      </c>
      <c r="U88" s="9" t="s">
        <v>194</v>
      </c>
      <c r="V88" s="9" t="s">
        <v>368</v>
      </c>
      <c r="W88" s="9" t="s">
        <v>334</v>
      </c>
      <c r="X88" s="9" t="s">
        <v>369</v>
      </c>
      <c r="Y88" s="9" t="s">
        <v>370</v>
      </c>
      <c r="Z88" s="9" t="s">
        <v>337</v>
      </c>
      <c r="AA88" s="9" t="s">
        <v>154</v>
      </c>
      <c r="AB88" s="19" t="n">
        <v>2750</v>
      </c>
      <c r="AC88" s="9"/>
      <c r="AD88" s="9"/>
      <c r="AE88" s="9" t="s">
        <v>373</v>
      </c>
    </row>
    <row r="89" customFormat="false" ht="21.75" hidden="false" customHeight="true" outlineLevel="0" collapsed="false">
      <c r="B89" s="14" t="n">
        <v>85</v>
      </c>
      <c r="C89" s="7" t="s">
        <v>41</v>
      </c>
      <c r="D89" s="7" t="s">
        <v>18</v>
      </c>
      <c r="E89" s="7" t="s">
        <v>84</v>
      </c>
      <c r="F89" s="7" t="s">
        <v>64</v>
      </c>
      <c r="G89" s="7" t="s">
        <v>374</v>
      </c>
      <c r="H89" s="7" t="s">
        <v>157</v>
      </c>
      <c r="I89" s="7" t="s">
        <v>158</v>
      </c>
      <c r="J89" s="7" t="s">
        <v>203</v>
      </c>
      <c r="K89" s="7" t="s">
        <v>365</v>
      </c>
      <c r="L89" s="7" t="s">
        <v>366</v>
      </c>
      <c r="M89" s="7" t="s">
        <v>326</v>
      </c>
      <c r="N89" s="7" t="s">
        <v>367</v>
      </c>
      <c r="O89" s="7" t="s">
        <v>328</v>
      </c>
      <c r="P89" s="7" t="s">
        <v>144</v>
      </c>
      <c r="Q89" s="7" t="s">
        <v>329</v>
      </c>
      <c r="R89" s="7" t="s">
        <v>330</v>
      </c>
      <c r="S89" s="7" t="s">
        <v>331</v>
      </c>
      <c r="T89" s="7" t="s">
        <v>356</v>
      </c>
      <c r="U89" s="7" t="s">
        <v>194</v>
      </c>
      <c r="V89" s="7" t="s">
        <v>368</v>
      </c>
      <c r="W89" s="7" t="s">
        <v>334</v>
      </c>
      <c r="X89" s="7" t="s">
        <v>369</v>
      </c>
      <c r="Y89" s="7" t="s">
        <v>370</v>
      </c>
      <c r="Z89" s="7" t="s">
        <v>337</v>
      </c>
      <c r="AA89" s="7" t="s">
        <v>154</v>
      </c>
      <c r="AB89" s="18" t="n">
        <v>4125</v>
      </c>
      <c r="AC89" s="7"/>
      <c r="AD89" s="7"/>
      <c r="AE89" s="7" t="s">
        <v>165</v>
      </c>
    </row>
    <row r="90" customFormat="false" ht="21.75" hidden="false" customHeight="true" outlineLevel="0" collapsed="false">
      <c r="B90" s="15" t="n">
        <v>86</v>
      </c>
      <c r="C90" s="9" t="s">
        <v>41</v>
      </c>
      <c r="D90" s="9" t="s">
        <v>18</v>
      </c>
      <c r="E90" s="9" t="s">
        <v>84</v>
      </c>
      <c r="F90" s="9" t="s">
        <v>64</v>
      </c>
      <c r="G90" s="9" t="s">
        <v>375</v>
      </c>
      <c r="H90" s="9" t="s">
        <v>163</v>
      </c>
      <c r="I90" s="9" t="s">
        <v>164</v>
      </c>
      <c r="J90" s="9" t="s">
        <v>203</v>
      </c>
      <c r="K90" s="9" t="s">
        <v>365</v>
      </c>
      <c r="L90" s="9" t="s">
        <v>366</v>
      </c>
      <c r="M90" s="9" t="s">
        <v>326</v>
      </c>
      <c r="N90" s="9" t="s">
        <v>367</v>
      </c>
      <c r="O90" s="9" t="s">
        <v>328</v>
      </c>
      <c r="P90" s="9" t="s">
        <v>144</v>
      </c>
      <c r="Q90" s="9" t="s">
        <v>329</v>
      </c>
      <c r="R90" s="9" t="s">
        <v>330</v>
      </c>
      <c r="S90" s="9" t="s">
        <v>331</v>
      </c>
      <c r="T90" s="9" t="s">
        <v>356</v>
      </c>
      <c r="U90" s="9" t="s">
        <v>194</v>
      </c>
      <c r="V90" s="9" t="s">
        <v>368</v>
      </c>
      <c r="W90" s="9" t="s">
        <v>334</v>
      </c>
      <c r="X90" s="9" t="s">
        <v>369</v>
      </c>
      <c r="Y90" s="9" t="s">
        <v>370</v>
      </c>
      <c r="Z90" s="9" t="s">
        <v>337</v>
      </c>
      <c r="AA90" s="9" t="s">
        <v>154</v>
      </c>
      <c r="AB90" s="19" t="n">
        <v>6050</v>
      </c>
      <c r="AC90" s="9"/>
      <c r="AD90" s="9"/>
      <c r="AE90" s="9" t="s">
        <v>167</v>
      </c>
    </row>
    <row r="91" customFormat="false" ht="21.75" hidden="false" customHeight="true" outlineLevel="0" collapsed="false">
      <c r="B91" s="14" t="n">
        <v>87</v>
      </c>
      <c r="C91" s="7" t="s">
        <v>41</v>
      </c>
      <c r="D91" s="7" t="s">
        <v>18</v>
      </c>
      <c r="E91" s="7" t="s">
        <v>84</v>
      </c>
      <c r="F91" s="7" t="s">
        <v>65</v>
      </c>
      <c r="G91" s="7" t="s">
        <v>376</v>
      </c>
      <c r="H91" s="7" t="s">
        <v>136</v>
      </c>
      <c r="I91" s="7" t="s">
        <v>137</v>
      </c>
      <c r="J91" s="7" t="s">
        <v>203</v>
      </c>
      <c r="K91" s="7" t="s">
        <v>377</v>
      </c>
      <c r="L91" s="7" t="s">
        <v>378</v>
      </c>
      <c r="M91" s="7" t="s">
        <v>326</v>
      </c>
      <c r="N91" s="7" t="s">
        <v>379</v>
      </c>
      <c r="O91" s="7" t="s">
        <v>328</v>
      </c>
      <c r="P91" s="7" t="s">
        <v>144</v>
      </c>
      <c r="Q91" s="7" t="s">
        <v>329</v>
      </c>
      <c r="R91" s="7" t="s">
        <v>330</v>
      </c>
      <c r="S91" s="7" t="s">
        <v>331</v>
      </c>
      <c r="T91" s="7" t="s">
        <v>223</v>
      </c>
      <c r="U91" s="7" t="s">
        <v>148</v>
      </c>
      <c r="V91" s="7" t="s">
        <v>380</v>
      </c>
      <c r="W91" s="7" t="s">
        <v>334</v>
      </c>
      <c r="X91" s="7" t="s">
        <v>381</v>
      </c>
      <c r="Y91" s="7" t="s">
        <v>182</v>
      </c>
      <c r="Z91" s="7" t="s">
        <v>337</v>
      </c>
      <c r="AA91" s="7" t="s">
        <v>223</v>
      </c>
      <c r="AB91" s="18" t="n">
        <v>950</v>
      </c>
      <c r="AC91" s="7"/>
      <c r="AD91" s="7"/>
      <c r="AE91" s="7" t="s">
        <v>155</v>
      </c>
    </row>
    <row r="92" customFormat="false" ht="21.75" hidden="false" customHeight="true" outlineLevel="0" collapsed="false">
      <c r="B92" s="15" t="n">
        <v>88</v>
      </c>
      <c r="C92" s="9" t="s">
        <v>41</v>
      </c>
      <c r="D92" s="9" t="s">
        <v>18</v>
      </c>
      <c r="E92" s="9" t="s">
        <v>84</v>
      </c>
      <c r="F92" s="9" t="s">
        <v>65</v>
      </c>
      <c r="G92" s="9" t="s">
        <v>382</v>
      </c>
      <c r="H92" s="9" t="s">
        <v>136</v>
      </c>
      <c r="I92" s="9" t="s">
        <v>137</v>
      </c>
      <c r="J92" s="9" t="s">
        <v>203</v>
      </c>
      <c r="K92" s="9" t="s">
        <v>377</v>
      </c>
      <c r="L92" s="9" t="s">
        <v>378</v>
      </c>
      <c r="M92" s="9" t="s">
        <v>326</v>
      </c>
      <c r="N92" s="9" t="s">
        <v>379</v>
      </c>
      <c r="O92" s="9" t="s">
        <v>328</v>
      </c>
      <c r="P92" s="9" t="s">
        <v>144</v>
      </c>
      <c r="Q92" s="9" t="s">
        <v>329</v>
      </c>
      <c r="R92" s="9" t="s">
        <v>330</v>
      </c>
      <c r="S92" s="9" t="s">
        <v>331</v>
      </c>
      <c r="T92" s="9" t="s">
        <v>223</v>
      </c>
      <c r="U92" s="9" t="s">
        <v>148</v>
      </c>
      <c r="V92" s="9" t="s">
        <v>380</v>
      </c>
      <c r="W92" s="9" t="s">
        <v>334</v>
      </c>
      <c r="X92" s="9" t="s">
        <v>381</v>
      </c>
      <c r="Y92" s="9" t="s">
        <v>182</v>
      </c>
      <c r="Z92" s="9" t="s">
        <v>337</v>
      </c>
      <c r="AA92" s="9" t="s">
        <v>223</v>
      </c>
      <c r="AB92" s="19" t="n">
        <v>1425</v>
      </c>
      <c r="AC92" s="9"/>
      <c r="AD92" s="9"/>
      <c r="AE92" s="9" t="s">
        <v>159</v>
      </c>
    </row>
    <row r="93" customFormat="false" ht="21.75" hidden="false" customHeight="true" outlineLevel="0" collapsed="false">
      <c r="B93" s="14" t="n">
        <v>89</v>
      </c>
      <c r="C93" s="7" t="s">
        <v>41</v>
      </c>
      <c r="D93" s="7" t="s">
        <v>18</v>
      </c>
      <c r="E93" s="7" t="s">
        <v>84</v>
      </c>
      <c r="F93" s="7" t="s">
        <v>65</v>
      </c>
      <c r="G93" s="7" t="s">
        <v>383</v>
      </c>
      <c r="H93" s="7" t="s">
        <v>157</v>
      </c>
      <c r="I93" s="7" t="s">
        <v>158</v>
      </c>
      <c r="J93" s="7" t="s">
        <v>203</v>
      </c>
      <c r="K93" s="7" t="s">
        <v>377</v>
      </c>
      <c r="L93" s="7" t="s">
        <v>378</v>
      </c>
      <c r="M93" s="7" t="s">
        <v>326</v>
      </c>
      <c r="N93" s="7" t="s">
        <v>379</v>
      </c>
      <c r="O93" s="7" t="s">
        <v>328</v>
      </c>
      <c r="P93" s="7" t="s">
        <v>144</v>
      </c>
      <c r="Q93" s="7" t="s">
        <v>329</v>
      </c>
      <c r="R93" s="7" t="s">
        <v>330</v>
      </c>
      <c r="S93" s="7" t="s">
        <v>331</v>
      </c>
      <c r="T93" s="7" t="s">
        <v>223</v>
      </c>
      <c r="U93" s="7" t="s">
        <v>148</v>
      </c>
      <c r="V93" s="7" t="s">
        <v>380</v>
      </c>
      <c r="W93" s="7" t="s">
        <v>334</v>
      </c>
      <c r="X93" s="7" t="s">
        <v>381</v>
      </c>
      <c r="Y93" s="7" t="s">
        <v>182</v>
      </c>
      <c r="Z93" s="7" t="s">
        <v>337</v>
      </c>
      <c r="AA93" s="7" t="s">
        <v>223</v>
      </c>
      <c r="AB93" s="18" t="n">
        <v>1900</v>
      </c>
      <c r="AC93" s="7"/>
      <c r="AD93" s="7"/>
      <c r="AE93" s="7" t="s">
        <v>384</v>
      </c>
    </row>
    <row r="94" customFormat="false" ht="21.75" hidden="false" customHeight="true" outlineLevel="0" collapsed="false">
      <c r="B94" s="15" t="n">
        <v>90</v>
      </c>
      <c r="C94" s="9" t="s">
        <v>41</v>
      </c>
      <c r="D94" s="9" t="s">
        <v>18</v>
      </c>
      <c r="E94" s="9" t="s">
        <v>84</v>
      </c>
      <c r="F94" s="9" t="s">
        <v>65</v>
      </c>
      <c r="G94" s="9" t="s">
        <v>385</v>
      </c>
      <c r="H94" s="9" t="s">
        <v>157</v>
      </c>
      <c r="I94" s="9" t="s">
        <v>158</v>
      </c>
      <c r="J94" s="9" t="s">
        <v>203</v>
      </c>
      <c r="K94" s="9" t="s">
        <v>377</v>
      </c>
      <c r="L94" s="9" t="s">
        <v>378</v>
      </c>
      <c r="M94" s="9" t="s">
        <v>326</v>
      </c>
      <c r="N94" s="9" t="s">
        <v>379</v>
      </c>
      <c r="O94" s="9" t="s">
        <v>328</v>
      </c>
      <c r="P94" s="9" t="s">
        <v>144</v>
      </c>
      <c r="Q94" s="9" t="s">
        <v>329</v>
      </c>
      <c r="R94" s="9" t="s">
        <v>330</v>
      </c>
      <c r="S94" s="9" t="s">
        <v>331</v>
      </c>
      <c r="T94" s="9" t="s">
        <v>223</v>
      </c>
      <c r="U94" s="9" t="s">
        <v>148</v>
      </c>
      <c r="V94" s="9" t="s">
        <v>380</v>
      </c>
      <c r="W94" s="9" t="s">
        <v>334</v>
      </c>
      <c r="X94" s="9" t="s">
        <v>381</v>
      </c>
      <c r="Y94" s="9" t="s">
        <v>182</v>
      </c>
      <c r="Z94" s="9" t="s">
        <v>337</v>
      </c>
      <c r="AA94" s="9" t="s">
        <v>223</v>
      </c>
      <c r="AB94" s="19" t="n">
        <v>2850</v>
      </c>
      <c r="AC94" s="9"/>
      <c r="AD94" s="9"/>
      <c r="AE94" s="9" t="s">
        <v>165</v>
      </c>
    </row>
    <row r="95" customFormat="false" ht="21.75" hidden="false" customHeight="true" outlineLevel="0" collapsed="false">
      <c r="B95" s="14" t="n">
        <v>91</v>
      </c>
      <c r="C95" s="7" t="s">
        <v>41</v>
      </c>
      <c r="D95" s="7" t="s">
        <v>18</v>
      </c>
      <c r="E95" s="7" t="s">
        <v>84</v>
      </c>
      <c r="F95" s="7" t="s">
        <v>65</v>
      </c>
      <c r="G95" s="7" t="s">
        <v>364</v>
      </c>
      <c r="H95" s="7" t="s">
        <v>163</v>
      </c>
      <c r="I95" s="7" t="s">
        <v>164</v>
      </c>
      <c r="J95" s="7" t="s">
        <v>203</v>
      </c>
      <c r="K95" s="7" t="s">
        <v>377</v>
      </c>
      <c r="L95" s="7" t="s">
        <v>378</v>
      </c>
      <c r="M95" s="7" t="s">
        <v>326</v>
      </c>
      <c r="N95" s="7" t="s">
        <v>379</v>
      </c>
      <c r="O95" s="7" t="s">
        <v>328</v>
      </c>
      <c r="P95" s="7" t="s">
        <v>144</v>
      </c>
      <c r="Q95" s="7" t="s">
        <v>329</v>
      </c>
      <c r="R95" s="7" t="s">
        <v>330</v>
      </c>
      <c r="S95" s="7" t="s">
        <v>331</v>
      </c>
      <c r="T95" s="7" t="s">
        <v>223</v>
      </c>
      <c r="U95" s="7" t="s">
        <v>148</v>
      </c>
      <c r="V95" s="7" t="s">
        <v>380</v>
      </c>
      <c r="W95" s="7" t="s">
        <v>334</v>
      </c>
      <c r="X95" s="7" t="s">
        <v>381</v>
      </c>
      <c r="Y95" s="7" t="s">
        <v>182</v>
      </c>
      <c r="Z95" s="7" t="s">
        <v>337</v>
      </c>
      <c r="AA95" s="7" t="s">
        <v>223</v>
      </c>
      <c r="AB95" s="18" t="n">
        <v>4180</v>
      </c>
      <c r="AC95" s="7"/>
      <c r="AD95" s="7"/>
      <c r="AE95" s="7" t="s">
        <v>167</v>
      </c>
    </row>
    <row r="96" customFormat="false" ht="21.75" hidden="false" customHeight="true" outlineLevel="0" collapsed="false">
      <c r="B96" s="15" t="n">
        <v>92</v>
      </c>
      <c r="C96" s="9" t="s">
        <v>41</v>
      </c>
      <c r="D96" s="9" t="s">
        <v>18</v>
      </c>
      <c r="E96" s="9" t="s">
        <v>84</v>
      </c>
      <c r="F96" s="9" t="s">
        <v>66</v>
      </c>
      <c r="G96" s="9" t="s">
        <v>386</v>
      </c>
      <c r="H96" s="9" t="s">
        <v>136</v>
      </c>
      <c r="I96" s="9" t="s">
        <v>137</v>
      </c>
      <c r="J96" s="9" t="s">
        <v>203</v>
      </c>
      <c r="K96" s="9" t="s">
        <v>217</v>
      </c>
      <c r="L96" s="9" t="s">
        <v>218</v>
      </c>
      <c r="M96" s="9" t="s">
        <v>326</v>
      </c>
      <c r="N96" s="9" t="s">
        <v>355</v>
      </c>
      <c r="O96" s="9" t="s">
        <v>328</v>
      </c>
      <c r="P96" s="9" t="s">
        <v>144</v>
      </c>
      <c r="Q96" s="9" t="s">
        <v>329</v>
      </c>
      <c r="R96" s="9" t="s">
        <v>330</v>
      </c>
      <c r="S96" s="9" t="s">
        <v>331</v>
      </c>
      <c r="T96" s="9" t="s">
        <v>223</v>
      </c>
      <c r="U96" s="9" t="s">
        <v>148</v>
      </c>
      <c r="V96" s="9" t="s">
        <v>387</v>
      </c>
      <c r="W96" s="9" t="s">
        <v>334</v>
      </c>
      <c r="X96" s="9" t="s">
        <v>388</v>
      </c>
      <c r="Y96" s="9" t="s">
        <v>389</v>
      </c>
      <c r="Z96" s="9" t="s">
        <v>337</v>
      </c>
      <c r="AA96" s="9" t="s">
        <v>223</v>
      </c>
      <c r="AB96" s="19" t="n">
        <v>320</v>
      </c>
      <c r="AC96" s="9"/>
      <c r="AD96" s="9"/>
      <c r="AE96" s="9" t="s">
        <v>155</v>
      </c>
    </row>
    <row r="97" customFormat="false" ht="21.75" hidden="false" customHeight="true" outlineLevel="0" collapsed="false">
      <c r="B97" s="14" t="n">
        <v>93</v>
      </c>
      <c r="C97" s="7" t="s">
        <v>41</v>
      </c>
      <c r="D97" s="7" t="s">
        <v>18</v>
      </c>
      <c r="E97" s="7" t="s">
        <v>84</v>
      </c>
      <c r="F97" s="7" t="s">
        <v>66</v>
      </c>
      <c r="G97" s="7" t="s">
        <v>390</v>
      </c>
      <c r="H97" s="7" t="s">
        <v>157</v>
      </c>
      <c r="I97" s="7" t="s">
        <v>158</v>
      </c>
      <c r="J97" s="7" t="s">
        <v>203</v>
      </c>
      <c r="K97" s="7" t="s">
        <v>217</v>
      </c>
      <c r="L97" s="7" t="s">
        <v>218</v>
      </c>
      <c r="M97" s="7" t="s">
        <v>326</v>
      </c>
      <c r="N97" s="7" t="s">
        <v>355</v>
      </c>
      <c r="O97" s="7" t="s">
        <v>328</v>
      </c>
      <c r="P97" s="7" t="s">
        <v>144</v>
      </c>
      <c r="Q97" s="7" t="s">
        <v>329</v>
      </c>
      <c r="R97" s="7" t="s">
        <v>330</v>
      </c>
      <c r="S97" s="7" t="s">
        <v>331</v>
      </c>
      <c r="T97" s="7" t="s">
        <v>223</v>
      </c>
      <c r="U97" s="7" t="s">
        <v>148</v>
      </c>
      <c r="V97" s="7" t="s">
        <v>387</v>
      </c>
      <c r="W97" s="7" t="s">
        <v>334</v>
      </c>
      <c r="X97" s="7" t="s">
        <v>388</v>
      </c>
      <c r="Y97" s="7" t="s">
        <v>389</v>
      </c>
      <c r="Z97" s="7" t="s">
        <v>337</v>
      </c>
      <c r="AA97" s="7" t="s">
        <v>223</v>
      </c>
      <c r="AB97" s="18" t="n">
        <v>480</v>
      </c>
      <c r="AC97" s="7"/>
      <c r="AD97" s="7"/>
      <c r="AE97" s="7" t="s">
        <v>159</v>
      </c>
    </row>
    <row r="98" customFormat="false" ht="21.75" hidden="false" customHeight="true" outlineLevel="0" collapsed="false">
      <c r="B98" s="15" t="n">
        <v>94</v>
      </c>
      <c r="C98" s="9" t="s">
        <v>41</v>
      </c>
      <c r="D98" s="9" t="s">
        <v>18</v>
      </c>
      <c r="E98" s="9" t="s">
        <v>84</v>
      </c>
      <c r="F98" s="9" t="s">
        <v>66</v>
      </c>
      <c r="G98" s="9" t="s">
        <v>391</v>
      </c>
      <c r="H98" s="9" t="s">
        <v>157</v>
      </c>
      <c r="I98" s="9" t="s">
        <v>158</v>
      </c>
      <c r="J98" s="9" t="s">
        <v>203</v>
      </c>
      <c r="K98" s="9" t="s">
        <v>217</v>
      </c>
      <c r="L98" s="9" t="s">
        <v>218</v>
      </c>
      <c r="M98" s="9" t="s">
        <v>326</v>
      </c>
      <c r="N98" s="9" t="s">
        <v>355</v>
      </c>
      <c r="O98" s="9" t="s">
        <v>328</v>
      </c>
      <c r="P98" s="9" t="s">
        <v>144</v>
      </c>
      <c r="Q98" s="9" t="s">
        <v>329</v>
      </c>
      <c r="R98" s="9" t="s">
        <v>330</v>
      </c>
      <c r="S98" s="9" t="s">
        <v>331</v>
      </c>
      <c r="T98" s="9" t="s">
        <v>223</v>
      </c>
      <c r="U98" s="9" t="s">
        <v>148</v>
      </c>
      <c r="V98" s="9" t="s">
        <v>387</v>
      </c>
      <c r="W98" s="9" t="s">
        <v>334</v>
      </c>
      <c r="X98" s="9" t="s">
        <v>388</v>
      </c>
      <c r="Y98" s="9" t="s">
        <v>389</v>
      </c>
      <c r="Z98" s="9" t="s">
        <v>337</v>
      </c>
      <c r="AA98" s="9" t="s">
        <v>223</v>
      </c>
      <c r="AB98" s="19" t="n">
        <v>640</v>
      </c>
      <c r="AC98" s="9"/>
      <c r="AD98" s="9"/>
      <c r="AE98" s="9" t="s">
        <v>392</v>
      </c>
    </row>
    <row r="99" customFormat="false" ht="21.75" hidden="false" customHeight="true" outlineLevel="0" collapsed="false">
      <c r="B99" s="14" t="n">
        <v>95</v>
      </c>
      <c r="C99" s="7" t="s">
        <v>41</v>
      </c>
      <c r="D99" s="7" t="s">
        <v>18</v>
      </c>
      <c r="E99" s="7" t="s">
        <v>84</v>
      </c>
      <c r="F99" s="7" t="s">
        <v>66</v>
      </c>
      <c r="G99" s="7" t="s">
        <v>393</v>
      </c>
      <c r="H99" s="7" t="s">
        <v>163</v>
      </c>
      <c r="I99" s="7" t="s">
        <v>164</v>
      </c>
      <c r="J99" s="7" t="s">
        <v>203</v>
      </c>
      <c r="K99" s="7" t="s">
        <v>217</v>
      </c>
      <c r="L99" s="7" t="s">
        <v>218</v>
      </c>
      <c r="M99" s="7" t="s">
        <v>326</v>
      </c>
      <c r="N99" s="7" t="s">
        <v>355</v>
      </c>
      <c r="O99" s="7" t="s">
        <v>328</v>
      </c>
      <c r="P99" s="7" t="s">
        <v>144</v>
      </c>
      <c r="Q99" s="7" t="s">
        <v>329</v>
      </c>
      <c r="R99" s="7" t="s">
        <v>330</v>
      </c>
      <c r="S99" s="7" t="s">
        <v>331</v>
      </c>
      <c r="T99" s="7" t="s">
        <v>223</v>
      </c>
      <c r="U99" s="7" t="s">
        <v>148</v>
      </c>
      <c r="V99" s="7" t="s">
        <v>387</v>
      </c>
      <c r="W99" s="7" t="s">
        <v>334</v>
      </c>
      <c r="X99" s="7" t="s">
        <v>388</v>
      </c>
      <c r="Y99" s="7" t="s">
        <v>389</v>
      </c>
      <c r="Z99" s="7" t="s">
        <v>337</v>
      </c>
      <c r="AA99" s="7" t="s">
        <v>223</v>
      </c>
      <c r="AB99" s="18" t="n">
        <v>960</v>
      </c>
      <c r="AC99" s="7"/>
      <c r="AD99" s="7"/>
      <c r="AE99" s="7" t="s">
        <v>165</v>
      </c>
    </row>
    <row r="100" customFormat="false" ht="21.75" hidden="false" customHeight="true" outlineLevel="0" collapsed="false">
      <c r="B100" s="15" t="n">
        <v>96</v>
      </c>
      <c r="C100" s="9" t="s">
        <v>41</v>
      </c>
      <c r="D100" s="9" t="s">
        <v>18</v>
      </c>
      <c r="E100" s="9" t="s">
        <v>84</v>
      </c>
      <c r="F100" s="9" t="s">
        <v>66</v>
      </c>
      <c r="G100" s="9" t="s">
        <v>394</v>
      </c>
      <c r="H100" s="9" t="s">
        <v>163</v>
      </c>
      <c r="I100" s="9" t="s">
        <v>164</v>
      </c>
      <c r="J100" s="9" t="s">
        <v>203</v>
      </c>
      <c r="K100" s="9" t="s">
        <v>217</v>
      </c>
      <c r="L100" s="9" t="s">
        <v>218</v>
      </c>
      <c r="M100" s="9" t="s">
        <v>326</v>
      </c>
      <c r="N100" s="9" t="s">
        <v>355</v>
      </c>
      <c r="O100" s="9" t="s">
        <v>328</v>
      </c>
      <c r="P100" s="9" t="s">
        <v>144</v>
      </c>
      <c r="Q100" s="9" t="s">
        <v>329</v>
      </c>
      <c r="R100" s="9" t="s">
        <v>330</v>
      </c>
      <c r="S100" s="9" t="s">
        <v>331</v>
      </c>
      <c r="T100" s="9" t="s">
        <v>223</v>
      </c>
      <c r="U100" s="9" t="s">
        <v>148</v>
      </c>
      <c r="V100" s="9" t="s">
        <v>387</v>
      </c>
      <c r="W100" s="9" t="s">
        <v>334</v>
      </c>
      <c r="X100" s="9" t="s">
        <v>388</v>
      </c>
      <c r="Y100" s="9" t="s">
        <v>389</v>
      </c>
      <c r="Z100" s="9" t="s">
        <v>337</v>
      </c>
      <c r="AA100" s="9" t="s">
        <v>223</v>
      </c>
      <c r="AB100" s="19" t="n">
        <v>1410</v>
      </c>
      <c r="AC100" s="9"/>
      <c r="AD100" s="9"/>
      <c r="AE100" s="9" t="s">
        <v>167</v>
      </c>
    </row>
    <row r="101" customFormat="false" ht="21.75" hidden="false" customHeight="true" outlineLevel="0" collapsed="false">
      <c r="B101" s="14" t="n">
        <v>97</v>
      </c>
      <c r="C101" s="7" t="s">
        <v>41</v>
      </c>
      <c r="D101" s="7" t="s">
        <v>18</v>
      </c>
      <c r="E101" s="7" t="s">
        <v>84</v>
      </c>
      <c r="F101" s="7" t="s">
        <v>67</v>
      </c>
      <c r="G101" s="7" t="s">
        <v>395</v>
      </c>
      <c r="H101" s="7" t="s">
        <v>230</v>
      </c>
      <c r="I101" s="7" t="s">
        <v>231</v>
      </c>
      <c r="J101" s="7" t="s">
        <v>396</v>
      </c>
      <c r="K101" s="7" t="s">
        <v>233</v>
      </c>
      <c r="L101" s="7" t="s">
        <v>281</v>
      </c>
      <c r="M101" s="7" t="s">
        <v>116</v>
      </c>
      <c r="N101" s="7" t="s">
        <v>397</v>
      </c>
      <c r="O101" s="7" t="s">
        <v>328</v>
      </c>
      <c r="P101" s="7" t="s">
        <v>144</v>
      </c>
      <c r="Q101" s="7" t="s">
        <v>329</v>
      </c>
      <c r="R101" s="7" t="s">
        <v>330</v>
      </c>
      <c r="S101" s="7" t="s">
        <v>331</v>
      </c>
      <c r="T101" s="7" t="s">
        <v>398</v>
      </c>
      <c r="U101" s="7" t="s">
        <v>148</v>
      </c>
      <c r="V101" s="7" t="s">
        <v>344</v>
      </c>
      <c r="W101" s="7" t="s">
        <v>334</v>
      </c>
      <c r="X101" s="7" t="s">
        <v>399</v>
      </c>
      <c r="Y101" s="7" t="s">
        <v>400</v>
      </c>
      <c r="Z101" s="7" t="s">
        <v>337</v>
      </c>
      <c r="AA101" s="7" t="s">
        <v>154</v>
      </c>
      <c r="AB101" s="18" t="n">
        <v>875</v>
      </c>
      <c r="AC101" s="7"/>
      <c r="AD101" s="7"/>
      <c r="AE101" s="7" t="s">
        <v>155</v>
      </c>
    </row>
    <row r="102" customFormat="false" ht="21.75" hidden="false" customHeight="true" outlineLevel="0" collapsed="false">
      <c r="B102" s="15" t="n">
        <v>98</v>
      </c>
      <c r="C102" s="9" t="s">
        <v>41</v>
      </c>
      <c r="D102" s="9" t="s">
        <v>18</v>
      </c>
      <c r="E102" s="9" t="s">
        <v>84</v>
      </c>
      <c r="F102" s="9" t="s">
        <v>67</v>
      </c>
      <c r="G102" s="9" t="s">
        <v>401</v>
      </c>
      <c r="H102" s="9" t="s">
        <v>230</v>
      </c>
      <c r="I102" s="9" t="s">
        <v>231</v>
      </c>
      <c r="J102" s="9" t="s">
        <v>396</v>
      </c>
      <c r="K102" s="9" t="s">
        <v>233</v>
      </c>
      <c r="L102" s="9" t="s">
        <v>281</v>
      </c>
      <c r="M102" s="9" t="s">
        <v>116</v>
      </c>
      <c r="N102" s="9" t="s">
        <v>397</v>
      </c>
      <c r="O102" s="9" t="s">
        <v>328</v>
      </c>
      <c r="P102" s="9" t="s">
        <v>144</v>
      </c>
      <c r="Q102" s="9" t="s">
        <v>329</v>
      </c>
      <c r="R102" s="9" t="s">
        <v>330</v>
      </c>
      <c r="S102" s="9" t="s">
        <v>331</v>
      </c>
      <c r="T102" s="9" t="s">
        <v>398</v>
      </c>
      <c r="U102" s="9" t="s">
        <v>148</v>
      </c>
      <c r="V102" s="9" t="s">
        <v>344</v>
      </c>
      <c r="W102" s="9" t="s">
        <v>334</v>
      </c>
      <c r="X102" s="9" t="s">
        <v>399</v>
      </c>
      <c r="Y102" s="9" t="s">
        <v>400</v>
      </c>
      <c r="Z102" s="9" t="s">
        <v>337</v>
      </c>
      <c r="AA102" s="9" t="s">
        <v>154</v>
      </c>
      <c r="AB102" s="19" t="n">
        <v>1310</v>
      </c>
      <c r="AC102" s="9"/>
      <c r="AD102" s="9"/>
      <c r="AE102" s="9" t="s">
        <v>159</v>
      </c>
    </row>
    <row r="103" customFormat="false" ht="21.75" hidden="false" customHeight="true" outlineLevel="0" collapsed="false">
      <c r="B103" s="14" t="n">
        <v>99</v>
      </c>
      <c r="C103" s="7" t="s">
        <v>41</v>
      </c>
      <c r="D103" s="7" t="s">
        <v>18</v>
      </c>
      <c r="E103" s="7" t="s">
        <v>84</v>
      </c>
      <c r="F103" s="7" t="s">
        <v>67</v>
      </c>
      <c r="G103" s="7" t="s">
        <v>402</v>
      </c>
      <c r="H103" s="7" t="s">
        <v>240</v>
      </c>
      <c r="I103" s="7" t="s">
        <v>241</v>
      </c>
      <c r="J103" s="7" t="s">
        <v>396</v>
      </c>
      <c r="K103" s="7" t="s">
        <v>233</v>
      </c>
      <c r="L103" s="7" t="s">
        <v>281</v>
      </c>
      <c r="M103" s="7" t="s">
        <v>116</v>
      </c>
      <c r="N103" s="7" t="s">
        <v>397</v>
      </c>
      <c r="O103" s="7" t="s">
        <v>328</v>
      </c>
      <c r="P103" s="7" t="s">
        <v>144</v>
      </c>
      <c r="Q103" s="7" t="s">
        <v>329</v>
      </c>
      <c r="R103" s="7" t="s">
        <v>330</v>
      </c>
      <c r="S103" s="7" t="s">
        <v>331</v>
      </c>
      <c r="T103" s="7" t="s">
        <v>398</v>
      </c>
      <c r="U103" s="7" t="s">
        <v>148</v>
      </c>
      <c r="V103" s="7" t="s">
        <v>344</v>
      </c>
      <c r="W103" s="7" t="s">
        <v>334</v>
      </c>
      <c r="X103" s="7" t="s">
        <v>399</v>
      </c>
      <c r="Y103" s="7" t="s">
        <v>400</v>
      </c>
      <c r="Z103" s="7" t="s">
        <v>337</v>
      </c>
      <c r="AA103" s="7" t="s">
        <v>154</v>
      </c>
      <c r="AB103" s="18" t="n">
        <v>1750</v>
      </c>
      <c r="AC103" s="7"/>
      <c r="AD103" s="7"/>
      <c r="AE103" s="7" t="s">
        <v>403</v>
      </c>
    </row>
    <row r="104" customFormat="false" ht="21.75" hidden="false" customHeight="true" outlineLevel="0" collapsed="false">
      <c r="B104" s="15" t="n">
        <v>100</v>
      </c>
      <c r="C104" s="9" t="s">
        <v>41</v>
      </c>
      <c r="D104" s="9" t="s">
        <v>18</v>
      </c>
      <c r="E104" s="9" t="s">
        <v>84</v>
      </c>
      <c r="F104" s="9" t="s">
        <v>67</v>
      </c>
      <c r="G104" s="9" t="s">
        <v>404</v>
      </c>
      <c r="H104" s="9" t="s">
        <v>240</v>
      </c>
      <c r="I104" s="9" t="s">
        <v>241</v>
      </c>
      <c r="J104" s="9" t="s">
        <v>396</v>
      </c>
      <c r="K104" s="9" t="s">
        <v>233</v>
      </c>
      <c r="L104" s="9" t="s">
        <v>281</v>
      </c>
      <c r="M104" s="9" t="s">
        <v>116</v>
      </c>
      <c r="N104" s="9" t="s">
        <v>397</v>
      </c>
      <c r="O104" s="9" t="s">
        <v>328</v>
      </c>
      <c r="P104" s="9" t="s">
        <v>144</v>
      </c>
      <c r="Q104" s="9" t="s">
        <v>329</v>
      </c>
      <c r="R104" s="9" t="s">
        <v>330</v>
      </c>
      <c r="S104" s="9" t="s">
        <v>331</v>
      </c>
      <c r="T104" s="9" t="s">
        <v>398</v>
      </c>
      <c r="U104" s="9" t="s">
        <v>148</v>
      </c>
      <c r="V104" s="9" t="s">
        <v>344</v>
      </c>
      <c r="W104" s="9" t="s">
        <v>334</v>
      </c>
      <c r="X104" s="9" t="s">
        <v>399</v>
      </c>
      <c r="Y104" s="9" t="s">
        <v>400</v>
      </c>
      <c r="Z104" s="9" t="s">
        <v>337</v>
      </c>
      <c r="AA104" s="9" t="s">
        <v>154</v>
      </c>
      <c r="AB104" s="19" t="n">
        <v>2625</v>
      </c>
      <c r="AC104" s="9"/>
      <c r="AD104" s="9"/>
      <c r="AE104" s="9" t="s">
        <v>165</v>
      </c>
    </row>
    <row r="105" customFormat="false" ht="21.75" hidden="false" customHeight="true" outlineLevel="0" collapsed="false">
      <c r="B105" s="14" t="n">
        <v>101</v>
      </c>
      <c r="C105" s="7" t="s">
        <v>41</v>
      </c>
      <c r="D105" s="7" t="s">
        <v>18</v>
      </c>
      <c r="E105" s="7" t="s">
        <v>84</v>
      </c>
      <c r="F105" s="7" t="s">
        <v>67</v>
      </c>
      <c r="G105" s="7" t="s">
        <v>405</v>
      </c>
      <c r="H105" s="7" t="s">
        <v>240</v>
      </c>
      <c r="I105" s="7" t="s">
        <v>241</v>
      </c>
      <c r="J105" s="7" t="s">
        <v>396</v>
      </c>
      <c r="K105" s="7" t="s">
        <v>233</v>
      </c>
      <c r="L105" s="7" t="s">
        <v>281</v>
      </c>
      <c r="M105" s="7" t="s">
        <v>116</v>
      </c>
      <c r="N105" s="7" t="s">
        <v>397</v>
      </c>
      <c r="O105" s="7" t="s">
        <v>328</v>
      </c>
      <c r="P105" s="7" t="s">
        <v>144</v>
      </c>
      <c r="Q105" s="7" t="s">
        <v>329</v>
      </c>
      <c r="R105" s="7" t="s">
        <v>330</v>
      </c>
      <c r="S105" s="7" t="s">
        <v>331</v>
      </c>
      <c r="T105" s="7" t="s">
        <v>398</v>
      </c>
      <c r="U105" s="7" t="s">
        <v>148</v>
      </c>
      <c r="V105" s="7" t="s">
        <v>344</v>
      </c>
      <c r="W105" s="7" t="s">
        <v>334</v>
      </c>
      <c r="X105" s="7" t="s">
        <v>399</v>
      </c>
      <c r="Y105" s="7" t="s">
        <v>400</v>
      </c>
      <c r="Z105" s="7" t="s">
        <v>337</v>
      </c>
      <c r="AA105" s="7" t="s">
        <v>154</v>
      </c>
      <c r="AB105" s="18" t="n">
        <v>3850</v>
      </c>
      <c r="AC105" s="7"/>
      <c r="AD105" s="7"/>
      <c r="AE105" s="7" t="s">
        <v>167</v>
      </c>
    </row>
    <row r="106" customFormat="false" ht="21.75" hidden="false" customHeight="true" outlineLevel="0" collapsed="false">
      <c r="B106" s="15" t="n">
        <v>102</v>
      </c>
      <c r="C106" s="9" t="s">
        <v>41</v>
      </c>
      <c r="D106" s="9" t="s">
        <v>18</v>
      </c>
      <c r="E106" s="9" t="s">
        <v>84</v>
      </c>
      <c r="F106" s="9" t="s">
        <v>68</v>
      </c>
      <c r="G106" s="9" t="s">
        <v>406</v>
      </c>
      <c r="H106" s="9" t="s">
        <v>246</v>
      </c>
      <c r="I106" s="9" t="s">
        <v>247</v>
      </c>
      <c r="J106" s="9" t="s">
        <v>407</v>
      </c>
      <c r="K106" s="9" t="s">
        <v>249</v>
      </c>
      <c r="L106" s="9" t="s">
        <v>169</v>
      </c>
      <c r="M106" s="9" t="s">
        <v>116</v>
      </c>
      <c r="N106" s="9" t="s">
        <v>408</v>
      </c>
      <c r="O106" s="9" t="s">
        <v>328</v>
      </c>
      <c r="P106" s="9" t="s">
        <v>144</v>
      </c>
      <c r="Q106" s="9" t="s">
        <v>329</v>
      </c>
      <c r="R106" s="9" t="s">
        <v>330</v>
      </c>
      <c r="S106" s="9" t="s">
        <v>331</v>
      </c>
      <c r="T106" s="9" t="s">
        <v>147</v>
      </c>
      <c r="U106" s="9" t="s">
        <v>194</v>
      </c>
      <c r="V106" s="9" t="s">
        <v>368</v>
      </c>
      <c r="W106" s="9" t="s">
        <v>334</v>
      </c>
      <c r="X106" s="9" t="s">
        <v>409</v>
      </c>
      <c r="Y106" s="9" t="s">
        <v>410</v>
      </c>
      <c r="Z106" s="9" t="s">
        <v>337</v>
      </c>
      <c r="AA106" s="9" t="s">
        <v>154</v>
      </c>
      <c r="AB106" s="19" t="n">
        <v>1950</v>
      </c>
      <c r="AC106" s="9"/>
      <c r="AD106" s="9"/>
      <c r="AE106" s="9" t="s">
        <v>155</v>
      </c>
    </row>
    <row r="107" customFormat="false" ht="21.75" hidden="false" customHeight="true" outlineLevel="0" collapsed="false">
      <c r="B107" s="14" t="n">
        <v>103</v>
      </c>
      <c r="C107" s="7" t="s">
        <v>41</v>
      </c>
      <c r="D107" s="7" t="s">
        <v>18</v>
      </c>
      <c r="E107" s="7" t="s">
        <v>84</v>
      </c>
      <c r="F107" s="7" t="s">
        <v>68</v>
      </c>
      <c r="G107" s="7" t="s">
        <v>411</v>
      </c>
      <c r="H107" s="7" t="s">
        <v>254</v>
      </c>
      <c r="I107" s="7" t="s">
        <v>255</v>
      </c>
      <c r="J107" s="7" t="s">
        <v>407</v>
      </c>
      <c r="K107" s="7" t="s">
        <v>249</v>
      </c>
      <c r="L107" s="7" t="s">
        <v>169</v>
      </c>
      <c r="M107" s="7" t="s">
        <v>116</v>
      </c>
      <c r="N107" s="7" t="s">
        <v>408</v>
      </c>
      <c r="O107" s="7" t="s">
        <v>328</v>
      </c>
      <c r="P107" s="7" t="s">
        <v>144</v>
      </c>
      <c r="Q107" s="7" t="s">
        <v>329</v>
      </c>
      <c r="R107" s="7" t="s">
        <v>330</v>
      </c>
      <c r="S107" s="7" t="s">
        <v>331</v>
      </c>
      <c r="T107" s="7" t="s">
        <v>147</v>
      </c>
      <c r="U107" s="7" t="s">
        <v>194</v>
      </c>
      <c r="V107" s="7" t="s">
        <v>368</v>
      </c>
      <c r="W107" s="7" t="s">
        <v>334</v>
      </c>
      <c r="X107" s="7" t="s">
        <v>409</v>
      </c>
      <c r="Y107" s="7" t="s">
        <v>410</v>
      </c>
      <c r="Z107" s="7" t="s">
        <v>337</v>
      </c>
      <c r="AA107" s="7" t="s">
        <v>154</v>
      </c>
      <c r="AB107" s="18" t="n">
        <v>2925</v>
      </c>
      <c r="AC107" s="7"/>
      <c r="AD107" s="7"/>
      <c r="AE107" s="7" t="s">
        <v>159</v>
      </c>
    </row>
    <row r="108" customFormat="false" ht="21.75" hidden="false" customHeight="true" outlineLevel="0" collapsed="false">
      <c r="B108" s="15" t="n">
        <v>104</v>
      </c>
      <c r="C108" s="9" t="s">
        <v>41</v>
      </c>
      <c r="D108" s="9" t="s">
        <v>18</v>
      </c>
      <c r="E108" s="9" t="s">
        <v>84</v>
      </c>
      <c r="F108" s="9" t="s">
        <v>68</v>
      </c>
      <c r="G108" s="9" t="s">
        <v>412</v>
      </c>
      <c r="H108" s="9" t="s">
        <v>257</v>
      </c>
      <c r="I108" s="9" t="s">
        <v>258</v>
      </c>
      <c r="J108" s="9" t="s">
        <v>407</v>
      </c>
      <c r="K108" s="9" t="s">
        <v>249</v>
      </c>
      <c r="L108" s="9" t="s">
        <v>169</v>
      </c>
      <c r="M108" s="9" t="s">
        <v>116</v>
      </c>
      <c r="N108" s="9" t="s">
        <v>408</v>
      </c>
      <c r="O108" s="9" t="s">
        <v>328</v>
      </c>
      <c r="P108" s="9" t="s">
        <v>144</v>
      </c>
      <c r="Q108" s="9" t="s">
        <v>329</v>
      </c>
      <c r="R108" s="9" t="s">
        <v>330</v>
      </c>
      <c r="S108" s="9" t="s">
        <v>331</v>
      </c>
      <c r="T108" s="9" t="s">
        <v>147</v>
      </c>
      <c r="U108" s="9" t="s">
        <v>194</v>
      </c>
      <c r="V108" s="9" t="s">
        <v>368</v>
      </c>
      <c r="W108" s="9" t="s">
        <v>334</v>
      </c>
      <c r="X108" s="9" t="s">
        <v>409</v>
      </c>
      <c r="Y108" s="9" t="s">
        <v>410</v>
      </c>
      <c r="Z108" s="9" t="s">
        <v>337</v>
      </c>
      <c r="AA108" s="9" t="s">
        <v>154</v>
      </c>
      <c r="AB108" s="19" t="n">
        <v>3900</v>
      </c>
      <c r="AC108" s="9"/>
      <c r="AD108" s="9"/>
      <c r="AE108" s="9" t="s">
        <v>413</v>
      </c>
    </row>
    <row r="109" customFormat="false" ht="21.75" hidden="false" customHeight="true" outlineLevel="0" collapsed="false">
      <c r="B109" s="14" t="n">
        <v>105</v>
      </c>
      <c r="C109" s="7" t="s">
        <v>41</v>
      </c>
      <c r="D109" s="7" t="s">
        <v>18</v>
      </c>
      <c r="E109" s="7" t="s">
        <v>84</v>
      </c>
      <c r="F109" s="7" t="s">
        <v>68</v>
      </c>
      <c r="G109" s="7" t="s">
        <v>414</v>
      </c>
      <c r="H109" s="7" t="s">
        <v>257</v>
      </c>
      <c r="I109" s="7" t="s">
        <v>258</v>
      </c>
      <c r="J109" s="7" t="s">
        <v>407</v>
      </c>
      <c r="K109" s="7" t="s">
        <v>249</v>
      </c>
      <c r="L109" s="7" t="s">
        <v>169</v>
      </c>
      <c r="M109" s="7" t="s">
        <v>116</v>
      </c>
      <c r="N109" s="7" t="s">
        <v>408</v>
      </c>
      <c r="O109" s="7" t="s">
        <v>328</v>
      </c>
      <c r="P109" s="7" t="s">
        <v>144</v>
      </c>
      <c r="Q109" s="7" t="s">
        <v>329</v>
      </c>
      <c r="R109" s="7" t="s">
        <v>330</v>
      </c>
      <c r="S109" s="7" t="s">
        <v>331</v>
      </c>
      <c r="T109" s="7" t="s">
        <v>147</v>
      </c>
      <c r="U109" s="7" t="s">
        <v>194</v>
      </c>
      <c r="V109" s="7" t="s">
        <v>368</v>
      </c>
      <c r="W109" s="7" t="s">
        <v>334</v>
      </c>
      <c r="X109" s="7" t="s">
        <v>409</v>
      </c>
      <c r="Y109" s="7" t="s">
        <v>410</v>
      </c>
      <c r="Z109" s="7" t="s">
        <v>337</v>
      </c>
      <c r="AA109" s="7" t="s">
        <v>154</v>
      </c>
      <c r="AB109" s="18" t="n">
        <v>5850</v>
      </c>
      <c r="AC109" s="7"/>
      <c r="AD109" s="7"/>
      <c r="AE109" s="7" t="s">
        <v>165</v>
      </c>
    </row>
    <row r="110" customFormat="false" ht="21.75" hidden="false" customHeight="true" outlineLevel="0" collapsed="false">
      <c r="B110" s="15" t="n">
        <v>106</v>
      </c>
      <c r="C110" s="9" t="s">
        <v>41</v>
      </c>
      <c r="D110" s="9" t="s">
        <v>18</v>
      </c>
      <c r="E110" s="9" t="s">
        <v>84</v>
      </c>
      <c r="F110" s="9" t="s">
        <v>68</v>
      </c>
      <c r="G110" s="9" t="s">
        <v>415</v>
      </c>
      <c r="H110" s="9" t="s">
        <v>262</v>
      </c>
      <c r="I110" s="9" t="s">
        <v>263</v>
      </c>
      <c r="J110" s="9" t="s">
        <v>407</v>
      </c>
      <c r="K110" s="9" t="s">
        <v>249</v>
      </c>
      <c r="L110" s="9" t="s">
        <v>169</v>
      </c>
      <c r="M110" s="9" t="s">
        <v>116</v>
      </c>
      <c r="N110" s="9" t="s">
        <v>408</v>
      </c>
      <c r="O110" s="9" t="s">
        <v>328</v>
      </c>
      <c r="P110" s="9" t="s">
        <v>144</v>
      </c>
      <c r="Q110" s="9" t="s">
        <v>329</v>
      </c>
      <c r="R110" s="9" t="s">
        <v>330</v>
      </c>
      <c r="S110" s="9" t="s">
        <v>331</v>
      </c>
      <c r="T110" s="9" t="s">
        <v>147</v>
      </c>
      <c r="U110" s="9" t="s">
        <v>194</v>
      </c>
      <c r="V110" s="9" t="s">
        <v>368</v>
      </c>
      <c r="W110" s="9" t="s">
        <v>334</v>
      </c>
      <c r="X110" s="9" t="s">
        <v>409</v>
      </c>
      <c r="Y110" s="9" t="s">
        <v>410</v>
      </c>
      <c r="Z110" s="9" t="s">
        <v>337</v>
      </c>
      <c r="AA110" s="9" t="s">
        <v>154</v>
      </c>
      <c r="AB110" s="19" t="n">
        <v>8580</v>
      </c>
      <c r="AC110" s="9"/>
      <c r="AD110" s="9"/>
      <c r="AE110" s="9" t="s">
        <v>167</v>
      </c>
    </row>
    <row r="111" customFormat="false" ht="21.75" hidden="false" customHeight="true" outlineLevel="0" collapsed="false">
      <c r="B111" s="14" t="n">
        <v>107</v>
      </c>
      <c r="C111" s="7" t="s">
        <v>41</v>
      </c>
      <c r="D111" s="7" t="s">
        <v>18</v>
      </c>
      <c r="E111" s="7" t="s">
        <v>84</v>
      </c>
      <c r="F111" s="7" t="s">
        <v>69</v>
      </c>
      <c r="G111" s="7" t="s">
        <v>321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18"/>
      <c r="AC111" s="7"/>
      <c r="AD111" s="7"/>
      <c r="AE111" s="7" t="s">
        <v>416</v>
      </c>
    </row>
    <row r="112" customFormat="false" ht="21.75" hidden="false" customHeight="true" outlineLevel="0" collapsed="false">
      <c r="B112" s="15" t="n">
        <v>108</v>
      </c>
      <c r="C112" s="9" t="s">
        <v>41</v>
      </c>
      <c r="D112" s="9" t="s">
        <v>18</v>
      </c>
      <c r="E112" s="9" t="s">
        <v>84</v>
      </c>
      <c r="F112" s="9" t="s">
        <v>70</v>
      </c>
      <c r="G112" s="9" t="s">
        <v>417</v>
      </c>
      <c r="H112" s="9" t="s">
        <v>276</v>
      </c>
      <c r="I112" s="9" t="s">
        <v>277</v>
      </c>
      <c r="J112" s="9" t="s">
        <v>278</v>
      </c>
      <c r="K112" s="9" t="s">
        <v>418</v>
      </c>
      <c r="L112" s="9" t="s">
        <v>419</v>
      </c>
      <c r="M112" s="9" t="s">
        <v>281</v>
      </c>
      <c r="N112" s="9" t="s">
        <v>420</v>
      </c>
      <c r="O112" s="9" t="s">
        <v>328</v>
      </c>
      <c r="P112" s="9" t="s">
        <v>144</v>
      </c>
      <c r="Q112" s="9" t="s">
        <v>329</v>
      </c>
      <c r="R112" s="9" t="s">
        <v>330</v>
      </c>
      <c r="S112" s="9" t="s">
        <v>331</v>
      </c>
      <c r="T112" s="9" t="s">
        <v>147</v>
      </c>
      <c r="U112" s="9" t="s">
        <v>194</v>
      </c>
      <c r="V112" s="9" t="s">
        <v>421</v>
      </c>
      <c r="W112" s="9" t="s">
        <v>334</v>
      </c>
      <c r="X112" s="9" t="s">
        <v>422</v>
      </c>
      <c r="Y112" s="9" t="s">
        <v>423</v>
      </c>
      <c r="Z112" s="9" t="s">
        <v>337</v>
      </c>
      <c r="AA112" s="9" t="s">
        <v>183</v>
      </c>
      <c r="AB112" s="19" t="n">
        <v>5750</v>
      </c>
      <c r="AC112" s="9"/>
      <c r="AD112" s="9"/>
      <c r="AE112" s="9" t="s">
        <v>155</v>
      </c>
    </row>
    <row r="113" customFormat="false" ht="21.75" hidden="false" customHeight="true" outlineLevel="0" collapsed="false">
      <c r="B113" s="14" t="n">
        <v>109</v>
      </c>
      <c r="C113" s="7" t="s">
        <v>41</v>
      </c>
      <c r="D113" s="7" t="s">
        <v>18</v>
      </c>
      <c r="E113" s="7" t="s">
        <v>84</v>
      </c>
      <c r="F113" s="7" t="s">
        <v>70</v>
      </c>
      <c r="G113" s="7" t="s">
        <v>424</v>
      </c>
      <c r="H113" s="7" t="s">
        <v>276</v>
      </c>
      <c r="I113" s="7" t="s">
        <v>277</v>
      </c>
      <c r="J113" s="7" t="s">
        <v>278</v>
      </c>
      <c r="K113" s="7" t="s">
        <v>418</v>
      </c>
      <c r="L113" s="7" t="s">
        <v>419</v>
      </c>
      <c r="M113" s="7" t="s">
        <v>281</v>
      </c>
      <c r="N113" s="7" t="s">
        <v>420</v>
      </c>
      <c r="O113" s="7" t="s">
        <v>328</v>
      </c>
      <c r="P113" s="7" t="s">
        <v>144</v>
      </c>
      <c r="Q113" s="7" t="s">
        <v>329</v>
      </c>
      <c r="R113" s="7" t="s">
        <v>330</v>
      </c>
      <c r="S113" s="7" t="s">
        <v>331</v>
      </c>
      <c r="T113" s="7" t="s">
        <v>147</v>
      </c>
      <c r="U113" s="7" t="s">
        <v>194</v>
      </c>
      <c r="V113" s="7" t="s">
        <v>421</v>
      </c>
      <c r="W113" s="7" t="s">
        <v>334</v>
      </c>
      <c r="X113" s="7" t="s">
        <v>422</v>
      </c>
      <c r="Y113" s="7" t="s">
        <v>423</v>
      </c>
      <c r="Z113" s="7" t="s">
        <v>337</v>
      </c>
      <c r="AA113" s="7" t="s">
        <v>183</v>
      </c>
      <c r="AB113" s="18" t="n">
        <v>8625</v>
      </c>
      <c r="AC113" s="7"/>
      <c r="AD113" s="7"/>
      <c r="AE113" s="7" t="s">
        <v>159</v>
      </c>
    </row>
    <row r="114" customFormat="false" ht="21.75" hidden="false" customHeight="true" outlineLevel="0" collapsed="false">
      <c r="B114" s="15" t="n">
        <v>110</v>
      </c>
      <c r="C114" s="9" t="s">
        <v>41</v>
      </c>
      <c r="D114" s="9" t="s">
        <v>18</v>
      </c>
      <c r="E114" s="9" t="s">
        <v>84</v>
      </c>
      <c r="F114" s="9" t="s">
        <v>70</v>
      </c>
      <c r="G114" s="9" t="s">
        <v>425</v>
      </c>
      <c r="H114" s="9" t="s">
        <v>287</v>
      </c>
      <c r="I114" s="9" t="s">
        <v>288</v>
      </c>
      <c r="J114" s="9" t="s">
        <v>278</v>
      </c>
      <c r="K114" s="9" t="s">
        <v>418</v>
      </c>
      <c r="L114" s="9" t="s">
        <v>419</v>
      </c>
      <c r="M114" s="9" t="s">
        <v>281</v>
      </c>
      <c r="N114" s="9" t="s">
        <v>420</v>
      </c>
      <c r="O114" s="9" t="s">
        <v>328</v>
      </c>
      <c r="P114" s="9" t="s">
        <v>144</v>
      </c>
      <c r="Q114" s="9" t="s">
        <v>329</v>
      </c>
      <c r="R114" s="9" t="s">
        <v>330</v>
      </c>
      <c r="S114" s="9" t="s">
        <v>331</v>
      </c>
      <c r="T114" s="9" t="s">
        <v>147</v>
      </c>
      <c r="U114" s="9" t="s">
        <v>194</v>
      </c>
      <c r="V114" s="9" t="s">
        <v>421</v>
      </c>
      <c r="W114" s="9" t="s">
        <v>334</v>
      </c>
      <c r="X114" s="9" t="s">
        <v>422</v>
      </c>
      <c r="Y114" s="9" t="s">
        <v>423</v>
      </c>
      <c r="Z114" s="9" t="s">
        <v>337</v>
      </c>
      <c r="AA114" s="9" t="s">
        <v>183</v>
      </c>
      <c r="AB114" s="19" t="n">
        <v>11500</v>
      </c>
      <c r="AC114" s="9"/>
      <c r="AD114" s="9"/>
      <c r="AE114" s="9" t="s">
        <v>426</v>
      </c>
    </row>
    <row r="115" customFormat="false" ht="21.75" hidden="false" customHeight="true" outlineLevel="0" collapsed="false">
      <c r="B115" s="14" t="n">
        <v>111</v>
      </c>
      <c r="C115" s="7" t="s">
        <v>41</v>
      </c>
      <c r="D115" s="7" t="s">
        <v>18</v>
      </c>
      <c r="E115" s="7" t="s">
        <v>84</v>
      </c>
      <c r="F115" s="7" t="s">
        <v>70</v>
      </c>
      <c r="G115" s="7" t="s">
        <v>427</v>
      </c>
      <c r="H115" s="7" t="s">
        <v>287</v>
      </c>
      <c r="I115" s="7" t="s">
        <v>288</v>
      </c>
      <c r="J115" s="7" t="s">
        <v>278</v>
      </c>
      <c r="K115" s="7" t="s">
        <v>418</v>
      </c>
      <c r="L115" s="7" t="s">
        <v>419</v>
      </c>
      <c r="M115" s="7" t="s">
        <v>281</v>
      </c>
      <c r="N115" s="7" t="s">
        <v>420</v>
      </c>
      <c r="O115" s="7" t="s">
        <v>328</v>
      </c>
      <c r="P115" s="7" t="s">
        <v>144</v>
      </c>
      <c r="Q115" s="7" t="s">
        <v>329</v>
      </c>
      <c r="R115" s="7" t="s">
        <v>330</v>
      </c>
      <c r="S115" s="7" t="s">
        <v>331</v>
      </c>
      <c r="T115" s="7" t="s">
        <v>147</v>
      </c>
      <c r="U115" s="7" t="s">
        <v>194</v>
      </c>
      <c r="V115" s="7" t="s">
        <v>421</v>
      </c>
      <c r="W115" s="7" t="s">
        <v>334</v>
      </c>
      <c r="X115" s="7" t="s">
        <v>422</v>
      </c>
      <c r="Y115" s="7" t="s">
        <v>423</v>
      </c>
      <c r="Z115" s="7" t="s">
        <v>337</v>
      </c>
      <c r="AA115" s="7" t="s">
        <v>183</v>
      </c>
      <c r="AB115" s="18" t="n">
        <v>17250</v>
      </c>
      <c r="AC115" s="7"/>
      <c r="AD115" s="7"/>
      <c r="AE115" s="7" t="s">
        <v>165</v>
      </c>
    </row>
    <row r="116" customFormat="false" ht="21.75" hidden="false" customHeight="true" outlineLevel="0" collapsed="false">
      <c r="B116" s="15" t="n">
        <v>112</v>
      </c>
      <c r="C116" s="9" t="s">
        <v>41</v>
      </c>
      <c r="D116" s="9" t="s">
        <v>18</v>
      </c>
      <c r="E116" s="9" t="s">
        <v>84</v>
      </c>
      <c r="F116" s="9" t="s">
        <v>70</v>
      </c>
      <c r="G116" s="9" t="s">
        <v>374</v>
      </c>
      <c r="H116" s="9" t="s">
        <v>287</v>
      </c>
      <c r="I116" s="9" t="s">
        <v>288</v>
      </c>
      <c r="J116" s="9" t="s">
        <v>278</v>
      </c>
      <c r="K116" s="9" t="s">
        <v>418</v>
      </c>
      <c r="L116" s="9" t="s">
        <v>419</v>
      </c>
      <c r="M116" s="9" t="s">
        <v>281</v>
      </c>
      <c r="N116" s="9" t="s">
        <v>420</v>
      </c>
      <c r="O116" s="9" t="s">
        <v>328</v>
      </c>
      <c r="P116" s="9" t="s">
        <v>144</v>
      </c>
      <c r="Q116" s="9" t="s">
        <v>329</v>
      </c>
      <c r="R116" s="9" t="s">
        <v>330</v>
      </c>
      <c r="S116" s="9" t="s">
        <v>331</v>
      </c>
      <c r="T116" s="9" t="s">
        <v>147</v>
      </c>
      <c r="U116" s="9" t="s">
        <v>194</v>
      </c>
      <c r="V116" s="9" t="s">
        <v>421</v>
      </c>
      <c r="W116" s="9" t="s">
        <v>334</v>
      </c>
      <c r="X116" s="9" t="s">
        <v>422</v>
      </c>
      <c r="Y116" s="9" t="s">
        <v>423</v>
      </c>
      <c r="Z116" s="9" t="s">
        <v>337</v>
      </c>
      <c r="AA116" s="9" t="s">
        <v>183</v>
      </c>
      <c r="AB116" s="19" t="n">
        <v>25300</v>
      </c>
      <c r="AC116" s="9"/>
      <c r="AD116" s="9"/>
      <c r="AE116" s="9" t="s">
        <v>167</v>
      </c>
    </row>
    <row r="117" customFormat="false" ht="21.75" hidden="false" customHeight="true" outlineLevel="0" collapsed="false">
      <c r="B117" s="14" t="n">
        <v>113</v>
      </c>
      <c r="C117" s="7" t="s">
        <v>41</v>
      </c>
      <c r="D117" s="7" t="s">
        <v>18</v>
      </c>
      <c r="E117" s="7" t="s">
        <v>84</v>
      </c>
      <c r="F117" s="7" t="s">
        <v>71</v>
      </c>
      <c r="G117" s="7" t="s">
        <v>428</v>
      </c>
      <c r="H117" s="7" t="s">
        <v>136</v>
      </c>
      <c r="I117" s="7" t="s">
        <v>137</v>
      </c>
      <c r="J117" s="7" t="s">
        <v>203</v>
      </c>
      <c r="K117" s="7" t="s">
        <v>429</v>
      </c>
      <c r="L117" s="7" t="s">
        <v>430</v>
      </c>
      <c r="M117" s="7" t="s">
        <v>326</v>
      </c>
      <c r="N117" s="7" t="s">
        <v>431</v>
      </c>
      <c r="O117" s="7" t="s">
        <v>328</v>
      </c>
      <c r="P117" s="7" t="s">
        <v>144</v>
      </c>
      <c r="Q117" s="7" t="s">
        <v>329</v>
      </c>
      <c r="R117" s="7" t="s">
        <v>330</v>
      </c>
      <c r="S117" s="7" t="s">
        <v>331</v>
      </c>
      <c r="T117" s="7" t="s">
        <v>356</v>
      </c>
      <c r="U117" s="7" t="s">
        <v>148</v>
      </c>
      <c r="V117" s="7" t="s">
        <v>236</v>
      </c>
      <c r="W117" s="7" t="s">
        <v>334</v>
      </c>
      <c r="X117" s="7" t="s">
        <v>432</v>
      </c>
      <c r="Y117" s="7" t="s">
        <v>152</v>
      </c>
      <c r="Z117" s="7" t="s">
        <v>337</v>
      </c>
      <c r="AA117" s="7" t="s">
        <v>183</v>
      </c>
      <c r="AB117" s="18" t="n">
        <v>525</v>
      </c>
      <c r="AC117" s="7"/>
      <c r="AD117" s="7"/>
      <c r="AE117" s="7" t="s">
        <v>155</v>
      </c>
    </row>
    <row r="118" customFormat="false" ht="21.75" hidden="false" customHeight="true" outlineLevel="0" collapsed="false">
      <c r="B118" s="15" t="n">
        <v>114</v>
      </c>
      <c r="C118" s="9" t="s">
        <v>41</v>
      </c>
      <c r="D118" s="9" t="s">
        <v>18</v>
      </c>
      <c r="E118" s="9" t="s">
        <v>84</v>
      </c>
      <c r="F118" s="9" t="s">
        <v>71</v>
      </c>
      <c r="G118" s="9" t="s">
        <v>433</v>
      </c>
      <c r="H118" s="9" t="s">
        <v>157</v>
      </c>
      <c r="I118" s="9" t="s">
        <v>158</v>
      </c>
      <c r="J118" s="9" t="s">
        <v>203</v>
      </c>
      <c r="K118" s="9" t="s">
        <v>429</v>
      </c>
      <c r="L118" s="9" t="s">
        <v>430</v>
      </c>
      <c r="M118" s="9" t="s">
        <v>326</v>
      </c>
      <c r="N118" s="9" t="s">
        <v>431</v>
      </c>
      <c r="O118" s="9" t="s">
        <v>328</v>
      </c>
      <c r="P118" s="9" t="s">
        <v>144</v>
      </c>
      <c r="Q118" s="9" t="s">
        <v>329</v>
      </c>
      <c r="R118" s="9" t="s">
        <v>330</v>
      </c>
      <c r="S118" s="9" t="s">
        <v>331</v>
      </c>
      <c r="T118" s="9" t="s">
        <v>356</v>
      </c>
      <c r="U118" s="9" t="s">
        <v>148</v>
      </c>
      <c r="V118" s="9" t="s">
        <v>236</v>
      </c>
      <c r="W118" s="9" t="s">
        <v>334</v>
      </c>
      <c r="X118" s="9" t="s">
        <v>432</v>
      </c>
      <c r="Y118" s="9" t="s">
        <v>152</v>
      </c>
      <c r="Z118" s="9" t="s">
        <v>337</v>
      </c>
      <c r="AA118" s="9" t="s">
        <v>183</v>
      </c>
      <c r="AB118" s="19" t="n">
        <v>790</v>
      </c>
      <c r="AC118" s="9"/>
      <c r="AD118" s="9"/>
      <c r="AE118" s="9" t="s">
        <v>159</v>
      </c>
    </row>
    <row r="119" customFormat="false" ht="21.75" hidden="false" customHeight="true" outlineLevel="0" collapsed="false">
      <c r="B119" s="14" t="n">
        <v>115</v>
      </c>
      <c r="C119" s="7" t="s">
        <v>41</v>
      </c>
      <c r="D119" s="7" t="s">
        <v>18</v>
      </c>
      <c r="E119" s="7" t="s">
        <v>84</v>
      </c>
      <c r="F119" s="7" t="s">
        <v>71</v>
      </c>
      <c r="G119" s="7" t="s">
        <v>434</v>
      </c>
      <c r="H119" s="7" t="s">
        <v>163</v>
      </c>
      <c r="I119" s="7" t="s">
        <v>164</v>
      </c>
      <c r="J119" s="7" t="s">
        <v>203</v>
      </c>
      <c r="K119" s="7" t="s">
        <v>429</v>
      </c>
      <c r="L119" s="7" t="s">
        <v>430</v>
      </c>
      <c r="M119" s="7" t="s">
        <v>326</v>
      </c>
      <c r="N119" s="7" t="s">
        <v>431</v>
      </c>
      <c r="O119" s="7" t="s">
        <v>328</v>
      </c>
      <c r="P119" s="7" t="s">
        <v>144</v>
      </c>
      <c r="Q119" s="7" t="s">
        <v>329</v>
      </c>
      <c r="R119" s="7" t="s">
        <v>330</v>
      </c>
      <c r="S119" s="7" t="s">
        <v>331</v>
      </c>
      <c r="T119" s="7" t="s">
        <v>356</v>
      </c>
      <c r="U119" s="7" t="s">
        <v>148</v>
      </c>
      <c r="V119" s="7" t="s">
        <v>236</v>
      </c>
      <c r="W119" s="7" t="s">
        <v>334</v>
      </c>
      <c r="X119" s="7" t="s">
        <v>432</v>
      </c>
      <c r="Y119" s="7" t="s">
        <v>152</v>
      </c>
      <c r="Z119" s="7" t="s">
        <v>337</v>
      </c>
      <c r="AA119" s="7" t="s">
        <v>183</v>
      </c>
      <c r="AB119" s="18" t="n">
        <v>1050</v>
      </c>
      <c r="AC119" s="7"/>
      <c r="AD119" s="7"/>
      <c r="AE119" s="7" t="s">
        <v>435</v>
      </c>
    </row>
    <row r="120" customFormat="false" ht="21.75" hidden="false" customHeight="true" outlineLevel="0" collapsed="false">
      <c r="B120" s="15" t="n">
        <v>116</v>
      </c>
      <c r="C120" s="9" t="s">
        <v>41</v>
      </c>
      <c r="D120" s="9" t="s">
        <v>18</v>
      </c>
      <c r="E120" s="9" t="s">
        <v>84</v>
      </c>
      <c r="F120" s="9" t="s">
        <v>71</v>
      </c>
      <c r="G120" s="9" t="s">
        <v>436</v>
      </c>
      <c r="H120" s="9" t="s">
        <v>163</v>
      </c>
      <c r="I120" s="9" t="s">
        <v>164</v>
      </c>
      <c r="J120" s="9" t="s">
        <v>203</v>
      </c>
      <c r="K120" s="9" t="s">
        <v>429</v>
      </c>
      <c r="L120" s="9" t="s">
        <v>430</v>
      </c>
      <c r="M120" s="9" t="s">
        <v>326</v>
      </c>
      <c r="N120" s="9" t="s">
        <v>431</v>
      </c>
      <c r="O120" s="9" t="s">
        <v>328</v>
      </c>
      <c r="P120" s="9" t="s">
        <v>144</v>
      </c>
      <c r="Q120" s="9" t="s">
        <v>329</v>
      </c>
      <c r="R120" s="9" t="s">
        <v>330</v>
      </c>
      <c r="S120" s="9" t="s">
        <v>331</v>
      </c>
      <c r="T120" s="9" t="s">
        <v>356</v>
      </c>
      <c r="U120" s="9" t="s">
        <v>148</v>
      </c>
      <c r="V120" s="9" t="s">
        <v>236</v>
      </c>
      <c r="W120" s="9" t="s">
        <v>334</v>
      </c>
      <c r="X120" s="9" t="s">
        <v>432</v>
      </c>
      <c r="Y120" s="9" t="s">
        <v>152</v>
      </c>
      <c r="Z120" s="9" t="s">
        <v>337</v>
      </c>
      <c r="AA120" s="9" t="s">
        <v>183</v>
      </c>
      <c r="AB120" s="19" t="n">
        <v>1575</v>
      </c>
      <c r="AC120" s="9"/>
      <c r="AD120" s="9"/>
      <c r="AE120" s="9" t="s">
        <v>165</v>
      </c>
    </row>
    <row r="121" customFormat="false" ht="21.75" hidden="false" customHeight="true" outlineLevel="0" collapsed="false">
      <c r="B121" s="14" t="n">
        <v>117</v>
      </c>
      <c r="C121" s="7" t="s">
        <v>41</v>
      </c>
      <c r="D121" s="7" t="s">
        <v>18</v>
      </c>
      <c r="E121" s="7" t="s">
        <v>84</v>
      </c>
      <c r="F121" s="7" t="s">
        <v>71</v>
      </c>
      <c r="G121" s="7" t="s">
        <v>437</v>
      </c>
      <c r="H121" s="7" t="s">
        <v>163</v>
      </c>
      <c r="I121" s="7" t="s">
        <v>164</v>
      </c>
      <c r="J121" s="7" t="s">
        <v>203</v>
      </c>
      <c r="K121" s="7" t="s">
        <v>429</v>
      </c>
      <c r="L121" s="7" t="s">
        <v>430</v>
      </c>
      <c r="M121" s="7" t="s">
        <v>326</v>
      </c>
      <c r="N121" s="7" t="s">
        <v>431</v>
      </c>
      <c r="O121" s="7" t="s">
        <v>328</v>
      </c>
      <c r="P121" s="7" t="s">
        <v>144</v>
      </c>
      <c r="Q121" s="7" t="s">
        <v>329</v>
      </c>
      <c r="R121" s="7" t="s">
        <v>330</v>
      </c>
      <c r="S121" s="7" t="s">
        <v>331</v>
      </c>
      <c r="T121" s="7" t="s">
        <v>356</v>
      </c>
      <c r="U121" s="7" t="s">
        <v>148</v>
      </c>
      <c r="V121" s="7" t="s">
        <v>236</v>
      </c>
      <c r="W121" s="7" t="s">
        <v>334</v>
      </c>
      <c r="X121" s="7" t="s">
        <v>432</v>
      </c>
      <c r="Y121" s="7" t="s">
        <v>152</v>
      </c>
      <c r="Z121" s="7" t="s">
        <v>337</v>
      </c>
      <c r="AA121" s="7" t="s">
        <v>183</v>
      </c>
      <c r="AB121" s="18" t="n">
        <v>2310</v>
      </c>
      <c r="AC121" s="7"/>
      <c r="AD121" s="7"/>
      <c r="AE121" s="7" t="s">
        <v>167</v>
      </c>
    </row>
    <row r="122" customFormat="false" ht="21.75" hidden="false" customHeight="true" outlineLevel="0" collapsed="false">
      <c r="B122" s="15" t="n">
        <v>118</v>
      </c>
      <c r="C122" s="9" t="s">
        <v>41</v>
      </c>
      <c r="D122" s="9" t="s">
        <v>18</v>
      </c>
      <c r="E122" s="9" t="s">
        <v>84</v>
      </c>
      <c r="F122" s="9" t="s">
        <v>72</v>
      </c>
      <c r="G122" s="9" t="s">
        <v>321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9"/>
      <c r="AC122" s="9"/>
      <c r="AD122" s="9"/>
      <c r="AE122" s="9" t="s">
        <v>438</v>
      </c>
    </row>
    <row r="123" customFormat="false" ht="21.75" hidden="false" customHeight="true" outlineLevel="0" collapsed="false">
      <c r="B123" s="14" t="n">
        <v>119</v>
      </c>
      <c r="C123" s="7" t="s">
        <v>41</v>
      </c>
      <c r="D123" s="7" t="s">
        <v>18</v>
      </c>
      <c r="E123" s="7" t="s">
        <v>84</v>
      </c>
      <c r="F123" s="7" t="s">
        <v>73</v>
      </c>
      <c r="G123" s="7" t="s">
        <v>439</v>
      </c>
      <c r="H123" s="7" t="s">
        <v>136</v>
      </c>
      <c r="I123" s="7" t="s">
        <v>137</v>
      </c>
      <c r="J123" s="7" t="s">
        <v>203</v>
      </c>
      <c r="K123" s="7" t="s">
        <v>324</v>
      </c>
      <c r="L123" s="7" t="s">
        <v>205</v>
      </c>
      <c r="M123" s="7" t="s">
        <v>326</v>
      </c>
      <c r="N123" s="7" t="s">
        <v>440</v>
      </c>
      <c r="O123" s="7" t="s">
        <v>328</v>
      </c>
      <c r="P123" s="7" t="s">
        <v>144</v>
      </c>
      <c r="Q123" s="7" t="s">
        <v>329</v>
      </c>
      <c r="R123" s="7" t="s">
        <v>330</v>
      </c>
      <c r="S123" s="7" t="s">
        <v>331</v>
      </c>
      <c r="T123" s="7" t="s">
        <v>147</v>
      </c>
      <c r="U123" s="7" t="s">
        <v>148</v>
      </c>
      <c r="V123" s="7" t="s">
        <v>236</v>
      </c>
      <c r="W123" s="7" t="s">
        <v>334</v>
      </c>
      <c r="X123" s="7" t="s">
        <v>441</v>
      </c>
      <c r="Y123" s="7" t="s">
        <v>442</v>
      </c>
      <c r="Z123" s="7" t="s">
        <v>337</v>
      </c>
      <c r="AA123" s="7" t="s">
        <v>154</v>
      </c>
      <c r="AB123" s="18" t="n">
        <v>625</v>
      </c>
      <c r="AC123" s="7"/>
      <c r="AD123" s="7"/>
      <c r="AE123" s="7" t="s">
        <v>155</v>
      </c>
    </row>
    <row r="124" customFormat="false" ht="21.75" hidden="false" customHeight="true" outlineLevel="0" collapsed="false">
      <c r="B124" s="15" t="n">
        <v>120</v>
      </c>
      <c r="C124" s="9" t="s">
        <v>41</v>
      </c>
      <c r="D124" s="9" t="s">
        <v>18</v>
      </c>
      <c r="E124" s="9" t="s">
        <v>84</v>
      </c>
      <c r="F124" s="9" t="s">
        <v>73</v>
      </c>
      <c r="G124" s="9" t="s">
        <v>443</v>
      </c>
      <c r="H124" s="9" t="s">
        <v>157</v>
      </c>
      <c r="I124" s="9" t="s">
        <v>158</v>
      </c>
      <c r="J124" s="9" t="s">
        <v>203</v>
      </c>
      <c r="K124" s="9" t="s">
        <v>324</v>
      </c>
      <c r="L124" s="9" t="s">
        <v>205</v>
      </c>
      <c r="M124" s="9" t="s">
        <v>326</v>
      </c>
      <c r="N124" s="9" t="s">
        <v>440</v>
      </c>
      <c r="O124" s="9" t="s">
        <v>328</v>
      </c>
      <c r="P124" s="9" t="s">
        <v>144</v>
      </c>
      <c r="Q124" s="9" t="s">
        <v>329</v>
      </c>
      <c r="R124" s="9" t="s">
        <v>330</v>
      </c>
      <c r="S124" s="9" t="s">
        <v>331</v>
      </c>
      <c r="T124" s="9" t="s">
        <v>147</v>
      </c>
      <c r="U124" s="9" t="s">
        <v>148</v>
      </c>
      <c r="V124" s="9" t="s">
        <v>236</v>
      </c>
      <c r="W124" s="9" t="s">
        <v>334</v>
      </c>
      <c r="X124" s="9" t="s">
        <v>441</v>
      </c>
      <c r="Y124" s="9" t="s">
        <v>442</v>
      </c>
      <c r="Z124" s="9" t="s">
        <v>337</v>
      </c>
      <c r="AA124" s="9" t="s">
        <v>154</v>
      </c>
      <c r="AB124" s="19" t="n">
        <v>940</v>
      </c>
      <c r="AC124" s="9"/>
      <c r="AD124" s="9"/>
      <c r="AE124" s="9" t="s">
        <v>159</v>
      </c>
    </row>
    <row r="125" customFormat="false" ht="21.75" hidden="false" customHeight="true" outlineLevel="0" collapsed="false">
      <c r="B125" s="14" t="n">
        <v>121</v>
      </c>
      <c r="C125" s="7" t="s">
        <v>41</v>
      </c>
      <c r="D125" s="7" t="s">
        <v>18</v>
      </c>
      <c r="E125" s="7" t="s">
        <v>84</v>
      </c>
      <c r="F125" s="7" t="s">
        <v>73</v>
      </c>
      <c r="G125" s="7" t="s">
        <v>444</v>
      </c>
      <c r="H125" s="7" t="s">
        <v>157</v>
      </c>
      <c r="I125" s="7" t="s">
        <v>158</v>
      </c>
      <c r="J125" s="7" t="s">
        <v>203</v>
      </c>
      <c r="K125" s="7" t="s">
        <v>324</v>
      </c>
      <c r="L125" s="7" t="s">
        <v>205</v>
      </c>
      <c r="M125" s="7" t="s">
        <v>326</v>
      </c>
      <c r="N125" s="7" t="s">
        <v>440</v>
      </c>
      <c r="O125" s="7" t="s">
        <v>328</v>
      </c>
      <c r="P125" s="7" t="s">
        <v>144</v>
      </c>
      <c r="Q125" s="7" t="s">
        <v>329</v>
      </c>
      <c r="R125" s="7" t="s">
        <v>330</v>
      </c>
      <c r="S125" s="7" t="s">
        <v>331</v>
      </c>
      <c r="T125" s="7" t="s">
        <v>147</v>
      </c>
      <c r="U125" s="7" t="s">
        <v>148</v>
      </c>
      <c r="V125" s="7" t="s">
        <v>236</v>
      </c>
      <c r="W125" s="7" t="s">
        <v>334</v>
      </c>
      <c r="X125" s="7" t="s">
        <v>441</v>
      </c>
      <c r="Y125" s="7" t="s">
        <v>442</v>
      </c>
      <c r="Z125" s="7" t="s">
        <v>337</v>
      </c>
      <c r="AA125" s="7" t="s">
        <v>154</v>
      </c>
      <c r="AB125" s="18" t="n">
        <v>1250</v>
      </c>
      <c r="AC125" s="7"/>
      <c r="AD125" s="7"/>
      <c r="AE125" s="7" t="s">
        <v>445</v>
      </c>
    </row>
    <row r="126" customFormat="false" ht="21.75" hidden="false" customHeight="true" outlineLevel="0" collapsed="false">
      <c r="B126" s="15" t="n">
        <v>122</v>
      </c>
      <c r="C126" s="9" t="s">
        <v>41</v>
      </c>
      <c r="D126" s="9" t="s">
        <v>18</v>
      </c>
      <c r="E126" s="9" t="s">
        <v>84</v>
      </c>
      <c r="F126" s="9" t="s">
        <v>73</v>
      </c>
      <c r="G126" s="9" t="s">
        <v>446</v>
      </c>
      <c r="H126" s="9" t="s">
        <v>163</v>
      </c>
      <c r="I126" s="9" t="s">
        <v>164</v>
      </c>
      <c r="J126" s="9" t="s">
        <v>203</v>
      </c>
      <c r="K126" s="9" t="s">
        <v>324</v>
      </c>
      <c r="L126" s="9" t="s">
        <v>205</v>
      </c>
      <c r="M126" s="9" t="s">
        <v>326</v>
      </c>
      <c r="N126" s="9" t="s">
        <v>440</v>
      </c>
      <c r="O126" s="9" t="s">
        <v>328</v>
      </c>
      <c r="P126" s="9" t="s">
        <v>144</v>
      </c>
      <c r="Q126" s="9" t="s">
        <v>329</v>
      </c>
      <c r="R126" s="9" t="s">
        <v>330</v>
      </c>
      <c r="S126" s="9" t="s">
        <v>331</v>
      </c>
      <c r="T126" s="9" t="s">
        <v>147</v>
      </c>
      <c r="U126" s="9" t="s">
        <v>148</v>
      </c>
      <c r="V126" s="9" t="s">
        <v>236</v>
      </c>
      <c r="W126" s="9" t="s">
        <v>334</v>
      </c>
      <c r="X126" s="9" t="s">
        <v>441</v>
      </c>
      <c r="Y126" s="9" t="s">
        <v>442</v>
      </c>
      <c r="Z126" s="9" t="s">
        <v>337</v>
      </c>
      <c r="AA126" s="9" t="s">
        <v>154</v>
      </c>
      <c r="AB126" s="19" t="n">
        <v>1875</v>
      </c>
      <c r="AC126" s="9"/>
      <c r="AD126" s="9"/>
      <c r="AE126" s="9" t="s">
        <v>165</v>
      </c>
    </row>
    <row r="127" customFormat="false" ht="21.75" hidden="false" customHeight="true" outlineLevel="0" collapsed="false">
      <c r="B127" s="14" t="n">
        <v>123</v>
      </c>
      <c r="C127" s="7" t="s">
        <v>41</v>
      </c>
      <c r="D127" s="7" t="s">
        <v>18</v>
      </c>
      <c r="E127" s="7" t="s">
        <v>84</v>
      </c>
      <c r="F127" s="7" t="s">
        <v>73</v>
      </c>
      <c r="G127" s="7" t="s">
        <v>447</v>
      </c>
      <c r="H127" s="7" t="s">
        <v>163</v>
      </c>
      <c r="I127" s="7" t="s">
        <v>164</v>
      </c>
      <c r="J127" s="7" t="s">
        <v>203</v>
      </c>
      <c r="K127" s="7" t="s">
        <v>324</v>
      </c>
      <c r="L127" s="7" t="s">
        <v>205</v>
      </c>
      <c r="M127" s="7" t="s">
        <v>326</v>
      </c>
      <c r="N127" s="7" t="s">
        <v>440</v>
      </c>
      <c r="O127" s="7" t="s">
        <v>328</v>
      </c>
      <c r="P127" s="7" t="s">
        <v>144</v>
      </c>
      <c r="Q127" s="7" t="s">
        <v>329</v>
      </c>
      <c r="R127" s="7" t="s">
        <v>330</v>
      </c>
      <c r="S127" s="7" t="s">
        <v>331</v>
      </c>
      <c r="T127" s="7" t="s">
        <v>147</v>
      </c>
      <c r="U127" s="7" t="s">
        <v>148</v>
      </c>
      <c r="V127" s="7" t="s">
        <v>236</v>
      </c>
      <c r="W127" s="7" t="s">
        <v>334</v>
      </c>
      <c r="X127" s="7" t="s">
        <v>441</v>
      </c>
      <c r="Y127" s="7" t="s">
        <v>442</v>
      </c>
      <c r="Z127" s="7" t="s">
        <v>337</v>
      </c>
      <c r="AA127" s="7" t="s">
        <v>154</v>
      </c>
      <c r="AB127" s="18" t="n">
        <v>2750</v>
      </c>
      <c r="AC127" s="7"/>
      <c r="AD127" s="7"/>
      <c r="AE127" s="7" t="s">
        <v>167</v>
      </c>
    </row>
    <row r="128" customFormat="false" ht="21.75" hidden="false" customHeight="true" outlineLevel="0" collapsed="false">
      <c r="B128" s="15" t="n">
        <v>124</v>
      </c>
      <c r="C128" s="9" t="s">
        <v>41</v>
      </c>
      <c r="D128" s="9" t="s">
        <v>18</v>
      </c>
      <c r="E128" s="9" t="s">
        <v>84</v>
      </c>
      <c r="F128" s="9" t="s">
        <v>74</v>
      </c>
      <c r="G128" s="9" t="s">
        <v>448</v>
      </c>
      <c r="H128" s="9" t="s">
        <v>136</v>
      </c>
      <c r="I128" s="9" t="s">
        <v>137</v>
      </c>
      <c r="J128" s="9" t="s">
        <v>449</v>
      </c>
      <c r="K128" s="9" t="s">
        <v>450</v>
      </c>
      <c r="L128" s="9" t="s">
        <v>451</v>
      </c>
      <c r="M128" s="9" t="s">
        <v>281</v>
      </c>
      <c r="N128" s="9" t="s">
        <v>452</v>
      </c>
      <c r="O128" s="9" t="s">
        <v>453</v>
      </c>
      <c r="P128" s="9" t="s">
        <v>454</v>
      </c>
      <c r="Q128" s="9" t="s">
        <v>455</v>
      </c>
      <c r="R128" s="9" t="s">
        <v>281</v>
      </c>
      <c r="S128" s="9" t="s">
        <v>456</v>
      </c>
      <c r="T128" s="9" t="s">
        <v>223</v>
      </c>
      <c r="U128" s="9" t="s">
        <v>457</v>
      </c>
      <c r="V128" s="9" t="s">
        <v>220</v>
      </c>
      <c r="W128" s="9" t="s">
        <v>458</v>
      </c>
      <c r="X128" s="9" t="s">
        <v>459</v>
      </c>
      <c r="Y128" s="9" t="s">
        <v>460</v>
      </c>
      <c r="Z128" s="9" t="s">
        <v>461</v>
      </c>
      <c r="AA128" s="9" t="s">
        <v>223</v>
      </c>
      <c r="AB128" s="19" t="n">
        <v>100</v>
      </c>
      <c r="AC128" s="9"/>
      <c r="AD128" s="9"/>
      <c r="AE128" s="9" t="s">
        <v>155</v>
      </c>
    </row>
    <row r="129" customFormat="false" ht="21.75" hidden="false" customHeight="true" outlineLevel="0" collapsed="false">
      <c r="B129" s="14" t="n">
        <v>125</v>
      </c>
      <c r="C129" s="7" t="s">
        <v>41</v>
      </c>
      <c r="D129" s="7" t="s">
        <v>18</v>
      </c>
      <c r="E129" s="7" t="s">
        <v>84</v>
      </c>
      <c r="F129" s="7" t="s">
        <v>74</v>
      </c>
      <c r="G129" s="7" t="s">
        <v>462</v>
      </c>
      <c r="H129" s="7" t="s">
        <v>136</v>
      </c>
      <c r="I129" s="7" t="s">
        <v>137</v>
      </c>
      <c r="J129" s="7" t="s">
        <v>449</v>
      </c>
      <c r="K129" s="7" t="s">
        <v>450</v>
      </c>
      <c r="L129" s="7" t="s">
        <v>451</v>
      </c>
      <c r="M129" s="7" t="s">
        <v>281</v>
      </c>
      <c r="N129" s="7" t="s">
        <v>452</v>
      </c>
      <c r="O129" s="7" t="s">
        <v>453</v>
      </c>
      <c r="P129" s="7" t="s">
        <v>454</v>
      </c>
      <c r="Q129" s="7" t="s">
        <v>455</v>
      </c>
      <c r="R129" s="7" t="s">
        <v>281</v>
      </c>
      <c r="S129" s="7" t="s">
        <v>456</v>
      </c>
      <c r="T129" s="7" t="s">
        <v>223</v>
      </c>
      <c r="U129" s="7" t="s">
        <v>457</v>
      </c>
      <c r="V129" s="7" t="s">
        <v>220</v>
      </c>
      <c r="W129" s="7" t="s">
        <v>458</v>
      </c>
      <c r="X129" s="7" t="s">
        <v>459</v>
      </c>
      <c r="Y129" s="7" t="s">
        <v>460</v>
      </c>
      <c r="Z129" s="7" t="s">
        <v>461</v>
      </c>
      <c r="AA129" s="7" t="s">
        <v>223</v>
      </c>
      <c r="AB129" s="18" t="n">
        <v>150</v>
      </c>
      <c r="AC129" s="7"/>
      <c r="AD129" s="7"/>
      <c r="AE129" s="7" t="s">
        <v>159</v>
      </c>
    </row>
    <row r="130" customFormat="false" ht="21.75" hidden="false" customHeight="true" outlineLevel="0" collapsed="false">
      <c r="B130" s="15" t="n">
        <v>126</v>
      </c>
      <c r="C130" s="9" t="s">
        <v>41</v>
      </c>
      <c r="D130" s="9" t="s">
        <v>18</v>
      </c>
      <c r="E130" s="9" t="s">
        <v>84</v>
      </c>
      <c r="F130" s="9" t="s">
        <v>74</v>
      </c>
      <c r="G130" s="9" t="s">
        <v>463</v>
      </c>
      <c r="H130" s="9" t="s">
        <v>157</v>
      </c>
      <c r="I130" s="9" t="s">
        <v>158</v>
      </c>
      <c r="J130" s="9" t="s">
        <v>449</v>
      </c>
      <c r="K130" s="9" t="s">
        <v>450</v>
      </c>
      <c r="L130" s="9" t="s">
        <v>451</v>
      </c>
      <c r="M130" s="9" t="s">
        <v>281</v>
      </c>
      <c r="N130" s="9" t="s">
        <v>452</v>
      </c>
      <c r="O130" s="9" t="s">
        <v>453</v>
      </c>
      <c r="P130" s="9" t="s">
        <v>454</v>
      </c>
      <c r="Q130" s="9" t="s">
        <v>455</v>
      </c>
      <c r="R130" s="9" t="s">
        <v>281</v>
      </c>
      <c r="S130" s="9" t="s">
        <v>456</v>
      </c>
      <c r="T130" s="9" t="s">
        <v>223</v>
      </c>
      <c r="U130" s="9" t="s">
        <v>457</v>
      </c>
      <c r="V130" s="9" t="s">
        <v>220</v>
      </c>
      <c r="W130" s="9" t="s">
        <v>458</v>
      </c>
      <c r="X130" s="9" t="s">
        <v>459</v>
      </c>
      <c r="Y130" s="9" t="s">
        <v>460</v>
      </c>
      <c r="Z130" s="9" t="s">
        <v>461</v>
      </c>
      <c r="AA130" s="9" t="s">
        <v>223</v>
      </c>
      <c r="AB130" s="19" t="n">
        <v>200</v>
      </c>
      <c r="AC130" s="9"/>
      <c r="AD130" s="9"/>
      <c r="AE130" s="9" t="s">
        <v>464</v>
      </c>
    </row>
    <row r="131" customFormat="false" ht="21.75" hidden="false" customHeight="true" outlineLevel="0" collapsed="false">
      <c r="B131" s="14" t="n">
        <v>127</v>
      </c>
      <c r="C131" s="7" t="s">
        <v>41</v>
      </c>
      <c r="D131" s="7" t="s">
        <v>18</v>
      </c>
      <c r="E131" s="7" t="s">
        <v>84</v>
      </c>
      <c r="F131" s="7" t="s">
        <v>74</v>
      </c>
      <c r="G131" s="7" t="s">
        <v>465</v>
      </c>
      <c r="H131" s="7" t="s">
        <v>157</v>
      </c>
      <c r="I131" s="7" t="s">
        <v>158</v>
      </c>
      <c r="J131" s="7" t="s">
        <v>449</v>
      </c>
      <c r="K131" s="7" t="s">
        <v>450</v>
      </c>
      <c r="L131" s="7" t="s">
        <v>451</v>
      </c>
      <c r="M131" s="7" t="s">
        <v>281</v>
      </c>
      <c r="N131" s="7" t="s">
        <v>452</v>
      </c>
      <c r="O131" s="7" t="s">
        <v>453</v>
      </c>
      <c r="P131" s="7" t="s">
        <v>454</v>
      </c>
      <c r="Q131" s="7" t="s">
        <v>455</v>
      </c>
      <c r="R131" s="7" t="s">
        <v>281</v>
      </c>
      <c r="S131" s="7" t="s">
        <v>456</v>
      </c>
      <c r="T131" s="7" t="s">
        <v>223</v>
      </c>
      <c r="U131" s="7" t="s">
        <v>457</v>
      </c>
      <c r="V131" s="7" t="s">
        <v>220</v>
      </c>
      <c r="W131" s="7" t="s">
        <v>458</v>
      </c>
      <c r="X131" s="7" t="s">
        <v>459</v>
      </c>
      <c r="Y131" s="7" t="s">
        <v>460</v>
      </c>
      <c r="Z131" s="7" t="s">
        <v>461</v>
      </c>
      <c r="AA131" s="7" t="s">
        <v>223</v>
      </c>
      <c r="AB131" s="18" t="n">
        <v>300</v>
      </c>
      <c r="AC131" s="7"/>
      <c r="AD131" s="7"/>
      <c r="AE131" s="7" t="s">
        <v>165</v>
      </c>
    </row>
    <row r="132" customFormat="false" ht="21.75" hidden="false" customHeight="true" outlineLevel="0" collapsed="false">
      <c r="B132" s="15" t="n">
        <v>128</v>
      </c>
      <c r="C132" s="9" t="s">
        <v>41</v>
      </c>
      <c r="D132" s="9" t="s">
        <v>18</v>
      </c>
      <c r="E132" s="9" t="s">
        <v>84</v>
      </c>
      <c r="F132" s="9" t="s">
        <v>74</v>
      </c>
      <c r="G132" s="9" t="s">
        <v>466</v>
      </c>
      <c r="H132" s="9" t="s">
        <v>163</v>
      </c>
      <c r="I132" s="9" t="s">
        <v>164</v>
      </c>
      <c r="J132" s="9" t="s">
        <v>449</v>
      </c>
      <c r="K132" s="9" t="s">
        <v>450</v>
      </c>
      <c r="L132" s="9" t="s">
        <v>451</v>
      </c>
      <c r="M132" s="9" t="s">
        <v>281</v>
      </c>
      <c r="N132" s="9" t="s">
        <v>452</v>
      </c>
      <c r="O132" s="9" t="s">
        <v>453</v>
      </c>
      <c r="P132" s="9" t="s">
        <v>454</v>
      </c>
      <c r="Q132" s="9" t="s">
        <v>455</v>
      </c>
      <c r="R132" s="9" t="s">
        <v>281</v>
      </c>
      <c r="S132" s="9" t="s">
        <v>456</v>
      </c>
      <c r="T132" s="9" t="s">
        <v>223</v>
      </c>
      <c r="U132" s="9" t="s">
        <v>457</v>
      </c>
      <c r="V132" s="9" t="s">
        <v>220</v>
      </c>
      <c r="W132" s="9" t="s">
        <v>458</v>
      </c>
      <c r="X132" s="9" t="s">
        <v>459</v>
      </c>
      <c r="Y132" s="9" t="s">
        <v>460</v>
      </c>
      <c r="Z132" s="9" t="s">
        <v>461</v>
      </c>
      <c r="AA132" s="9" t="s">
        <v>223</v>
      </c>
      <c r="AB132" s="19" t="n">
        <v>440</v>
      </c>
      <c r="AC132" s="9"/>
      <c r="AD132" s="9"/>
      <c r="AE132" s="9" t="s">
        <v>167</v>
      </c>
    </row>
    <row r="133" customFormat="false" ht="21.75" hidden="false" customHeight="true" outlineLevel="0" collapsed="false">
      <c r="B133" s="14" t="n">
        <v>129</v>
      </c>
      <c r="C133" s="7" t="s">
        <v>42</v>
      </c>
      <c r="D133" s="7" t="s">
        <v>18</v>
      </c>
      <c r="E133" s="7" t="s">
        <v>85</v>
      </c>
      <c r="F133" s="7" t="s">
        <v>61</v>
      </c>
      <c r="G133" s="7" t="s">
        <v>467</v>
      </c>
      <c r="H133" s="7" t="s">
        <v>136</v>
      </c>
      <c r="I133" s="7" t="s">
        <v>137</v>
      </c>
      <c r="J133" s="7" t="s">
        <v>468</v>
      </c>
      <c r="K133" s="7" t="s">
        <v>469</v>
      </c>
      <c r="L133" s="7" t="s">
        <v>169</v>
      </c>
      <c r="M133" s="7" t="s">
        <v>326</v>
      </c>
      <c r="N133" s="7" t="s">
        <v>470</v>
      </c>
      <c r="O133" s="7" t="s">
        <v>471</v>
      </c>
      <c r="P133" s="7" t="s">
        <v>144</v>
      </c>
      <c r="Q133" s="7" t="s">
        <v>329</v>
      </c>
      <c r="R133" s="7" t="s">
        <v>330</v>
      </c>
      <c r="S133" s="7" t="s">
        <v>472</v>
      </c>
      <c r="T133" s="7" t="s">
        <v>147</v>
      </c>
      <c r="U133" s="7" t="s">
        <v>148</v>
      </c>
      <c r="V133" s="7" t="s">
        <v>473</v>
      </c>
      <c r="W133" s="7" t="s">
        <v>334</v>
      </c>
      <c r="X133" s="7" t="s">
        <v>474</v>
      </c>
      <c r="Y133" s="7" t="s">
        <v>475</v>
      </c>
      <c r="Z133" s="7" t="s">
        <v>461</v>
      </c>
      <c r="AA133" s="7" t="s">
        <v>154</v>
      </c>
      <c r="AB133" s="18" t="n">
        <v>170</v>
      </c>
      <c r="AC133" s="7"/>
      <c r="AD133" s="7"/>
      <c r="AE133" s="7" t="s">
        <v>155</v>
      </c>
    </row>
    <row r="134" customFormat="false" ht="21.75" hidden="false" customHeight="true" outlineLevel="0" collapsed="false">
      <c r="B134" s="15" t="n">
        <v>130</v>
      </c>
      <c r="C134" s="9" t="s">
        <v>42</v>
      </c>
      <c r="D134" s="9" t="s">
        <v>18</v>
      </c>
      <c r="E134" s="9" t="s">
        <v>85</v>
      </c>
      <c r="F134" s="9" t="s">
        <v>61</v>
      </c>
      <c r="G134" s="9" t="s">
        <v>476</v>
      </c>
      <c r="H134" s="9" t="s">
        <v>157</v>
      </c>
      <c r="I134" s="9" t="s">
        <v>158</v>
      </c>
      <c r="J134" s="9" t="s">
        <v>468</v>
      </c>
      <c r="K134" s="9" t="s">
        <v>469</v>
      </c>
      <c r="L134" s="9" t="s">
        <v>169</v>
      </c>
      <c r="M134" s="9" t="s">
        <v>326</v>
      </c>
      <c r="N134" s="9" t="s">
        <v>470</v>
      </c>
      <c r="O134" s="9" t="s">
        <v>471</v>
      </c>
      <c r="P134" s="9" t="s">
        <v>144</v>
      </c>
      <c r="Q134" s="9" t="s">
        <v>329</v>
      </c>
      <c r="R134" s="9" t="s">
        <v>330</v>
      </c>
      <c r="S134" s="9" t="s">
        <v>472</v>
      </c>
      <c r="T134" s="9" t="s">
        <v>147</v>
      </c>
      <c r="U134" s="9" t="s">
        <v>148</v>
      </c>
      <c r="V134" s="9" t="s">
        <v>473</v>
      </c>
      <c r="W134" s="9" t="s">
        <v>334</v>
      </c>
      <c r="X134" s="9" t="s">
        <v>474</v>
      </c>
      <c r="Y134" s="9" t="s">
        <v>475</v>
      </c>
      <c r="Z134" s="9" t="s">
        <v>461</v>
      </c>
      <c r="AA134" s="9" t="s">
        <v>154</v>
      </c>
      <c r="AB134" s="19" t="n">
        <v>255</v>
      </c>
      <c r="AC134" s="9"/>
      <c r="AD134" s="9"/>
      <c r="AE134" s="9" t="s">
        <v>159</v>
      </c>
    </row>
    <row r="135" customFormat="false" ht="21.75" hidden="false" customHeight="true" outlineLevel="0" collapsed="false">
      <c r="B135" s="14" t="n">
        <v>131</v>
      </c>
      <c r="C135" s="7" t="s">
        <v>42</v>
      </c>
      <c r="D135" s="7" t="s">
        <v>18</v>
      </c>
      <c r="E135" s="7" t="s">
        <v>85</v>
      </c>
      <c r="F135" s="7" t="s">
        <v>61</v>
      </c>
      <c r="G135" s="7" t="s">
        <v>477</v>
      </c>
      <c r="H135" s="7" t="s">
        <v>157</v>
      </c>
      <c r="I135" s="7" t="s">
        <v>158</v>
      </c>
      <c r="J135" s="7" t="s">
        <v>468</v>
      </c>
      <c r="K135" s="7" t="s">
        <v>469</v>
      </c>
      <c r="L135" s="7" t="s">
        <v>169</v>
      </c>
      <c r="M135" s="7" t="s">
        <v>326</v>
      </c>
      <c r="N135" s="7" t="s">
        <v>470</v>
      </c>
      <c r="O135" s="7" t="s">
        <v>471</v>
      </c>
      <c r="P135" s="7" t="s">
        <v>144</v>
      </c>
      <c r="Q135" s="7" t="s">
        <v>329</v>
      </c>
      <c r="R135" s="7" t="s">
        <v>330</v>
      </c>
      <c r="S135" s="7" t="s">
        <v>472</v>
      </c>
      <c r="T135" s="7" t="s">
        <v>147</v>
      </c>
      <c r="U135" s="7" t="s">
        <v>148</v>
      </c>
      <c r="V135" s="7" t="s">
        <v>473</v>
      </c>
      <c r="W135" s="7" t="s">
        <v>334</v>
      </c>
      <c r="X135" s="7" t="s">
        <v>474</v>
      </c>
      <c r="Y135" s="7" t="s">
        <v>475</v>
      </c>
      <c r="Z135" s="7" t="s">
        <v>461</v>
      </c>
      <c r="AA135" s="7" t="s">
        <v>154</v>
      </c>
      <c r="AB135" s="18" t="n">
        <v>340</v>
      </c>
      <c r="AC135" s="7"/>
      <c r="AD135" s="7"/>
      <c r="AE135" s="7" t="s">
        <v>478</v>
      </c>
    </row>
    <row r="136" customFormat="false" ht="21.75" hidden="false" customHeight="true" outlineLevel="0" collapsed="false">
      <c r="B136" s="15" t="n">
        <v>132</v>
      </c>
      <c r="C136" s="9" t="s">
        <v>42</v>
      </c>
      <c r="D136" s="9" t="s">
        <v>18</v>
      </c>
      <c r="E136" s="9" t="s">
        <v>85</v>
      </c>
      <c r="F136" s="9" t="s">
        <v>61</v>
      </c>
      <c r="G136" s="9" t="s">
        <v>479</v>
      </c>
      <c r="H136" s="9" t="s">
        <v>163</v>
      </c>
      <c r="I136" s="9" t="s">
        <v>164</v>
      </c>
      <c r="J136" s="9" t="s">
        <v>468</v>
      </c>
      <c r="K136" s="9" t="s">
        <v>469</v>
      </c>
      <c r="L136" s="9" t="s">
        <v>169</v>
      </c>
      <c r="M136" s="9" t="s">
        <v>326</v>
      </c>
      <c r="N136" s="9" t="s">
        <v>470</v>
      </c>
      <c r="O136" s="9" t="s">
        <v>471</v>
      </c>
      <c r="P136" s="9" t="s">
        <v>144</v>
      </c>
      <c r="Q136" s="9" t="s">
        <v>329</v>
      </c>
      <c r="R136" s="9" t="s">
        <v>330</v>
      </c>
      <c r="S136" s="9" t="s">
        <v>472</v>
      </c>
      <c r="T136" s="9" t="s">
        <v>147</v>
      </c>
      <c r="U136" s="9" t="s">
        <v>148</v>
      </c>
      <c r="V136" s="9" t="s">
        <v>473</v>
      </c>
      <c r="W136" s="9" t="s">
        <v>334</v>
      </c>
      <c r="X136" s="9" t="s">
        <v>474</v>
      </c>
      <c r="Y136" s="9" t="s">
        <v>475</v>
      </c>
      <c r="Z136" s="9" t="s">
        <v>461</v>
      </c>
      <c r="AA136" s="9" t="s">
        <v>154</v>
      </c>
      <c r="AB136" s="19" t="n">
        <v>510</v>
      </c>
      <c r="AC136" s="9"/>
      <c r="AD136" s="9"/>
      <c r="AE136" s="9" t="s">
        <v>165</v>
      </c>
    </row>
    <row r="137" customFormat="false" ht="21.75" hidden="false" customHeight="true" outlineLevel="0" collapsed="false">
      <c r="B137" s="14" t="n">
        <v>133</v>
      </c>
      <c r="C137" s="7" t="s">
        <v>42</v>
      </c>
      <c r="D137" s="7" t="s">
        <v>18</v>
      </c>
      <c r="E137" s="7" t="s">
        <v>85</v>
      </c>
      <c r="F137" s="7" t="s">
        <v>61</v>
      </c>
      <c r="G137" s="7" t="s">
        <v>480</v>
      </c>
      <c r="H137" s="7" t="s">
        <v>163</v>
      </c>
      <c r="I137" s="7" t="s">
        <v>164</v>
      </c>
      <c r="J137" s="7" t="s">
        <v>468</v>
      </c>
      <c r="K137" s="7" t="s">
        <v>469</v>
      </c>
      <c r="L137" s="7" t="s">
        <v>169</v>
      </c>
      <c r="M137" s="7" t="s">
        <v>326</v>
      </c>
      <c r="N137" s="7" t="s">
        <v>470</v>
      </c>
      <c r="O137" s="7" t="s">
        <v>471</v>
      </c>
      <c r="P137" s="7" t="s">
        <v>144</v>
      </c>
      <c r="Q137" s="7" t="s">
        <v>329</v>
      </c>
      <c r="R137" s="7" t="s">
        <v>330</v>
      </c>
      <c r="S137" s="7" t="s">
        <v>472</v>
      </c>
      <c r="T137" s="7" t="s">
        <v>147</v>
      </c>
      <c r="U137" s="7" t="s">
        <v>148</v>
      </c>
      <c r="V137" s="7" t="s">
        <v>473</v>
      </c>
      <c r="W137" s="7" t="s">
        <v>334</v>
      </c>
      <c r="X137" s="7" t="s">
        <v>474</v>
      </c>
      <c r="Y137" s="7" t="s">
        <v>475</v>
      </c>
      <c r="Z137" s="7" t="s">
        <v>461</v>
      </c>
      <c r="AA137" s="7" t="s">
        <v>154</v>
      </c>
      <c r="AB137" s="18" t="n">
        <v>750</v>
      </c>
      <c r="AC137" s="7"/>
      <c r="AD137" s="7"/>
      <c r="AE137" s="7" t="s">
        <v>167</v>
      </c>
    </row>
    <row r="138" customFormat="false" ht="21.75" hidden="false" customHeight="true" outlineLevel="0" collapsed="false">
      <c r="B138" s="15" t="n">
        <v>134</v>
      </c>
      <c r="C138" s="9" t="s">
        <v>42</v>
      </c>
      <c r="D138" s="9" t="s">
        <v>18</v>
      </c>
      <c r="E138" s="9" t="s">
        <v>85</v>
      </c>
      <c r="F138" s="9" t="s">
        <v>62</v>
      </c>
      <c r="G138" s="9" t="s">
        <v>476</v>
      </c>
      <c r="H138" s="9" t="s">
        <v>136</v>
      </c>
      <c r="I138" s="9" t="s">
        <v>137</v>
      </c>
      <c r="J138" s="9" t="s">
        <v>468</v>
      </c>
      <c r="K138" s="9" t="s">
        <v>481</v>
      </c>
      <c r="L138" s="9" t="s">
        <v>482</v>
      </c>
      <c r="M138" s="9" t="s">
        <v>326</v>
      </c>
      <c r="N138" s="9" t="s">
        <v>483</v>
      </c>
      <c r="O138" s="9" t="s">
        <v>471</v>
      </c>
      <c r="P138" s="9" t="s">
        <v>144</v>
      </c>
      <c r="Q138" s="9" t="s">
        <v>329</v>
      </c>
      <c r="R138" s="9" t="s">
        <v>330</v>
      </c>
      <c r="S138" s="9" t="s">
        <v>472</v>
      </c>
      <c r="T138" s="9" t="s">
        <v>147</v>
      </c>
      <c r="U138" s="9" t="s">
        <v>148</v>
      </c>
      <c r="V138" s="9" t="s">
        <v>236</v>
      </c>
      <c r="W138" s="9" t="s">
        <v>334</v>
      </c>
      <c r="X138" s="9" t="s">
        <v>484</v>
      </c>
      <c r="Y138" s="9" t="s">
        <v>237</v>
      </c>
      <c r="Z138" s="9" t="s">
        <v>461</v>
      </c>
      <c r="AA138" s="9" t="s">
        <v>154</v>
      </c>
      <c r="AB138" s="19" t="n">
        <v>240</v>
      </c>
      <c r="AC138" s="9"/>
      <c r="AD138" s="9"/>
      <c r="AE138" s="9" t="s">
        <v>155</v>
      </c>
    </row>
    <row r="139" customFormat="false" ht="21.75" hidden="false" customHeight="true" outlineLevel="0" collapsed="false">
      <c r="B139" s="14" t="n">
        <v>135</v>
      </c>
      <c r="C139" s="7" t="s">
        <v>42</v>
      </c>
      <c r="D139" s="7" t="s">
        <v>18</v>
      </c>
      <c r="E139" s="7" t="s">
        <v>85</v>
      </c>
      <c r="F139" s="7" t="s">
        <v>62</v>
      </c>
      <c r="G139" s="7" t="s">
        <v>477</v>
      </c>
      <c r="H139" s="7" t="s">
        <v>157</v>
      </c>
      <c r="I139" s="7" t="s">
        <v>158</v>
      </c>
      <c r="J139" s="7" t="s">
        <v>468</v>
      </c>
      <c r="K139" s="7" t="s">
        <v>481</v>
      </c>
      <c r="L139" s="7" t="s">
        <v>482</v>
      </c>
      <c r="M139" s="7" t="s">
        <v>326</v>
      </c>
      <c r="N139" s="7" t="s">
        <v>483</v>
      </c>
      <c r="O139" s="7" t="s">
        <v>471</v>
      </c>
      <c r="P139" s="7" t="s">
        <v>144</v>
      </c>
      <c r="Q139" s="7" t="s">
        <v>329</v>
      </c>
      <c r="R139" s="7" t="s">
        <v>330</v>
      </c>
      <c r="S139" s="7" t="s">
        <v>472</v>
      </c>
      <c r="T139" s="7" t="s">
        <v>147</v>
      </c>
      <c r="U139" s="7" t="s">
        <v>148</v>
      </c>
      <c r="V139" s="7" t="s">
        <v>236</v>
      </c>
      <c r="W139" s="7" t="s">
        <v>334</v>
      </c>
      <c r="X139" s="7" t="s">
        <v>484</v>
      </c>
      <c r="Y139" s="7" t="s">
        <v>237</v>
      </c>
      <c r="Z139" s="7" t="s">
        <v>461</v>
      </c>
      <c r="AA139" s="7" t="s">
        <v>154</v>
      </c>
      <c r="AB139" s="18" t="n">
        <v>360</v>
      </c>
      <c r="AC139" s="7"/>
      <c r="AD139" s="7"/>
      <c r="AE139" s="7" t="s">
        <v>159</v>
      </c>
    </row>
    <row r="140" customFormat="false" ht="21.75" hidden="false" customHeight="true" outlineLevel="0" collapsed="false">
      <c r="B140" s="15" t="n">
        <v>136</v>
      </c>
      <c r="C140" s="9" t="s">
        <v>42</v>
      </c>
      <c r="D140" s="9" t="s">
        <v>18</v>
      </c>
      <c r="E140" s="9" t="s">
        <v>85</v>
      </c>
      <c r="F140" s="9" t="s">
        <v>62</v>
      </c>
      <c r="G140" s="9" t="s">
        <v>479</v>
      </c>
      <c r="H140" s="9" t="s">
        <v>157</v>
      </c>
      <c r="I140" s="9" t="s">
        <v>158</v>
      </c>
      <c r="J140" s="9" t="s">
        <v>468</v>
      </c>
      <c r="K140" s="9" t="s">
        <v>481</v>
      </c>
      <c r="L140" s="9" t="s">
        <v>482</v>
      </c>
      <c r="M140" s="9" t="s">
        <v>326</v>
      </c>
      <c r="N140" s="9" t="s">
        <v>483</v>
      </c>
      <c r="O140" s="9" t="s">
        <v>471</v>
      </c>
      <c r="P140" s="9" t="s">
        <v>144</v>
      </c>
      <c r="Q140" s="9" t="s">
        <v>329</v>
      </c>
      <c r="R140" s="9" t="s">
        <v>330</v>
      </c>
      <c r="S140" s="9" t="s">
        <v>472</v>
      </c>
      <c r="T140" s="9" t="s">
        <v>147</v>
      </c>
      <c r="U140" s="9" t="s">
        <v>148</v>
      </c>
      <c r="V140" s="9" t="s">
        <v>236</v>
      </c>
      <c r="W140" s="9" t="s">
        <v>334</v>
      </c>
      <c r="X140" s="9" t="s">
        <v>484</v>
      </c>
      <c r="Y140" s="9" t="s">
        <v>237</v>
      </c>
      <c r="Z140" s="9" t="s">
        <v>461</v>
      </c>
      <c r="AA140" s="9" t="s">
        <v>154</v>
      </c>
      <c r="AB140" s="19" t="n">
        <v>480</v>
      </c>
      <c r="AC140" s="9"/>
      <c r="AD140" s="9"/>
      <c r="AE140" s="9" t="s">
        <v>485</v>
      </c>
    </row>
    <row r="141" customFormat="false" ht="21.75" hidden="false" customHeight="true" outlineLevel="0" collapsed="false">
      <c r="B141" s="14" t="n">
        <v>137</v>
      </c>
      <c r="C141" s="7" t="s">
        <v>42</v>
      </c>
      <c r="D141" s="7" t="s">
        <v>18</v>
      </c>
      <c r="E141" s="7" t="s">
        <v>85</v>
      </c>
      <c r="F141" s="7" t="s">
        <v>62</v>
      </c>
      <c r="G141" s="7" t="s">
        <v>486</v>
      </c>
      <c r="H141" s="7" t="s">
        <v>163</v>
      </c>
      <c r="I141" s="7" t="s">
        <v>164</v>
      </c>
      <c r="J141" s="7" t="s">
        <v>468</v>
      </c>
      <c r="K141" s="7" t="s">
        <v>481</v>
      </c>
      <c r="L141" s="7" t="s">
        <v>482</v>
      </c>
      <c r="M141" s="7" t="s">
        <v>326</v>
      </c>
      <c r="N141" s="7" t="s">
        <v>483</v>
      </c>
      <c r="O141" s="7" t="s">
        <v>471</v>
      </c>
      <c r="P141" s="7" t="s">
        <v>144</v>
      </c>
      <c r="Q141" s="7" t="s">
        <v>329</v>
      </c>
      <c r="R141" s="7" t="s">
        <v>330</v>
      </c>
      <c r="S141" s="7" t="s">
        <v>472</v>
      </c>
      <c r="T141" s="7" t="s">
        <v>147</v>
      </c>
      <c r="U141" s="7" t="s">
        <v>148</v>
      </c>
      <c r="V141" s="7" t="s">
        <v>236</v>
      </c>
      <c r="W141" s="7" t="s">
        <v>334</v>
      </c>
      <c r="X141" s="7" t="s">
        <v>484</v>
      </c>
      <c r="Y141" s="7" t="s">
        <v>237</v>
      </c>
      <c r="Z141" s="7" t="s">
        <v>461</v>
      </c>
      <c r="AA141" s="7" t="s">
        <v>154</v>
      </c>
      <c r="AB141" s="18" t="n">
        <v>720</v>
      </c>
      <c r="AC141" s="7"/>
      <c r="AD141" s="7"/>
      <c r="AE141" s="7" t="s">
        <v>165</v>
      </c>
    </row>
    <row r="142" customFormat="false" ht="21.75" hidden="false" customHeight="true" outlineLevel="0" collapsed="false">
      <c r="B142" s="15" t="n">
        <v>138</v>
      </c>
      <c r="C142" s="9" t="s">
        <v>42</v>
      </c>
      <c r="D142" s="9" t="s">
        <v>18</v>
      </c>
      <c r="E142" s="9" t="s">
        <v>85</v>
      </c>
      <c r="F142" s="9" t="s">
        <v>62</v>
      </c>
      <c r="G142" s="9" t="s">
        <v>480</v>
      </c>
      <c r="H142" s="9" t="s">
        <v>163</v>
      </c>
      <c r="I142" s="9" t="s">
        <v>164</v>
      </c>
      <c r="J142" s="9" t="s">
        <v>468</v>
      </c>
      <c r="K142" s="9" t="s">
        <v>481</v>
      </c>
      <c r="L142" s="9" t="s">
        <v>482</v>
      </c>
      <c r="M142" s="9" t="s">
        <v>326</v>
      </c>
      <c r="N142" s="9" t="s">
        <v>483</v>
      </c>
      <c r="O142" s="9" t="s">
        <v>471</v>
      </c>
      <c r="P142" s="9" t="s">
        <v>144</v>
      </c>
      <c r="Q142" s="9" t="s">
        <v>329</v>
      </c>
      <c r="R142" s="9" t="s">
        <v>330</v>
      </c>
      <c r="S142" s="9" t="s">
        <v>472</v>
      </c>
      <c r="T142" s="9" t="s">
        <v>147</v>
      </c>
      <c r="U142" s="9" t="s">
        <v>148</v>
      </c>
      <c r="V142" s="9" t="s">
        <v>236</v>
      </c>
      <c r="W142" s="9" t="s">
        <v>334</v>
      </c>
      <c r="X142" s="9" t="s">
        <v>484</v>
      </c>
      <c r="Y142" s="9" t="s">
        <v>237</v>
      </c>
      <c r="Z142" s="9" t="s">
        <v>461</v>
      </c>
      <c r="AA142" s="9" t="s">
        <v>154</v>
      </c>
      <c r="AB142" s="19" t="n">
        <v>1055</v>
      </c>
      <c r="AC142" s="9"/>
      <c r="AD142" s="9"/>
      <c r="AE142" s="9" t="s">
        <v>167</v>
      </c>
    </row>
    <row r="143" customFormat="false" ht="21.75" hidden="false" customHeight="true" outlineLevel="0" collapsed="false">
      <c r="B143" s="14" t="n">
        <v>139</v>
      </c>
      <c r="C143" s="7" t="s">
        <v>42</v>
      </c>
      <c r="D143" s="7" t="s">
        <v>18</v>
      </c>
      <c r="E143" s="7" t="s">
        <v>85</v>
      </c>
      <c r="F143" s="7" t="s">
        <v>63</v>
      </c>
      <c r="G143" s="7" t="s">
        <v>487</v>
      </c>
      <c r="H143" s="7" t="s">
        <v>136</v>
      </c>
      <c r="I143" s="7" t="s">
        <v>137</v>
      </c>
      <c r="J143" s="7" t="s">
        <v>468</v>
      </c>
      <c r="K143" s="7" t="s">
        <v>488</v>
      </c>
      <c r="L143" s="7" t="s">
        <v>205</v>
      </c>
      <c r="M143" s="7" t="s">
        <v>326</v>
      </c>
      <c r="N143" s="7" t="s">
        <v>489</v>
      </c>
      <c r="O143" s="7" t="s">
        <v>471</v>
      </c>
      <c r="P143" s="7" t="s">
        <v>144</v>
      </c>
      <c r="Q143" s="7" t="s">
        <v>329</v>
      </c>
      <c r="R143" s="7" t="s">
        <v>330</v>
      </c>
      <c r="S143" s="7" t="s">
        <v>472</v>
      </c>
      <c r="T143" s="7" t="s">
        <v>356</v>
      </c>
      <c r="U143" s="7" t="s">
        <v>148</v>
      </c>
      <c r="V143" s="7" t="s">
        <v>344</v>
      </c>
      <c r="W143" s="7" t="s">
        <v>334</v>
      </c>
      <c r="X143" s="7" t="s">
        <v>490</v>
      </c>
      <c r="Y143" s="7" t="s">
        <v>491</v>
      </c>
      <c r="Z143" s="7" t="s">
        <v>461</v>
      </c>
      <c r="AA143" s="7" t="s">
        <v>183</v>
      </c>
      <c r="AB143" s="18" t="n">
        <v>180</v>
      </c>
      <c r="AC143" s="7"/>
      <c r="AD143" s="7"/>
      <c r="AE143" s="7" t="s">
        <v>155</v>
      </c>
    </row>
    <row r="144" customFormat="false" ht="21.75" hidden="false" customHeight="true" outlineLevel="0" collapsed="false">
      <c r="B144" s="15" t="n">
        <v>140</v>
      </c>
      <c r="C144" s="9" t="s">
        <v>42</v>
      </c>
      <c r="D144" s="9" t="s">
        <v>18</v>
      </c>
      <c r="E144" s="9" t="s">
        <v>85</v>
      </c>
      <c r="F144" s="9" t="s">
        <v>63</v>
      </c>
      <c r="G144" s="9" t="s">
        <v>492</v>
      </c>
      <c r="H144" s="9" t="s">
        <v>157</v>
      </c>
      <c r="I144" s="9" t="s">
        <v>158</v>
      </c>
      <c r="J144" s="9" t="s">
        <v>468</v>
      </c>
      <c r="K144" s="9" t="s">
        <v>488</v>
      </c>
      <c r="L144" s="9" t="s">
        <v>205</v>
      </c>
      <c r="M144" s="9" t="s">
        <v>326</v>
      </c>
      <c r="N144" s="9" t="s">
        <v>489</v>
      </c>
      <c r="O144" s="9" t="s">
        <v>471</v>
      </c>
      <c r="P144" s="9" t="s">
        <v>144</v>
      </c>
      <c r="Q144" s="9" t="s">
        <v>329</v>
      </c>
      <c r="R144" s="9" t="s">
        <v>330</v>
      </c>
      <c r="S144" s="9" t="s">
        <v>472</v>
      </c>
      <c r="T144" s="9" t="s">
        <v>356</v>
      </c>
      <c r="U144" s="9" t="s">
        <v>148</v>
      </c>
      <c r="V144" s="9" t="s">
        <v>344</v>
      </c>
      <c r="W144" s="9" t="s">
        <v>334</v>
      </c>
      <c r="X144" s="9" t="s">
        <v>490</v>
      </c>
      <c r="Y144" s="9" t="s">
        <v>491</v>
      </c>
      <c r="Z144" s="9" t="s">
        <v>461</v>
      </c>
      <c r="AA144" s="9" t="s">
        <v>183</v>
      </c>
      <c r="AB144" s="19" t="n">
        <v>270</v>
      </c>
      <c r="AC144" s="9"/>
      <c r="AD144" s="9"/>
      <c r="AE144" s="9" t="s">
        <v>159</v>
      </c>
    </row>
    <row r="145" customFormat="false" ht="21.75" hidden="false" customHeight="true" outlineLevel="0" collapsed="false">
      <c r="B145" s="14" t="n">
        <v>141</v>
      </c>
      <c r="C145" s="7" t="s">
        <v>42</v>
      </c>
      <c r="D145" s="7" t="s">
        <v>18</v>
      </c>
      <c r="E145" s="7" t="s">
        <v>85</v>
      </c>
      <c r="F145" s="7" t="s">
        <v>63</v>
      </c>
      <c r="G145" s="7" t="s">
        <v>493</v>
      </c>
      <c r="H145" s="7" t="s">
        <v>157</v>
      </c>
      <c r="I145" s="7" t="s">
        <v>158</v>
      </c>
      <c r="J145" s="7" t="s">
        <v>468</v>
      </c>
      <c r="K145" s="7" t="s">
        <v>488</v>
      </c>
      <c r="L145" s="7" t="s">
        <v>205</v>
      </c>
      <c r="M145" s="7" t="s">
        <v>326</v>
      </c>
      <c r="N145" s="7" t="s">
        <v>489</v>
      </c>
      <c r="O145" s="7" t="s">
        <v>471</v>
      </c>
      <c r="P145" s="7" t="s">
        <v>144</v>
      </c>
      <c r="Q145" s="7" t="s">
        <v>329</v>
      </c>
      <c r="R145" s="7" t="s">
        <v>330</v>
      </c>
      <c r="S145" s="7" t="s">
        <v>472</v>
      </c>
      <c r="T145" s="7" t="s">
        <v>356</v>
      </c>
      <c r="U145" s="7" t="s">
        <v>148</v>
      </c>
      <c r="V145" s="7" t="s">
        <v>344</v>
      </c>
      <c r="W145" s="7" t="s">
        <v>334</v>
      </c>
      <c r="X145" s="7" t="s">
        <v>490</v>
      </c>
      <c r="Y145" s="7" t="s">
        <v>491</v>
      </c>
      <c r="Z145" s="7" t="s">
        <v>461</v>
      </c>
      <c r="AA145" s="7" t="s">
        <v>183</v>
      </c>
      <c r="AB145" s="18" t="n">
        <v>360</v>
      </c>
      <c r="AC145" s="7"/>
      <c r="AD145" s="7"/>
      <c r="AE145" s="7" t="s">
        <v>494</v>
      </c>
    </row>
    <row r="146" customFormat="false" ht="21.75" hidden="false" customHeight="true" outlineLevel="0" collapsed="false">
      <c r="B146" s="15" t="n">
        <v>142</v>
      </c>
      <c r="C146" s="9" t="s">
        <v>42</v>
      </c>
      <c r="D146" s="9" t="s">
        <v>18</v>
      </c>
      <c r="E146" s="9" t="s">
        <v>85</v>
      </c>
      <c r="F146" s="9" t="s">
        <v>63</v>
      </c>
      <c r="G146" s="9" t="s">
        <v>495</v>
      </c>
      <c r="H146" s="9" t="s">
        <v>163</v>
      </c>
      <c r="I146" s="9" t="s">
        <v>164</v>
      </c>
      <c r="J146" s="9" t="s">
        <v>468</v>
      </c>
      <c r="K146" s="9" t="s">
        <v>488</v>
      </c>
      <c r="L146" s="9" t="s">
        <v>205</v>
      </c>
      <c r="M146" s="9" t="s">
        <v>326</v>
      </c>
      <c r="N146" s="9" t="s">
        <v>489</v>
      </c>
      <c r="O146" s="9" t="s">
        <v>471</v>
      </c>
      <c r="P146" s="9" t="s">
        <v>144</v>
      </c>
      <c r="Q146" s="9" t="s">
        <v>329</v>
      </c>
      <c r="R146" s="9" t="s">
        <v>330</v>
      </c>
      <c r="S146" s="9" t="s">
        <v>472</v>
      </c>
      <c r="T146" s="9" t="s">
        <v>356</v>
      </c>
      <c r="U146" s="9" t="s">
        <v>148</v>
      </c>
      <c r="V146" s="9" t="s">
        <v>344</v>
      </c>
      <c r="W146" s="9" t="s">
        <v>334</v>
      </c>
      <c r="X146" s="9" t="s">
        <v>490</v>
      </c>
      <c r="Y146" s="9" t="s">
        <v>491</v>
      </c>
      <c r="Z146" s="9" t="s">
        <v>461</v>
      </c>
      <c r="AA146" s="9" t="s">
        <v>183</v>
      </c>
      <c r="AB146" s="19" t="n">
        <v>540</v>
      </c>
      <c r="AC146" s="9"/>
      <c r="AD146" s="9"/>
      <c r="AE146" s="9" t="s">
        <v>165</v>
      </c>
    </row>
    <row r="147" customFormat="false" ht="21.75" hidden="false" customHeight="true" outlineLevel="0" collapsed="false">
      <c r="B147" s="14" t="n">
        <v>143</v>
      </c>
      <c r="C147" s="7" t="s">
        <v>42</v>
      </c>
      <c r="D147" s="7" t="s">
        <v>18</v>
      </c>
      <c r="E147" s="7" t="s">
        <v>85</v>
      </c>
      <c r="F147" s="7" t="s">
        <v>63</v>
      </c>
      <c r="G147" s="7" t="s">
        <v>496</v>
      </c>
      <c r="H147" s="7" t="s">
        <v>163</v>
      </c>
      <c r="I147" s="7" t="s">
        <v>164</v>
      </c>
      <c r="J147" s="7" t="s">
        <v>468</v>
      </c>
      <c r="K147" s="7" t="s">
        <v>488</v>
      </c>
      <c r="L147" s="7" t="s">
        <v>205</v>
      </c>
      <c r="M147" s="7" t="s">
        <v>326</v>
      </c>
      <c r="N147" s="7" t="s">
        <v>489</v>
      </c>
      <c r="O147" s="7" t="s">
        <v>471</v>
      </c>
      <c r="P147" s="7" t="s">
        <v>144</v>
      </c>
      <c r="Q147" s="7" t="s">
        <v>329</v>
      </c>
      <c r="R147" s="7" t="s">
        <v>330</v>
      </c>
      <c r="S147" s="7" t="s">
        <v>472</v>
      </c>
      <c r="T147" s="7" t="s">
        <v>356</v>
      </c>
      <c r="U147" s="7" t="s">
        <v>148</v>
      </c>
      <c r="V147" s="7" t="s">
        <v>344</v>
      </c>
      <c r="W147" s="7" t="s">
        <v>334</v>
      </c>
      <c r="X147" s="7" t="s">
        <v>490</v>
      </c>
      <c r="Y147" s="7" t="s">
        <v>491</v>
      </c>
      <c r="Z147" s="7" t="s">
        <v>461</v>
      </c>
      <c r="AA147" s="7" t="s">
        <v>183</v>
      </c>
      <c r="AB147" s="18" t="n">
        <v>790</v>
      </c>
      <c r="AC147" s="7"/>
      <c r="AD147" s="7"/>
      <c r="AE147" s="7" t="s">
        <v>167</v>
      </c>
    </row>
    <row r="148" customFormat="false" ht="21.75" hidden="false" customHeight="true" outlineLevel="0" collapsed="false">
      <c r="B148" s="15" t="n">
        <v>144</v>
      </c>
      <c r="C148" s="9" t="s">
        <v>42</v>
      </c>
      <c r="D148" s="9" t="s">
        <v>18</v>
      </c>
      <c r="E148" s="9" t="s">
        <v>85</v>
      </c>
      <c r="F148" s="9" t="s">
        <v>64</v>
      </c>
      <c r="G148" s="9" t="s">
        <v>497</v>
      </c>
      <c r="H148" s="9" t="s">
        <v>136</v>
      </c>
      <c r="I148" s="9" t="s">
        <v>137</v>
      </c>
      <c r="J148" s="9" t="s">
        <v>203</v>
      </c>
      <c r="K148" s="9" t="s">
        <v>498</v>
      </c>
      <c r="L148" s="9" t="s">
        <v>499</v>
      </c>
      <c r="M148" s="9" t="s">
        <v>116</v>
      </c>
      <c r="N148" s="9" t="s">
        <v>500</v>
      </c>
      <c r="O148" s="9" t="s">
        <v>471</v>
      </c>
      <c r="P148" s="9" t="s">
        <v>144</v>
      </c>
      <c r="Q148" s="9" t="s">
        <v>329</v>
      </c>
      <c r="R148" s="9" t="s">
        <v>330</v>
      </c>
      <c r="S148" s="9" t="s">
        <v>472</v>
      </c>
      <c r="T148" s="9" t="s">
        <v>356</v>
      </c>
      <c r="U148" s="9" t="s">
        <v>194</v>
      </c>
      <c r="V148" s="9" t="s">
        <v>501</v>
      </c>
      <c r="W148" s="9" t="s">
        <v>334</v>
      </c>
      <c r="X148" s="9" t="s">
        <v>502</v>
      </c>
      <c r="Y148" s="9" t="s">
        <v>503</v>
      </c>
      <c r="Z148" s="9" t="s">
        <v>461</v>
      </c>
      <c r="AA148" s="9" t="s">
        <v>183</v>
      </c>
      <c r="AB148" s="19" t="n">
        <v>1600</v>
      </c>
      <c r="AC148" s="9"/>
      <c r="AD148" s="9"/>
      <c r="AE148" s="9" t="s">
        <v>155</v>
      </c>
    </row>
    <row r="149" customFormat="false" ht="21.75" hidden="false" customHeight="true" outlineLevel="0" collapsed="false">
      <c r="B149" s="14" t="n">
        <v>145</v>
      </c>
      <c r="C149" s="7" t="s">
        <v>42</v>
      </c>
      <c r="D149" s="7" t="s">
        <v>18</v>
      </c>
      <c r="E149" s="7" t="s">
        <v>85</v>
      </c>
      <c r="F149" s="7" t="s">
        <v>64</v>
      </c>
      <c r="G149" s="7" t="s">
        <v>504</v>
      </c>
      <c r="H149" s="7" t="s">
        <v>136</v>
      </c>
      <c r="I149" s="7" t="s">
        <v>137</v>
      </c>
      <c r="J149" s="7" t="s">
        <v>203</v>
      </c>
      <c r="K149" s="7" t="s">
        <v>498</v>
      </c>
      <c r="L149" s="7" t="s">
        <v>499</v>
      </c>
      <c r="M149" s="7" t="s">
        <v>116</v>
      </c>
      <c r="N149" s="7" t="s">
        <v>500</v>
      </c>
      <c r="O149" s="7" t="s">
        <v>471</v>
      </c>
      <c r="P149" s="7" t="s">
        <v>144</v>
      </c>
      <c r="Q149" s="7" t="s">
        <v>329</v>
      </c>
      <c r="R149" s="7" t="s">
        <v>330</v>
      </c>
      <c r="S149" s="7" t="s">
        <v>472</v>
      </c>
      <c r="T149" s="7" t="s">
        <v>356</v>
      </c>
      <c r="U149" s="7" t="s">
        <v>194</v>
      </c>
      <c r="V149" s="7" t="s">
        <v>501</v>
      </c>
      <c r="W149" s="7" t="s">
        <v>334</v>
      </c>
      <c r="X149" s="7" t="s">
        <v>502</v>
      </c>
      <c r="Y149" s="7" t="s">
        <v>503</v>
      </c>
      <c r="Z149" s="7" t="s">
        <v>461</v>
      </c>
      <c r="AA149" s="7" t="s">
        <v>183</v>
      </c>
      <c r="AB149" s="18" t="n">
        <v>2400</v>
      </c>
      <c r="AC149" s="7"/>
      <c r="AD149" s="7"/>
      <c r="AE149" s="7" t="s">
        <v>159</v>
      </c>
    </row>
    <row r="150" customFormat="false" ht="21.75" hidden="false" customHeight="true" outlineLevel="0" collapsed="false">
      <c r="B150" s="15" t="n">
        <v>146</v>
      </c>
      <c r="C150" s="9" t="s">
        <v>42</v>
      </c>
      <c r="D150" s="9" t="s">
        <v>18</v>
      </c>
      <c r="E150" s="9" t="s">
        <v>85</v>
      </c>
      <c r="F150" s="9" t="s">
        <v>64</v>
      </c>
      <c r="G150" s="9" t="s">
        <v>505</v>
      </c>
      <c r="H150" s="9" t="s">
        <v>157</v>
      </c>
      <c r="I150" s="9" t="s">
        <v>158</v>
      </c>
      <c r="J150" s="9" t="s">
        <v>203</v>
      </c>
      <c r="K150" s="9" t="s">
        <v>498</v>
      </c>
      <c r="L150" s="9" t="s">
        <v>499</v>
      </c>
      <c r="M150" s="9" t="s">
        <v>116</v>
      </c>
      <c r="N150" s="9" t="s">
        <v>500</v>
      </c>
      <c r="O150" s="9" t="s">
        <v>471</v>
      </c>
      <c r="P150" s="9" t="s">
        <v>144</v>
      </c>
      <c r="Q150" s="9" t="s">
        <v>329</v>
      </c>
      <c r="R150" s="9" t="s">
        <v>330</v>
      </c>
      <c r="S150" s="9" t="s">
        <v>472</v>
      </c>
      <c r="T150" s="9" t="s">
        <v>356</v>
      </c>
      <c r="U150" s="9" t="s">
        <v>194</v>
      </c>
      <c r="V150" s="9" t="s">
        <v>501</v>
      </c>
      <c r="W150" s="9" t="s">
        <v>334</v>
      </c>
      <c r="X150" s="9" t="s">
        <v>502</v>
      </c>
      <c r="Y150" s="9" t="s">
        <v>503</v>
      </c>
      <c r="Z150" s="9" t="s">
        <v>461</v>
      </c>
      <c r="AA150" s="9" t="s">
        <v>183</v>
      </c>
      <c r="AB150" s="19" t="n">
        <v>3200</v>
      </c>
      <c r="AC150" s="9"/>
      <c r="AD150" s="9"/>
      <c r="AE150" s="9" t="s">
        <v>506</v>
      </c>
    </row>
    <row r="151" customFormat="false" ht="21.75" hidden="false" customHeight="true" outlineLevel="0" collapsed="false">
      <c r="B151" s="14" t="n">
        <v>147</v>
      </c>
      <c r="C151" s="7" t="s">
        <v>42</v>
      </c>
      <c r="D151" s="7" t="s">
        <v>18</v>
      </c>
      <c r="E151" s="7" t="s">
        <v>85</v>
      </c>
      <c r="F151" s="7" t="s">
        <v>64</v>
      </c>
      <c r="G151" s="7" t="s">
        <v>507</v>
      </c>
      <c r="H151" s="7" t="s">
        <v>157</v>
      </c>
      <c r="I151" s="7" t="s">
        <v>158</v>
      </c>
      <c r="J151" s="7" t="s">
        <v>203</v>
      </c>
      <c r="K151" s="7" t="s">
        <v>498</v>
      </c>
      <c r="L151" s="7" t="s">
        <v>499</v>
      </c>
      <c r="M151" s="7" t="s">
        <v>116</v>
      </c>
      <c r="N151" s="7" t="s">
        <v>500</v>
      </c>
      <c r="O151" s="7" t="s">
        <v>471</v>
      </c>
      <c r="P151" s="7" t="s">
        <v>144</v>
      </c>
      <c r="Q151" s="7" t="s">
        <v>329</v>
      </c>
      <c r="R151" s="7" t="s">
        <v>330</v>
      </c>
      <c r="S151" s="7" t="s">
        <v>472</v>
      </c>
      <c r="T151" s="7" t="s">
        <v>356</v>
      </c>
      <c r="U151" s="7" t="s">
        <v>194</v>
      </c>
      <c r="V151" s="7" t="s">
        <v>501</v>
      </c>
      <c r="W151" s="7" t="s">
        <v>334</v>
      </c>
      <c r="X151" s="7" t="s">
        <v>502</v>
      </c>
      <c r="Y151" s="7" t="s">
        <v>503</v>
      </c>
      <c r="Z151" s="7" t="s">
        <v>461</v>
      </c>
      <c r="AA151" s="7" t="s">
        <v>183</v>
      </c>
      <c r="AB151" s="18" t="n">
        <v>4800</v>
      </c>
      <c r="AC151" s="7"/>
      <c r="AD151" s="7"/>
      <c r="AE151" s="7" t="s">
        <v>165</v>
      </c>
    </row>
    <row r="152" customFormat="false" ht="21.75" hidden="false" customHeight="true" outlineLevel="0" collapsed="false">
      <c r="B152" s="15" t="n">
        <v>148</v>
      </c>
      <c r="C152" s="9" t="s">
        <v>42</v>
      </c>
      <c r="D152" s="9" t="s">
        <v>18</v>
      </c>
      <c r="E152" s="9" t="s">
        <v>85</v>
      </c>
      <c r="F152" s="9" t="s">
        <v>64</v>
      </c>
      <c r="G152" s="9" t="s">
        <v>508</v>
      </c>
      <c r="H152" s="9" t="s">
        <v>163</v>
      </c>
      <c r="I152" s="9" t="s">
        <v>164</v>
      </c>
      <c r="J152" s="9" t="s">
        <v>203</v>
      </c>
      <c r="K152" s="9" t="s">
        <v>498</v>
      </c>
      <c r="L152" s="9" t="s">
        <v>499</v>
      </c>
      <c r="M152" s="9" t="s">
        <v>116</v>
      </c>
      <c r="N152" s="9" t="s">
        <v>500</v>
      </c>
      <c r="O152" s="9" t="s">
        <v>471</v>
      </c>
      <c r="P152" s="9" t="s">
        <v>144</v>
      </c>
      <c r="Q152" s="9" t="s">
        <v>329</v>
      </c>
      <c r="R152" s="9" t="s">
        <v>330</v>
      </c>
      <c r="S152" s="9" t="s">
        <v>472</v>
      </c>
      <c r="T152" s="9" t="s">
        <v>356</v>
      </c>
      <c r="U152" s="9" t="s">
        <v>194</v>
      </c>
      <c r="V152" s="9" t="s">
        <v>501</v>
      </c>
      <c r="W152" s="9" t="s">
        <v>334</v>
      </c>
      <c r="X152" s="9" t="s">
        <v>502</v>
      </c>
      <c r="Y152" s="9" t="s">
        <v>503</v>
      </c>
      <c r="Z152" s="9" t="s">
        <v>461</v>
      </c>
      <c r="AA152" s="9" t="s">
        <v>183</v>
      </c>
      <c r="AB152" s="19" t="n">
        <v>7040</v>
      </c>
      <c r="AC152" s="9"/>
      <c r="AD152" s="9"/>
      <c r="AE152" s="9" t="s">
        <v>167</v>
      </c>
    </row>
    <row r="153" customFormat="false" ht="21.75" hidden="false" customHeight="true" outlineLevel="0" collapsed="false">
      <c r="B153" s="14" t="n">
        <v>149</v>
      </c>
      <c r="C153" s="7" t="s">
        <v>42</v>
      </c>
      <c r="D153" s="7" t="s">
        <v>18</v>
      </c>
      <c r="E153" s="7" t="s">
        <v>85</v>
      </c>
      <c r="F153" s="7" t="s">
        <v>65</v>
      </c>
      <c r="G153" s="7" t="s">
        <v>509</v>
      </c>
      <c r="H153" s="7" t="s">
        <v>136</v>
      </c>
      <c r="I153" s="7" t="s">
        <v>137</v>
      </c>
      <c r="J153" s="7" t="s">
        <v>203</v>
      </c>
      <c r="K153" s="7" t="s">
        <v>498</v>
      </c>
      <c r="L153" s="7" t="s">
        <v>510</v>
      </c>
      <c r="M153" s="7" t="s">
        <v>116</v>
      </c>
      <c r="N153" s="7" t="s">
        <v>511</v>
      </c>
      <c r="O153" s="7" t="s">
        <v>471</v>
      </c>
      <c r="P153" s="7" t="s">
        <v>144</v>
      </c>
      <c r="Q153" s="7" t="s">
        <v>329</v>
      </c>
      <c r="R153" s="7" t="s">
        <v>330</v>
      </c>
      <c r="S153" s="7" t="s">
        <v>472</v>
      </c>
      <c r="T153" s="7" t="s">
        <v>356</v>
      </c>
      <c r="U153" s="7" t="s">
        <v>194</v>
      </c>
      <c r="V153" s="7" t="s">
        <v>296</v>
      </c>
      <c r="W153" s="7" t="s">
        <v>334</v>
      </c>
      <c r="X153" s="7" t="s">
        <v>512</v>
      </c>
      <c r="Y153" s="7" t="s">
        <v>513</v>
      </c>
      <c r="Z153" s="7" t="s">
        <v>461</v>
      </c>
      <c r="AA153" s="7" t="s">
        <v>154</v>
      </c>
      <c r="AB153" s="18" t="n">
        <v>875</v>
      </c>
      <c r="AC153" s="7"/>
      <c r="AD153" s="7"/>
      <c r="AE153" s="7" t="s">
        <v>155</v>
      </c>
    </row>
    <row r="154" customFormat="false" ht="21.75" hidden="false" customHeight="true" outlineLevel="0" collapsed="false">
      <c r="B154" s="15" t="n">
        <v>150</v>
      </c>
      <c r="C154" s="9" t="s">
        <v>42</v>
      </c>
      <c r="D154" s="9" t="s">
        <v>18</v>
      </c>
      <c r="E154" s="9" t="s">
        <v>85</v>
      </c>
      <c r="F154" s="9" t="s">
        <v>65</v>
      </c>
      <c r="G154" s="9" t="s">
        <v>514</v>
      </c>
      <c r="H154" s="9" t="s">
        <v>136</v>
      </c>
      <c r="I154" s="9" t="s">
        <v>137</v>
      </c>
      <c r="J154" s="9" t="s">
        <v>203</v>
      </c>
      <c r="K154" s="9" t="s">
        <v>498</v>
      </c>
      <c r="L154" s="9" t="s">
        <v>510</v>
      </c>
      <c r="M154" s="9" t="s">
        <v>116</v>
      </c>
      <c r="N154" s="9" t="s">
        <v>511</v>
      </c>
      <c r="O154" s="9" t="s">
        <v>471</v>
      </c>
      <c r="P154" s="9" t="s">
        <v>144</v>
      </c>
      <c r="Q154" s="9" t="s">
        <v>329</v>
      </c>
      <c r="R154" s="9" t="s">
        <v>330</v>
      </c>
      <c r="S154" s="9" t="s">
        <v>472</v>
      </c>
      <c r="T154" s="9" t="s">
        <v>356</v>
      </c>
      <c r="U154" s="9" t="s">
        <v>194</v>
      </c>
      <c r="V154" s="9" t="s">
        <v>296</v>
      </c>
      <c r="W154" s="9" t="s">
        <v>334</v>
      </c>
      <c r="X154" s="9" t="s">
        <v>512</v>
      </c>
      <c r="Y154" s="9" t="s">
        <v>513</v>
      </c>
      <c r="Z154" s="9" t="s">
        <v>461</v>
      </c>
      <c r="AA154" s="9" t="s">
        <v>154</v>
      </c>
      <c r="AB154" s="19" t="n">
        <v>1310</v>
      </c>
      <c r="AC154" s="9"/>
      <c r="AD154" s="9"/>
      <c r="AE154" s="9" t="s">
        <v>159</v>
      </c>
    </row>
    <row r="155" customFormat="false" ht="21.75" hidden="false" customHeight="true" outlineLevel="0" collapsed="false">
      <c r="B155" s="14" t="n">
        <v>151</v>
      </c>
      <c r="C155" s="7" t="s">
        <v>42</v>
      </c>
      <c r="D155" s="7" t="s">
        <v>18</v>
      </c>
      <c r="E155" s="7" t="s">
        <v>85</v>
      </c>
      <c r="F155" s="7" t="s">
        <v>65</v>
      </c>
      <c r="G155" s="7" t="s">
        <v>515</v>
      </c>
      <c r="H155" s="7" t="s">
        <v>157</v>
      </c>
      <c r="I155" s="7" t="s">
        <v>158</v>
      </c>
      <c r="J155" s="7" t="s">
        <v>203</v>
      </c>
      <c r="K155" s="7" t="s">
        <v>498</v>
      </c>
      <c r="L155" s="7" t="s">
        <v>510</v>
      </c>
      <c r="M155" s="7" t="s">
        <v>116</v>
      </c>
      <c r="N155" s="7" t="s">
        <v>511</v>
      </c>
      <c r="O155" s="7" t="s">
        <v>471</v>
      </c>
      <c r="P155" s="7" t="s">
        <v>144</v>
      </c>
      <c r="Q155" s="7" t="s">
        <v>329</v>
      </c>
      <c r="R155" s="7" t="s">
        <v>330</v>
      </c>
      <c r="S155" s="7" t="s">
        <v>472</v>
      </c>
      <c r="T155" s="7" t="s">
        <v>356</v>
      </c>
      <c r="U155" s="7" t="s">
        <v>194</v>
      </c>
      <c r="V155" s="7" t="s">
        <v>296</v>
      </c>
      <c r="W155" s="7" t="s">
        <v>334</v>
      </c>
      <c r="X155" s="7" t="s">
        <v>512</v>
      </c>
      <c r="Y155" s="7" t="s">
        <v>513</v>
      </c>
      <c r="Z155" s="7" t="s">
        <v>461</v>
      </c>
      <c r="AA155" s="7" t="s">
        <v>154</v>
      </c>
      <c r="AB155" s="18" t="n">
        <v>1750</v>
      </c>
      <c r="AC155" s="7"/>
      <c r="AD155" s="7"/>
      <c r="AE155" s="7" t="s">
        <v>213</v>
      </c>
    </row>
    <row r="156" customFormat="false" ht="21.75" hidden="false" customHeight="true" outlineLevel="0" collapsed="false">
      <c r="B156" s="15" t="n">
        <v>152</v>
      </c>
      <c r="C156" s="9" t="s">
        <v>42</v>
      </c>
      <c r="D156" s="9" t="s">
        <v>18</v>
      </c>
      <c r="E156" s="9" t="s">
        <v>85</v>
      </c>
      <c r="F156" s="9" t="s">
        <v>65</v>
      </c>
      <c r="G156" s="9" t="s">
        <v>516</v>
      </c>
      <c r="H156" s="9" t="s">
        <v>157</v>
      </c>
      <c r="I156" s="9" t="s">
        <v>158</v>
      </c>
      <c r="J156" s="9" t="s">
        <v>203</v>
      </c>
      <c r="K156" s="9" t="s">
        <v>498</v>
      </c>
      <c r="L156" s="9" t="s">
        <v>510</v>
      </c>
      <c r="M156" s="9" t="s">
        <v>116</v>
      </c>
      <c r="N156" s="9" t="s">
        <v>511</v>
      </c>
      <c r="O156" s="9" t="s">
        <v>471</v>
      </c>
      <c r="P156" s="9" t="s">
        <v>144</v>
      </c>
      <c r="Q156" s="9" t="s">
        <v>329</v>
      </c>
      <c r="R156" s="9" t="s">
        <v>330</v>
      </c>
      <c r="S156" s="9" t="s">
        <v>472</v>
      </c>
      <c r="T156" s="9" t="s">
        <v>356</v>
      </c>
      <c r="U156" s="9" t="s">
        <v>194</v>
      </c>
      <c r="V156" s="9" t="s">
        <v>296</v>
      </c>
      <c r="W156" s="9" t="s">
        <v>334</v>
      </c>
      <c r="X156" s="9" t="s">
        <v>512</v>
      </c>
      <c r="Y156" s="9" t="s">
        <v>513</v>
      </c>
      <c r="Z156" s="9" t="s">
        <v>461</v>
      </c>
      <c r="AA156" s="9" t="s">
        <v>154</v>
      </c>
      <c r="AB156" s="19" t="n">
        <v>2625</v>
      </c>
      <c r="AC156" s="9"/>
      <c r="AD156" s="9"/>
      <c r="AE156" s="9" t="s">
        <v>165</v>
      </c>
    </row>
    <row r="157" customFormat="false" ht="21.75" hidden="false" customHeight="true" outlineLevel="0" collapsed="false">
      <c r="B157" s="14" t="n">
        <v>153</v>
      </c>
      <c r="C157" s="7" t="s">
        <v>42</v>
      </c>
      <c r="D157" s="7" t="s">
        <v>18</v>
      </c>
      <c r="E157" s="7" t="s">
        <v>85</v>
      </c>
      <c r="F157" s="7" t="s">
        <v>65</v>
      </c>
      <c r="G157" s="7" t="s">
        <v>517</v>
      </c>
      <c r="H157" s="7" t="s">
        <v>163</v>
      </c>
      <c r="I157" s="7" t="s">
        <v>164</v>
      </c>
      <c r="J157" s="7" t="s">
        <v>203</v>
      </c>
      <c r="K157" s="7" t="s">
        <v>498</v>
      </c>
      <c r="L157" s="7" t="s">
        <v>510</v>
      </c>
      <c r="M157" s="7" t="s">
        <v>116</v>
      </c>
      <c r="N157" s="7" t="s">
        <v>511</v>
      </c>
      <c r="O157" s="7" t="s">
        <v>471</v>
      </c>
      <c r="P157" s="7" t="s">
        <v>144</v>
      </c>
      <c r="Q157" s="7" t="s">
        <v>329</v>
      </c>
      <c r="R157" s="7" t="s">
        <v>330</v>
      </c>
      <c r="S157" s="7" t="s">
        <v>472</v>
      </c>
      <c r="T157" s="7" t="s">
        <v>356</v>
      </c>
      <c r="U157" s="7" t="s">
        <v>194</v>
      </c>
      <c r="V157" s="7" t="s">
        <v>296</v>
      </c>
      <c r="W157" s="7" t="s">
        <v>334</v>
      </c>
      <c r="X157" s="7" t="s">
        <v>512</v>
      </c>
      <c r="Y157" s="7" t="s">
        <v>513</v>
      </c>
      <c r="Z157" s="7" t="s">
        <v>461</v>
      </c>
      <c r="AA157" s="7" t="s">
        <v>154</v>
      </c>
      <c r="AB157" s="18" t="n">
        <v>3850</v>
      </c>
      <c r="AC157" s="7"/>
      <c r="AD157" s="7"/>
      <c r="AE157" s="7" t="s">
        <v>167</v>
      </c>
    </row>
    <row r="158" customFormat="false" ht="21.75" hidden="false" customHeight="true" outlineLevel="0" collapsed="false">
      <c r="B158" s="15" t="n">
        <v>154</v>
      </c>
      <c r="C158" s="9" t="s">
        <v>42</v>
      </c>
      <c r="D158" s="9" t="s">
        <v>18</v>
      </c>
      <c r="E158" s="9" t="s">
        <v>85</v>
      </c>
      <c r="F158" s="9" t="s">
        <v>66</v>
      </c>
      <c r="G158" s="9" t="s">
        <v>518</v>
      </c>
      <c r="H158" s="9" t="s">
        <v>136</v>
      </c>
      <c r="I158" s="9" t="s">
        <v>137</v>
      </c>
      <c r="J158" s="9" t="s">
        <v>396</v>
      </c>
      <c r="K158" s="9" t="s">
        <v>217</v>
      </c>
      <c r="L158" s="9" t="s">
        <v>218</v>
      </c>
      <c r="M158" s="9" t="s">
        <v>116</v>
      </c>
      <c r="N158" s="9" t="s">
        <v>519</v>
      </c>
      <c r="O158" s="9" t="s">
        <v>471</v>
      </c>
      <c r="P158" s="9" t="s">
        <v>144</v>
      </c>
      <c r="Q158" s="9" t="s">
        <v>329</v>
      </c>
      <c r="R158" s="9" t="s">
        <v>330</v>
      </c>
      <c r="S158" s="9" t="s">
        <v>472</v>
      </c>
      <c r="T158" s="9" t="s">
        <v>223</v>
      </c>
      <c r="U158" s="9" t="s">
        <v>148</v>
      </c>
      <c r="V158" s="9" t="s">
        <v>473</v>
      </c>
      <c r="W158" s="9" t="s">
        <v>334</v>
      </c>
      <c r="X158" s="9" t="s">
        <v>520</v>
      </c>
      <c r="Y158" s="9" t="s">
        <v>173</v>
      </c>
      <c r="Z158" s="9" t="s">
        <v>461</v>
      </c>
      <c r="AA158" s="9" t="s">
        <v>223</v>
      </c>
      <c r="AB158" s="19" t="n">
        <v>425</v>
      </c>
      <c r="AC158" s="9"/>
      <c r="AD158" s="9"/>
      <c r="AE158" s="9" t="s">
        <v>155</v>
      </c>
    </row>
    <row r="159" customFormat="false" ht="21.75" hidden="false" customHeight="true" outlineLevel="0" collapsed="false">
      <c r="B159" s="14" t="n">
        <v>155</v>
      </c>
      <c r="C159" s="7" t="s">
        <v>42</v>
      </c>
      <c r="D159" s="7" t="s">
        <v>18</v>
      </c>
      <c r="E159" s="7" t="s">
        <v>85</v>
      </c>
      <c r="F159" s="7" t="s">
        <v>66</v>
      </c>
      <c r="G159" s="7" t="s">
        <v>521</v>
      </c>
      <c r="H159" s="7" t="s">
        <v>157</v>
      </c>
      <c r="I159" s="7" t="s">
        <v>158</v>
      </c>
      <c r="J159" s="7" t="s">
        <v>396</v>
      </c>
      <c r="K159" s="7" t="s">
        <v>217</v>
      </c>
      <c r="L159" s="7" t="s">
        <v>218</v>
      </c>
      <c r="M159" s="7" t="s">
        <v>116</v>
      </c>
      <c r="N159" s="7" t="s">
        <v>519</v>
      </c>
      <c r="O159" s="7" t="s">
        <v>471</v>
      </c>
      <c r="P159" s="7" t="s">
        <v>144</v>
      </c>
      <c r="Q159" s="7" t="s">
        <v>329</v>
      </c>
      <c r="R159" s="7" t="s">
        <v>330</v>
      </c>
      <c r="S159" s="7" t="s">
        <v>472</v>
      </c>
      <c r="T159" s="7" t="s">
        <v>223</v>
      </c>
      <c r="U159" s="7" t="s">
        <v>148</v>
      </c>
      <c r="V159" s="7" t="s">
        <v>473</v>
      </c>
      <c r="W159" s="7" t="s">
        <v>334</v>
      </c>
      <c r="X159" s="7" t="s">
        <v>520</v>
      </c>
      <c r="Y159" s="7" t="s">
        <v>173</v>
      </c>
      <c r="Z159" s="7" t="s">
        <v>461</v>
      </c>
      <c r="AA159" s="7" t="s">
        <v>223</v>
      </c>
      <c r="AB159" s="18" t="n">
        <v>640</v>
      </c>
      <c r="AC159" s="7"/>
      <c r="AD159" s="7"/>
      <c r="AE159" s="7" t="s">
        <v>159</v>
      </c>
    </row>
    <row r="160" customFormat="false" ht="21.75" hidden="false" customHeight="true" outlineLevel="0" collapsed="false">
      <c r="B160" s="15" t="n">
        <v>156</v>
      </c>
      <c r="C160" s="9" t="s">
        <v>42</v>
      </c>
      <c r="D160" s="9" t="s">
        <v>18</v>
      </c>
      <c r="E160" s="9" t="s">
        <v>85</v>
      </c>
      <c r="F160" s="9" t="s">
        <v>66</v>
      </c>
      <c r="G160" s="9" t="s">
        <v>522</v>
      </c>
      <c r="H160" s="9" t="s">
        <v>157</v>
      </c>
      <c r="I160" s="9" t="s">
        <v>158</v>
      </c>
      <c r="J160" s="9" t="s">
        <v>396</v>
      </c>
      <c r="K160" s="9" t="s">
        <v>217</v>
      </c>
      <c r="L160" s="9" t="s">
        <v>218</v>
      </c>
      <c r="M160" s="9" t="s">
        <v>116</v>
      </c>
      <c r="N160" s="9" t="s">
        <v>519</v>
      </c>
      <c r="O160" s="9" t="s">
        <v>471</v>
      </c>
      <c r="P160" s="9" t="s">
        <v>144</v>
      </c>
      <c r="Q160" s="9" t="s">
        <v>329</v>
      </c>
      <c r="R160" s="9" t="s">
        <v>330</v>
      </c>
      <c r="S160" s="9" t="s">
        <v>472</v>
      </c>
      <c r="T160" s="9" t="s">
        <v>223</v>
      </c>
      <c r="U160" s="9" t="s">
        <v>148</v>
      </c>
      <c r="V160" s="9" t="s">
        <v>473</v>
      </c>
      <c r="W160" s="9" t="s">
        <v>334</v>
      </c>
      <c r="X160" s="9" t="s">
        <v>520</v>
      </c>
      <c r="Y160" s="9" t="s">
        <v>173</v>
      </c>
      <c r="Z160" s="9" t="s">
        <v>461</v>
      </c>
      <c r="AA160" s="9" t="s">
        <v>223</v>
      </c>
      <c r="AB160" s="19" t="n">
        <v>850</v>
      </c>
      <c r="AC160" s="9"/>
      <c r="AD160" s="9"/>
      <c r="AE160" s="9" t="s">
        <v>523</v>
      </c>
    </row>
    <row r="161" customFormat="false" ht="21.75" hidden="false" customHeight="true" outlineLevel="0" collapsed="false">
      <c r="B161" s="14" t="n">
        <v>157</v>
      </c>
      <c r="C161" s="7" t="s">
        <v>42</v>
      </c>
      <c r="D161" s="7" t="s">
        <v>18</v>
      </c>
      <c r="E161" s="7" t="s">
        <v>85</v>
      </c>
      <c r="F161" s="7" t="s">
        <v>66</v>
      </c>
      <c r="G161" s="7" t="s">
        <v>524</v>
      </c>
      <c r="H161" s="7" t="s">
        <v>163</v>
      </c>
      <c r="I161" s="7" t="s">
        <v>164</v>
      </c>
      <c r="J161" s="7" t="s">
        <v>396</v>
      </c>
      <c r="K161" s="7" t="s">
        <v>217</v>
      </c>
      <c r="L161" s="7" t="s">
        <v>218</v>
      </c>
      <c r="M161" s="7" t="s">
        <v>116</v>
      </c>
      <c r="N161" s="7" t="s">
        <v>519</v>
      </c>
      <c r="O161" s="7" t="s">
        <v>471</v>
      </c>
      <c r="P161" s="7" t="s">
        <v>144</v>
      </c>
      <c r="Q161" s="7" t="s">
        <v>329</v>
      </c>
      <c r="R161" s="7" t="s">
        <v>330</v>
      </c>
      <c r="S161" s="7" t="s">
        <v>472</v>
      </c>
      <c r="T161" s="7" t="s">
        <v>223</v>
      </c>
      <c r="U161" s="7" t="s">
        <v>148</v>
      </c>
      <c r="V161" s="7" t="s">
        <v>473</v>
      </c>
      <c r="W161" s="7" t="s">
        <v>334</v>
      </c>
      <c r="X161" s="7" t="s">
        <v>520</v>
      </c>
      <c r="Y161" s="7" t="s">
        <v>173</v>
      </c>
      <c r="Z161" s="7" t="s">
        <v>461</v>
      </c>
      <c r="AA161" s="7" t="s">
        <v>223</v>
      </c>
      <c r="AB161" s="18" t="n">
        <v>1275</v>
      </c>
      <c r="AC161" s="7"/>
      <c r="AD161" s="7"/>
      <c r="AE161" s="7" t="s">
        <v>165</v>
      </c>
    </row>
    <row r="162" customFormat="false" ht="21.75" hidden="false" customHeight="true" outlineLevel="0" collapsed="false">
      <c r="B162" s="15" t="n">
        <v>158</v>
      </c>
      <c r="C162" s="9" t="s">
        <v>42</v>
      </c>
      <c r="D162" s="9" t="s">
        <v>18</v>
      </c>
      <c r="E162" s="9" t="s">
        <v>85</v>
      </c>
      <c r="F162" s="9" t="s">
        <v>66</v>
      </c>
      <c r="G162" s="9" t="s">
        <v>525</v>
      </c>
      <c r="H162" s="9" t="s">
        <v>163</v>
      </c>
      <c r="I162" s="9" t="s">
        <v>164</v>
      </c>
      <c r="J162" s="9" t="s">
        <v>396</v>
      </c>
      <c r="K162" s="9" t="s">
        <v>217</v>
      </c>
      <c r="L162" s="9" t="s">
        <v>218</v>
      </c>
      <c r="M162" s="9" t="s">
        <v>116</v>
      </c>
      <c r="N162" s="9" t="s">
        <v>519</v>
      </c>
      <c r="O162" s="9" t="s">
        <v>471</v>
      </c>
      <c r="P162" s="9" t="s">
        <v>144</v>
      </c>
      <c r="Q162" s="9" t="s">
        <v>329</v>
      </c>
      <c r="R162" s="9" t="s">
        <v>330</v>
      </c>
      <c r="S162" s="9" t="s">
        <v>472</v>
      </c>
      <c r="T162" s="9" t="s">
        <v>223</v>
      </c>
      <c r="U162" s="9" t="s">
        <v>148</v>
      </c>
      <c r="V162" s="9" t="s">
        <v>473</v>
      </c>
      <c r="W162" s="9" t="s">
        <v>334</v>
      </c>
      <c r="X162" s="9" t="s">
        <v>520</v>
      </c>
      <c r="Y162" s="9" t="s">
        <v>173</v>
      </c>
      <c r="Z162" s="9" t="s">
        <v>461</v>
      </c>
      <c r="AA162" s="9" t="s">
        <v>223</v>
      </c>
      <c r="AB162" s="19" t="n">
        <v>1870</v>
      </c>
      <c r="AC162" s="9"/>
      <c r="AD162" s="9"/>
      <c r="AE162" s="9" t="s">
        <v>167</v>
      </c>
    </row>
    <row r="163" customFormat="false" ht="21.75" hidden="false" customHeight="true" outlineLevel="0" collapsed="false">
      <c r="B163" s="14" t="n">
        <v>159</v>
      </c>
      <c r="C163" s="7" t="s">
        <v>42</v>
      </c>
      <c r="D163" s="7" t="s">
        <v>18</v>
      </c>
      <c r="E163" s="7" t="s">
        <v>85</v>
      </c>
      <c r="F163" s="7" t="s">
        <v>67</v>
      </c>
      <c r="G163" s="7" t="s">
        <v>526</v>
      </c>
      <c r="H163" s="7" t="s">
        <v>230</v>
      </c>
      <c r="I163" s="7" t="s">
        <v>231</v>
      </c>
      <c r="J163" s="7" t="s">
        <v>396</v>
      </c>
      <c r="K163" s="7" t="s">
        <v>527</v>
      </c>
      <c r="L163" s="7" t="s">
        <v>528</v>
      </c>
      <c r="M163" s="7" t="s">
        <v>116</v>
      </c>
      <c r="N163" s="7" t="s">
        <v>529</v>
      </c>
      <c r="O163" s="7" t="s">
        <v>471</v>
      </c>
      <c r="P163" s="7" t="s">
        <v>144</v>
      </c>
      <c r="Q163" s="7" t="s">
        <v>329</v>
      </c>
      <c r="R163" s="7" t="s">
        <v>330</v>
      </c>
      <c r="S163" s="7" t="s">
        <v>472</v>
      </c>
      <c r="T163" s="7" t="s">
        <v>356</v>
      </c>
      <c r="U163" s="7" t="s">
        <v>148</v>
      </c>
      <c r="V163" s="7" t="s">
        <v>380</v>
      </c>
      <c r="W163" s="7" t="s">
        <v>334</v>
      </c>
      <c r="X163" s="7" t="s">
        <v>530</v>
      </c>
      <c r="Y163" s="7" t="s">
        <v>336</v>
      </c>
      <c r="Z163" s="7" t="s">
        <v>461</v>
      </c>
      <c r="AA163" s="7" t="s">
        <v>154</v>
      </c>
      <c r="AB163" s="18" t="n">
        <v>445</v>
      </c>
      <c r="AC163" s="7"/>
      <c r="AD163" s="7"/>
      <c r="AE163" s="7" t="s">
        <v>155</v>
      </c>
    </row>
    <row r="164" customFormat="false" ht="21.75" hidden="false" customHeight="true" outlineLevel="0" collapsed="false">
      <c r="B164" s="15" t="n">
        <v>160</v>
      </c>
      <c r="C164" s="9" t="s">
        <v>42</v>
      </c>
      <c r="D164" s="9" t="s">
        <v>18</v>
      </c>
      <c r="E164" s="9" t="s">
        <v>85</v>
      </c>
      <c r="F164" s="9" t="s">
        <v>67</v>
      </c>
      <c r="G164" s="9" t="s">
        <v>531</v>
      </c>
      <c r="H164" s="9" t="s">
        <v>230</v>
      </c>
      <c r="I164" s="9" t="s">
        <v>231</v>
      </c>
      <c r="J164" s="9" t="s">
        <v>396</v>
      </c>
      <c r="K164" s="9" t="s">
        <v>527</v>
      </c>
      <c r="L164" s="9" t="s">
        <v>528</v>
      </c>
      <c r="M164" s="9" t="s">
        <v>116</v>
      </c>
      <c r="N164" s="9" t="s">
        <v>529</v>
      </c>
      <c r="O164" s="9" t="s">
        <v>471</v>
      </c>
      <c r="P164" s="9" t="s">
        <v>144</v>
      </c>
      <c r="Q164" s="9" t="s">
        <v>329</v>
      </c>
      <c r="R164" s="9" t="s">
        <v>330</v>
      </c>
      <c r="S164" s="9" t="s">
        <v>472</v>
      </c>
      <c r="T164" s="9" t="s">
        <v>356</v>
      </c>
      <c r="U164" s="9" t="s">
        <v>148</v>
      </c>
      <c r="V164" s="9" t="s">
        <v>380</v>
      </c>
      <c r="W164" s="9" t="s">
        <v>334</v>
      </c>
      <c r="X164" s="9" t="s">
        <v>530</v>
      </c>
      <c r="Y164" s="9" t="s">
        <v>336</v>
      </c>
      <c r="Z164" s="9" t="s">
        <v>461</v>
      </c>
      <c r="AA164" s="9" t="s">
        <v>154</v>
      </c>
      <c r="AB164" s="19" t="n">
        <v>670</v>
      </c>
      <c r="AC164" s="9"/>
      <c r="AD164" s="9"/>
      <c r="AE164" s="9" t="s">
        <v>159</v>
      </c>
    </row>
    <row r="165" customFormat="false" ht="21.75" hidden="false" customHeight="true" outlineLevel="0" collapsed="false">
      <c r="B165" s="14" t="n">
        <v>161</v>
      </c>
      <c r="C165" s="7" t="s">
        <v>42</v>
      </c>
      <c r="D165" s="7" t="s">
        <v>18</v>
      </c>
      <c r="E165" s="7" t="s">
        <v>85</v>
      </c>
      <c r="F165" s="7" t="s">
        <v>67</v>
      </c>
      <c r="G165" s="7" t="s">
        <v>532</v>
      </c>
      <c r="H165" s="7" t="s">
        <v>240</v>
      </c>
      <c r="I165" s="7" t="s">
        <v>241</v>
      </c>
      <c r="J165" s="7" t="s">
        <v>396</v>
      </c>
      <c r="K165" s="7" t="s">
        <v>527</v>
      </c>
      <c r="L165" s="7" t="s">
        <v>528</v>
      </c>
      <c r="M165" s="7" t="s">
        <v>116</v>
      </c>
      <c r="N165" s="7" t="s">
        <v>529</v>
      </c>
      <c r="O165" s="7" t="s">
        <v>471</v>
      </c>
      <c r="P165" s="7" t="s">
        <v>144</v>
      </c>
      <c r="Q165" s="7" t="s">
        <v>329</v>
      </c>
      <c r="R165" s="7" t="s">
        <v>330</v>
      </c>
      <c r="S165" s="7" t="s">
        <v>472</v>
      </c>
      <c r="T165" s="7" t="s">
        <v>356</v>
      </c>
      <c r="U165" s="7" t="s">
        <v>148</v>
      </c>
      <c r="V165" s="7" t="s">
        <v>380</v>
      </c>
      <c r="W165" s="7" t="s">
        <v>334</v>
      </c>
      <c r="X165" s="7" t="s">
        <v>530</v>
      </c>
      <c r="Y165" s="7" t="s">
        <v>336</v>
      </c>
      <c r="Z165" s="7" t="s">
        <v>461</v>
      </c>
      <c r="AA165" s="7" t="s">
        <v>154</v>
      </c>
      <c r="AB165" s="18" t="n">
        <v>890</v>
      </c>
      <c r="AC165" s="7"/>
      <c r="AD165" s="7"/>
      <c r="AE165" s="7" t="s">
        <v>533</v>
      </c>
    </row>
    <row r="166" customFormat="false" ht="21.75" hidden="false" customHeight="true" outlineLevel="0" collapsed="false">
      <c r="B166" s="15" t="n">
        <v>162</v>
      </c>
      <c r="C166" s="9" t="s">
        <v>42</v>
      </c>
      <c r="D166" s="9" t="s">
        <v>18</v>
      </c>
      <c r="E166" s="9" t="s">
        <v>85</v>
      </c>
      <c r="F166" s="9" t="s">
        <v>67</v>
      </c>
      <c r="G166" s="9" t="s">
        <v>534</v>
      </c>
      <c r="H166" s="9" t="s">
        <v>240</v>
      </c>
      <c r="I166" s="9" t="s">
        <v>241</v>
      </c>
      <c r="J166" s="9" t="s">
        <v>396</v>
      </c>
      <c r="K166" s="9" t="s">
        <v>527</v>
      </c>
      <c r="L166" s="9" t="s">
        <v>528</v>
      </c>
      <c r="M166" s="9" t="s">
        <v>116</v>
      </c>
      <c r="N166" s="9" t="s">
        <v>529</v>
      </c>
      <c r="O166" s="9" t="s">
        <v>471</v>
      </c>
      <c r="P166" s="9" t="s">
        <v>144</v>
      </c>
      <c r="Q166" s="9" t="s">
        <v>329</v>
      </c>
      <c r="R166" s="9" t="s">
        <v>330</v>
      </c>
      <c r="S166" s="9" t="s">
        <v>472</v>
      </c>
      <c r="T166" s="9" t="s">
        <v>356</v>
      </c>
      <c r="U166" s="9" t="s">
        <v>148</v>
      </c>
      <c r="V166" s="9" t="s">
        <v>380</v>
      </c>
      <c r="W166" s="9" t="s">
        <v>334</v>
      </c>
      <c r="X166" s="9" t="s">
        <v>530</v>
      </c>
      <c r="Y166" s="9" t="s">
        <v>336</v>
      </c>
      <c r="Z166" s="9" t="s">
        <v>461</v>
      </c>
      <c r="AA166" s="9" t="s">
        <v>154</v>
      </c>
      <c r="AB166" s="19" t="n">
        <v>1335</v>
      </c>
      <c r="AC166" s="9"/>
      <c r="AD166" s="9"/>
      <c r="AE166" s="9" t="s">
        <v>165</v>
      </c>
    </row>
    <row r="167" customFormat="false" ht="21.75" hidden="false" customHeight="true" outlineLevel="0" collapsed="false">
      <c r="B167" s="14" t="n">
        <v>163</v>
      </c>
      <c r="C167" s="7" t="s">
        <v>42</v>
      </c>
      <c r="D167" s="7" t="s">
        <v>18</v>
      </c>
      <c r="E167" s="7" t="s">
        <v>85</v>
      </c>
      <c r="F167" s="7" t="s">
        <v>67</v>
      </c>
      <c r="G167" s="7" t="s">
        <v>535</v>
      </c>
      <c r="H167" s="7" t="s">
        <v>240</v>
      </c>
      <c r="I167" s="7" t="s">
        <v>241</v>
      </c>
      <c r="J167" s="7" t="s">
        <v>396</v>
      </c>
      <c r="K167" s="7" t="s">
        <v>527</v>
      </c>
      <c r="L167" s="7" t="s">
        <v>528</v>
      </c>
      <c r="M167" s="7" t="s">
        <v>116</v>
      </c>
      <c r="N167" s="7" t="s">
        <v>529</v>
      </c>
      <c r="O167" s="7" t="s">
        <v>471</v>
      </c>
      <c r="P167" s="7" t="s">
        <v>144</v>
      </c>
      <c r="Q167" s="7" t="s">
        <v>329</v>
      </c>
      <c r="R167" s="7" t="s">
        <v>330</v>
      </c>
      <c r="S167" s="7" t="s">
        <v>472</v>
      </c>
      <c r="T167" s="7" t="s">
        <v>356</v>
      </c>
      <c r="U167" s="7" t="s">
        <v>148</v>
      </c>
      <c r="V167" s="7" t="s">
        <v>380</v>
      </c>
      <c r="W167" s="7" t="s">
        <v>334</v>
      </c>
      <c r="X167" s="7" t="s">
        <v>530</v>
      </c>
      <c r="Y167" s="7" t="s">
        <v>336</v>
      </c>
      <c r="Z167" s="7" t="s">
        <v>461</v>
      </c>
      <c r="AA167" s="7" t="s">
        <v>154</v>
      </c>
      <c r="AB167" s="18" t="n">
        <v>1960</v>
      </c>
      <c r="AC167" s="7"/>
      <c r="AD167" s="7"/>
      <c r="AE167" s="7" t="s">
        <v>167</v>
      </c>
    </row>
    <row r="168" customFormat="false" ht="21.75" hidden="false" customHeight="true" outlineLevel="0" collapsed="false">
      <c r="B168" s="15" t="n">
        <v>164</v>
      </c>
      <c r="C168" s="9" t="s">
        <v>42</v>
      </c>
      <c r="D168" s="9" t="s">
        <v>18</v>
      </c>
      <c r="E168" s="9" t="s">
        <v>85</v>
      </c>
      <c r="F168" s="9" t="s">
        <v>68</v>
      </c>
      <c r="G168" s="9" t="s">
        <v>536</v>
      </c>
      <c r="H168" s="9" t="s">
        <v>246</v>
      </c>
      <c r="I168" s="9" t="s">
        <v>247</v>
      </c>
      <c r="J168" s="9" t="s">
        <v>537</v>
      </c>
      <c r="K168" s="9" t="s">
        <v>538</v>
      </c>
      <c r="L168" s="9" t="s">
        <v>169</v>
      </c>
      <c r="M168" s="9" t="s">
        <v>116</v>
      </c>
      <c r="N168" s="9" t="s">
        <v>539</v>
      </c>
      <c r="O168" s="9" t="s">
        <v>471</v>
      </c>
      <c r="P168" s="9" t="s">
        <v>144</v>
      </c>
      <c r="Q168" s="9" t="s">
        <v>329</v>
      </c>
      <c r="R168" s="9" t="s">
        <v>330</v>
      </c>
      <c r="S168" s="9" t="s">
        <v>472</v>
      </c>
      <c r="T168" s="9" t="s">
        <v>398</v>
      </c>
      <c r="U168" s="9" t="s">
        <v>194</v>
      </c>
      <c r="V168" s="9" t="s">
        <v>296</v>
      </c>
      <c r="W168" s="9" t="s">
        <v>334</v>
      </c>
      <c r="X168" s="9" t="s">
        <v>540</v>
      </c>
      <c r="Y168" s="9" t="s">
        <v>541</v>
      </c>
      <c r="Z168" s="9" t="s">
        <v>461</v>
      </c>
      <c r="AA168" s="9" t="s">
        <v>223</v>
      </c>
      <c r="AB168" s="19" t="n">
        <v>1200</v>
      </c>
      <c r="AC168" s="9"/>
      <c r="AD168" s="9"/>
      <c r="AE168" s="9" t="s">
        <v>155</v>
      </c>
    </row>
    <row r="169" customFormat="false" ht="21.75" hidden="false" customHeight="true" outlineLevel="0" collapsed="false">
      <c r="B169" s="14" t="n">
        <v>165</v>
      </c>
      <c r="C169" s="7" t="s">
        <v>42</v>
      </c>
      <c r="D169" s="7" t="s">
        <v>18</v>
      </c>
      <c r="E169" s="7" t="s">
        <v>85</v>
      </c>
      <c r="F169" s="7" t="s">
        <v>68</v>
      </c>
      <c r="G169" s="7" t="s">
        <v>542</v>
      </c>
      <c r="H169" s="7" t="s">
        <v>254</v>
      </c>
      <c r="I169" s="7" t="s">
        <v>255</v>
      </c>
      <c r="J169" s="7" t="s">
        <v>537</v>
      </c>
      <c r="K169" s="7" t="s">
        <v>538</v>
      </c>
      <c r="L169" s="7" t="s">
        <v>169</v>
      </c>
      <c r="M169" s="7" t="s">
        <v>116</v>
      </c>
      <c r="N169" s="7" t="s">
        <v>539</v>
      </c>
      <c r="O169" s="7" t="s">
        <v>471</v>
      </c>
      <c r="P169" s="7" t="s">
        <v>144</v>
      </c>
      <c r="Q169" s="7" t="s">
        <v>329</v>
      </c>
      <c r="R169" s="7" t="s">
        <v>330</v>
      </c>
      <c r="S169" s="7" t="s">
        <v>472</v>
      </c>
      <c r="T169" s="7" t="s">
        <v>398</v>
      </c>
      <c r="U169" s="7" t="s">
        <v>194</v>
      </c>
      <c r="V169" s="7" t="s">
        <v>296</v>
      </c>
      <c r="W169" s="7" t="s">
        <v>334</v>
      </c>
      <c r="X169" s="7" t="s">
        <v>540</v>
      </c>
      <c r="Y169" s="7" t="s">
        <v>541</v>
      </c>
      <c r="Z169" s="7" t="s">
        <v>461</v>
      </c>
      <c r="AA169" s="7" t="s">
        <v>223</v>
      </c>
      <c r="AB169" s="18" t="n">
        <v>1800</v>
      </c>
      <c r="AC169" s="7"/>
      <c r="AD169" s="7"/>
      <c r="AE169" s="7" t="s">
        <v>159</v>
      </c>
    </row>
    <row r="170" customFormat="false" ht="21.75" hidden="false" customHeight="true" outlineLevel="0" collapsed="false">
      <c r="B170" s="15" t="n">
        <v>166</v>
      </c>
      <c r="C170" s="9" t="s">
        <v>42</v>
      </c>
      <c r="D170" s="9" t="s">
        <v>18</v>
      </c>
      <c r="E170" s="9" t="s">
        <v>85</v>
      </c>
      <c r="F170" s="9" t="s">
        <v>68</v>
      </c>
      <c r="G170" s="9" t="s">
        <v>543</v>
      </c>
      <c r="H170" s="9" t="s">
        <v>257</v>
      </c>
      <c r="I170" s="9" t="s">
        <v>258</v>
      </c>
      <c r="J170" s="9" t="s">
        <v>537</v>
      </c>
      <c r="K170" s="9" t="s">
        <v>538</v>
      </c>
      <c r="L170" s="9" t="s">
        <v>169</v>
      </c>
      <c r="M170" s="9" t="s">
        <v>116</v>
      </c>
      <c r="N170" s="9" t="s">
        <v>539</v>
      </c>
      <c r="O170" s="9" t="s">
        <v>471</v>
      </c>
      <c r="P170" s="9" t="s">
        <v>144</v>
      </c>
      <c r="Q170" s="9" t="s">
        <v>329</v>
      </c>
      <c r="R170" s="9" t="s">
        <v>330</v>
      </c>
      <c r="S170" s="9" t="s">
        <v>472</v>
      </c>
      <c r="T170" s="9" t="s">
        <v>398</v>
      </c>
      <c r="U170" s="9" t="s">
        <v>194</v>
      </c>
      <c r="V170" s="9" t="s">
        <v>296</v>
      </c>
      <c r="W170" s="9" t="s">
        <v>334</v>
      </c>
      <c r="X170" s="9" t="s">
        <v>540</v>
      </c>
      <c r="Y170" s="9" t="s">
        <v>541</v>
      </c>
      <c r="Z170" s="9" t="s">
        <v>461</v>
      </c>
      <c r="AA170" s="9" t="s">
        <v>223</v>
      </c>
      <c r="AB170" s="19" t="n">
        <v>2400</v>
      </c>
      <c r="AC170" s="9"/>
      <c r="AD170" s="9"/>
      <c r="AE170" s="9" t="s">
        <v>544</v>
      </c>
    </row>
    <row r="171" customFormat="false" ht="21.75" hidden="false" customHeight="true" outlineLevel="0" collapsed="false">
      <c r="B171" s="14" t="n">
        <v>167</v>
      </c>
      <c r="C171" s="7" t="s">
        <v>42</v>
      </c>
      <c r="D171" s="7" t="s">
        <v>18</v>
      </c>
      <c r="E171" s="7" t="s">
        <v>85</v>
      </c>
      <c r="F171" s="7" t="s">
        <v>68</v>
      </c>
      <c r="G171" s="7" t="s">
        <v>545</v>
      </c>
      <c r="H171" s="7" t="s">
        <v>257</v>
      </c>
      <c r="I171" s="7" t="s">
        <v>258</v>
      </c>
      <c r="J171" s="7" t="s">
        <v>537</v>
      </c>
      <c r="K171" s="7" t="s">
        <v>538</v>
      </c>
      <c r="L171" s="7" t="s">
        <v>169</v>
      </c>
      <c r="M171" s="7" t="s">
        <v>116</v>
      </c>
      <c r="N171" s="7" t="s">
        <v>539</v>
      </c>
      <c r="O171" s="7" t="s">
        <v>471</v>
      </c>
      <c r="P171" s="7" t="s">
        <v>144</v>
      </c>
      <c r="Q171" s="7" t="s">
        <v>329</v>
      </c>
      <c r="R171" s="7" t="s">
        <v>330</v>
      </c>
      <c r="S171" s="7" t="s">
        <v>472</v>
      </c>
      <c r="T171" s="7" t="s">
        <v>398</v>
      </c>
      <c r="U171" s="7" t="s">
        <v>194</v>
      </c>
      <c r="V171" s="7" t="s">
        <v>296</v>
      </c>
      <c r="W171" s="7" t="s">
        <v>334</v>
      </c>
      <c r="X171" s="7" t="s">
        <v>540</v>
      </c>
      <c r="Y171" s="7" t="s">
        <v>541</v>
      </c>
      <c r="Z171" s="7" t="s">
        <v>461</v>
      </c>
      <c r="AA171" s="7" t="s">
        <v>223</v>
      </c>
      <c r="AB171" s="18" t="n">
        <v>3600</v>
      </c>
      <c r="AC171" s="7"/>
      <c r="AD171" s="7"/>
      <c r="AE171" s="7" t="s">
        <v>165</v>
      </c>
    </row>
    <row r="172" customFormat="false" ht="21.75" hidden="false" customHeight="true" outlineLevel="0" collapsed="false">
      <c r="B172" s="15" t="n">
        <v>168</v>
      </c>
      <c r="C172" s="9" t="s">
        <v>42</v>
      </c>
      <c r="D172" s="9" t="s">
        <v>18</v>
      </c>
      <c r="E172" s="9" t="s">
        <v>85</v>
      </c>
      <c r="F172" s="9" t="s">
        <v>68</v>
      </c>
      <c r="G172" s="9" t="s">
        <v>546</v>
      </c>
      <c r="H172" s="9" t="s">
        <v>262</v>
      </c>
      <c r="I172" s="9" t="s">
        <v>263</v>
      </c>
      <c r="J172" s="9" t="s">
        <v>537</v>
      </c>
      <c r="K172" s="9" t="s">
        <v>538</v>
      </c>
      <c r="L172" s="9" t="s">
        <v>169</v>
      </c>
      <c r="M172" s="9" t="s">
        <v>116</v>
      </c>
      <c r="N172" s="9" t="s">
        <v>539</v>
      </c>
      <c r="O172" s="9" t="s">
        <v>471</v>
      </c>
      <c r="P172" s="9" t="s">
        <v>144</v>
      </c>
      <c r="Q172" s="9" t="s">
        <v>329</v>
      </c>
      <c r="R172" s="9" t="s">
        <v>330</v>
      </c>
      <c r="S172" s="9" t="s">
        <v>472</v>
      </c>
      <c r="T172" s="9" t="s">
        <v>398</v>
      </c>
      <c r="U172" s="9" t="s">
        <v>194</v>
      </c>
      <c r="V172" s="9" t="s">
        <v>296</v>
      </c>
      <c r="W172" s="9" t="s">
        <v>334</v>
      </c>
      <c r="X172" s="9" t="s">
        <v>540</v>
      </c>
      <c r="Y172" s="9" t="s">
        <v>541</v>
      </c>
      <c r="Z172" s="9" t="s">
        <v>461</v>
      </c>
      <c r="AA172" s="9" t="s">
        <v>223</v>
      </c>
      <c r="AB172" s="19" t="n">
        <v>5280</v>
      </c>
      <c r="AC172" s="9"/>
      <c r="AD172" s="9"/>
      <c r="AE172" s="9" t="s">
        <v>167</v>
      </c>
    </row>
    <row r="173" customFormat="false" ht="21.75" hidden="false" customHeight="true" outlineLevel="0" collapsed="false">
      <c r="B173" s="14" t="n">
        <v>169</v>
      </c>
      <c r="C173" s="7" t="s">
        <v>42</v>
      </c>
      <c r="D173" s="7" t="s">
        <v>18</v>
      </c>
      <c r="E173" s="7" t="s">
        <v>85</v>
      </c>
      <c r="F173" s="7" t="s">
        <v>69</v>
      </c>
      <c r="G173" s="7" t="s">
        <v>321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18"/>
      <c r="AC173" s="7"/>
      <c r="AD173" s="7"/>
      <c r="AE173" s="7" t="s">
        <v>547</v>
      </c>
    </row>
    <row r="174" customFormat="false" ht="21.75" hidden="false" customHeight="true" outlineLevel="0" collapsed="false">
      <c r="B174" s="15" t="n">
        <v>170</v>
      </c>
      <c r="C174" s="9" t="s">
        <v>42</v>
      </c>
      <c r="D174" s="9" t="s">
        <v>18</v>
      </c>
      <c r="E174" s="9" t="s">
        <v>85</v>
      </c>
      <c r="F174" s="9" t="s">
        <v>70</v>
      </c>
      <c r="G174" s="9" t="s">
        <v>548</v>
      </c>
      <c r="H174" s="9" t="s">
        <v>276</v>
      </c>
      <c r="I174" s="9" t="s">
        <v>277</v>
      </c>
      <c r="J174" s="9" t="s">
        <v>549</v>
      </c>
      <c r="K174" s="9" t="s">
        <v>550</v>
      </c>
      <c r="L174" s="9" t="s">
        <v>551</v>
      </c>
      <c r="M174" s="9" t="s">
        <v>281</v>
      </c>
      <c r="N174" s="9" t="s">
        <v>552</v>
      </c>
      <c r="O174" s="9" t="s">
        <v>471</v>
      </c>
      <c r="P174" s="9" t="s">
        <v>144</v>
      </c>
      <c r="Q174" s="9" t="s">
        <v>329</v>
      </c>
      <c r="R174" s="9" t="s">
        <v>330</v>
      </c>
      <c r="S174" s="9" t="s">
        <v>472</v>
      </c>
      <c r="T174" s="9" t="s">
        <v>356</v>
      </c>
      <c r="U174" s="9" t="s">
        <v>194</v>
      </c>
      <c r="V174" s="9" t="s">
        <v>208</v>
      </c>
      <c r="W174" s="9" t="s">
        <v>334</v>
      </c>
      <c r="X174" s="9" t="s">
        <v>553</v>
      </c>
      <c r="Y174" s="9" t="s">
        <v>554</v>
      </c>
      <c r="Z174" s="9" t="s">
        <v>461</v>
      </c>
      <c r="AA174" s="9" t="s">
        <v>183</v>
      </c>
      <c r="AB174" s="19" t="n">
        <v>2450</v>
      </c>
      <c r="AC174" s="9"/>
      <c r="AD174" s="9"/>
      <c r="AE174" s="9" t="s">
        <v>155</v>
      </c>
    </row>
    <row r="175" customFormat="false" ht="21.75" hidden="false" customHeight="true" outlineLevel="0" collapsed="false">
      <c r="B175" s="14" t="n">
        <v>171</v>
      </c>
      <c r="C175" s="7" t="s">
        <v>42</v>
      </c>
      <c r="D175" s="7" t="s">
        <v>18</v>
      </c>
      <c r="E175" s="7" t="s">
        <v>85</v>
      </c>
      <c r="F175" s="7" t="s">
        <v>70</v>
      </c>
      <c r="G175" s="7" t="s">
        <v>555</v>
      </c>
      <c r="H175" s="7" t="s">
        <v>276</v>
      </c>
      <c r="I175" s="7" t="s">
        <v>277</v>
      </c>
      <c r="J175" s="7" t="s">
        <v>549</v>
      </c>
      <c r="K175" s="7" t="s">
        <v>550</v>
      </c>
      <c r="L175" s="7" t="s">
        <v>551</v>
      </c>
      <c r="M175" s="7" t="s">
        <v>281</v>
      </c>
      <c r="N175" s="7" t="s">
        <v>552</v>
      </c>
      <c r="O175" s="7" t="s">
        <v>471</v>
      </c>
      <c r="P175" s="7" t="s">
        <v>144</v>
      </c>
      <c r="Q175" s="7" t="s">
        <v>329</v>
      </c>
      <c r="R175" s="7" t="s">
        <v>330</v>
      </c>
      <c r="S175" s="7" t="s">
        <v>472</v>
      </c>
      <c r="T175" s="7" t="s">
        <v>356</v>
      </c>
      <c r="U175" s="7" t="s">
        <v>194</v>
      </c>
      <c r="V175" s="7" t="s">
        <v>208</v>
      </c>
      <c r="W175" s="7" t="s">
        <v>334</v>
      </c>
      <c r="X175" s="7" t="s">
        <v>553</v>
      </c>
      <c r="Y175" s="7" t="s">
        <v>554</v>
      </c>
      <c r="Z175" s="7" t="s">
        <v>461</v>
      </c>
      <c r="AA175" s="7" t="s">
        <v>183</v>
      </c>
      <c r="AB175" s="18" t="n">
        <v>3675</v>
      </c>
      <c r="AC175" s="7"/>
      <c r="AD175" s="7"/>
      <c r="AE175" s="7" t="s">
        <v>159</v>
      </c>
    </row>
    <row r="176" customFormat="false" ht="21.75" hidden="false" customHeight="true" outlineLevel="0" collapsed="false">
      <c r="B176" s="15" t="n">
        <v>172</v>
      </c>
      <c r="C176" s="9" t="s">
        <v>42</v>
      </c>
      <c r="D176" s="9" t="s">
        <v>18</v>
      </c>
      <c r="E176" s="9" t="s">
        <v>85</v>
      </c>
      <c r="F176" s="9" t="s">
        <v>70</v>
      </c>
      <c r="G176" s="9" t="s">
        <v>556</v>
      </c>
      <c r="H176" s="9" t="s">
        <v>287</v>
      </c>
      <c r="I176" s="9" t="s">
        <v>288</v>
      </c>
      <c r="J176" s="9" t="s">
        <v>549</v>
      </c>
      <c r="K176" s="9" t="s">
        <v>550</v>
      </c>
      <c r="L176" s="9" t="s">
        <v>551</v>
      </c>
      <c r="M176" s="9" t="s">
        <v>281</v>
      </c>
      <c r="N176" s="9" t="s">
        <v>552</v>
      </c>
      <c r="O176" s="9" t="s">
        <v>471</v>
      </c>
      <c r="P176" s="9" t="s">
        <v>144</v>
      </c>
      <c r="Q176" s="9" t="s">
        <v>329</v>
      </c>
      <c r="R176" s="9" t="s">
        <v>330</v>
      </c>
      <c r="S176" s="9" t="s">
        <v>472</v>
      </c>
      <c r="T176" s="9" t="s">
        <v>356</v>
      </c>
      <c r="U176" s="9" t="s">
        <v>194</v>
      </c>
      <c r="V176" s="9" t="s">
        <v>208</v>
      </c>
      <c r="W176" s="9" t="s">
        <v>334</v>
      </c>
      <c r="X176" s="9" t="s">
        <v>553</v>
      </c>
      <c r="Y176" s="9" t="s">
        <v>554</v>
      </c>
      <c r="Z176" s="9" t="s">
        <v>461</v>
      </c>
      <c r="AA176" s="9" t="s">
        <v>183</v>
      </c>
      <c r="AB176" s="19" t="n">
        <v>4900</v>
      </c>
      <c r="AC176" s="9"/>
      <c r="AD176" s="9"/>
      <c r="AE176" s="9" t="s">
        <v>557</v>
      </c>
    </row>
    <row r="177" customFormat="false" ht="21.75" hidden="false" customHeight="true" outlineLevel="0" collapsed="false">
      <c r="B177" s="14" t="n">
        <v>173</v>
      </c>
      <c r="C177" s="7" t="s">
        <v>42</v>
      </c>
      <c r="D177" s="7" t="s">
        <v>18</v>
      </c>
      <c r="E177" s="7" t="s">
        <v>85</v>
      </c>
      <c r="F177" s="7" t="s">
        <v>70</v>
      </c>
      <c r="G177" s="7" t="s">
        <v>558</v>
      </c>
      <c r="H177" s="7" t="s">
        <v>287</v>
      </c>
      <c r="I177" s="7" t="s">
        <v>288</v>
      </c>
      <c r="J177" s="7" t="s">
        <v>549</v>
      </c>
      <c r="K177" s="7" t="s">
        <v>550</v>
      </c>
      <c r="L177" s="7" t="s">
        <v>551</v>
      </c>
      <c r="M177" s="7" t="s">
        <v>281</v>
      </c>
      <c r="N177" s="7" t="s">
        <v>552</v>
      </c>
      <c r="O177" s="7" t="s">
        <v>471</v>
      </c>
      <c r="P177" s="7" t="s">
        <v>144</v>
      </c>
      <c r="Q177" s="7" t="s">
        <v>329</v>
      </c>
      <c r="R177" s="7" t="s">
        <v>330</v>
      </c>
      <c r="S177" s="7" t="s">
        <v>472</v>
      </c>
      <c r="T177" s="7" t="s">
        <v>356</v>
      </c>
      <c r="U177" s="7" t="s">
        <v>194</v>
      </c>
      <c r="V177" s="7" t="s">
        <v>208</v>
      </c>
      <c r="W177" s="7" t="s">
        <v>334</v>
      </c>
      <c r="X177" s="7" t="s">
        <v>553</v>
      </c>
      <c r="Y177" s="7" t="s">
        <v>554</v>
      </c>
      <c r="Z177" s="7" t="s">
        <v>461</v>
      </c>
      <c r="AA177" s="7" t="s">
        <v>183</v>
      </c>
      <c r="AB177" s="18" t="n">
        <v>7350</v>
      </c>
      <c r="AC177" s="7"/>
      <c r="AD177" s="7"/>
      <c r="AE177" s="7" t="s">
        <v>165</v>
      </c>
    </row>
    <row r="178" customFormat="false" ht="21.75" hidden="false" customHeight="true" outlineLevel="0" collapsed="false">
      <c r="B178" s="15" t="n">
        <v>174</v>
      </c>
      <c r="C178" s="9" t="s">
        <v>42</v>
      </c>
      <c r="D178" s="9" t="s">
        <v>18</v>
      </c>
      <c r="E178" s="9" t="s">
        <v>85</v>
      </c>
      <c r="F178" s="9" t="s">
        <v>70</v>
      </c>
      <c r="G178" s="9" t="s">
        <v>559</v>
      </c>
      <c r="H178" s="9" t="s">
        <v>287</v>
      </c>
      <c r="I178" s="9" t="s">
        <v>288</v>
      </c>
      <c r="J178" s="9" t="s">
        <v>549</v>
      </c>
      <c r="K178" s="9" t="s">
        <v>550</v>
      </c>
      <c r="L178" s="9" t="s">
        <v>551</v>
      </c>
      <c r="M178" s="9" t="s">
        <v>281</v>
      </c>
      <c r="N178" s="9" t="s">
        <v>552</v>
      </c>
      <c r="O178" s="9" t="s">
        <v>471</v>
      </c>
      <c r="P178" s="9" t="s">
        <v>144</v>
      </c>
      <c r="Q178" s="9" t="s">
        <v>329</v>
      </c>
      <c r="R178" s="9" t="s">
        <v>330</v>
      </c>
      <c r="S178" s="9" t="s">
        <v>472</v>
      </c>
      <c r="T178" s="9" t="s">
        <v>356</v>
      </c>
      <c r="U178" s="9" t="s">
        <v>194</v>
      </c>
      <c r="V178" s="9" t="s">
        <v>208</v>
      </c>
      <c r="W178" s="9" t="s">
        <v>334</v>
      </c>
      <c r="X178" s="9" t="s">
        <v>553</v>
      </c>
      <c r="Y178" s="9" t="s">
        <v>554</v>
      </c>
      <c r="Z178" s="9" t="s">
        <v>461</v>
      </c>
      <c r="AA178" s="9" t="s">
        <v>183</v>
      </c>
      <c r="AB178" s="19" t="n">
        <v>10780</v>
      </c>
      <c r="AC178" s="9"/>
      <c r="AD178" s="9"/>
      <c r="AE178" s="9" t="s">
        <v>167</v>
      </c>
    </row>
    <row r="179" customFormat="false" ht="21.75" hidden="false" customHeight="true" outlineLevel="0" collapsed="false">
      <c r="B179" s="14" t="n">
        <v>175</v>
      </c>
      <c r="C179" s="7" t="s">
        <v>42</v>
      </c>
      <c r="D179" s="7" t="s">
        <v>18</v>
      </c>
      <c r="E179" s="7" t="s">
        <v>85</v>
      </c>
      <c r="F179" s="7" t="s">
        <v>71</v>
      </c>
      <c r="G179" s="7" t="s">
        <v>560</v>
      </c>
      <c r="H179" s="7" t="s">
        <v>136</v>
      </c>
      <c r="I179" s="7" t="s">
        <v>137</v>
      </c>
      <c r="J179" s="7" t="s">
        <v>468</v>
      </c>
      <c r="K179" s="7" t="s">
        <v>488</v>
      </c>
      <c r="L179" s="7" t="s">
        <v>561</v>
      </c>
      <c r="M179" s="7" t="s">
        <v>326</v>
      </c>
      <c r="N179" s="7" t="s">
        <v>562</v>
      </c>
      <c r="O179" s="7" t="s">
        <v>471</v>
      </c>
      <c r="P179" s="7" t="s">
        <v>144</v>
      </c>
      <c r="Q179" s="7" t="s">
        <v>329</v>
      </c>
      <c r="R179" s="7" t="s">
        <v>330</v>
      </c>
      <c r="S179" s="7" t="s">
        <v>472</v>
      </c>
      <c r="T179" s="7" t="s">
        <v>356</v>
      </c>
      <c r="U179" s="7" t="s">
        <v>148</v>
      </c>
      <c r="V179" s="7" t="s">
        <v>344</v>
      </c>
      <c r="W179" s="7" t="s">
        <v>334</v>
      </c>
      <c r="X179" s="7" t="s">
        <v>490</v>
      </c>
      <c r="Y179" s="7" t="s">
        <v>491</v>
      </c>
      <c r="Z179" s="7" t="s">
        <v>461</v>
      </c>
      <c r="AA179" s="7" t="s">
        <v>183</v>
      </c>
      <c r="AB179" s="18" t="n">
        <v>190</v>
      </c>
      <c r="AC179" s="7"/>
      <c r="AD179" s="7"/>
      <c r="AE179" s="7" t="s">
        <v>155</v>
      </c>
    </row>
    <row r="180" customFormat="false" ht="21.75" hidden="false" customHeight="true" outlineLevel="0" collapsed="false">
      <c r="B180" s="15" t="n">
        <v>176</v>
      </c>
      <c r="C180" s="9" t="s">
        <v>42</v>
      </c>
      <c r="D180" s="9" t="s">
        <v>18</v>
      </c>
      <c r="E180" s="9" t="s">
        <v>85</v>
      </c>
      <c r="F180" s="9" t="s">
        <v>71</v>
      </c>
      <c r="G180" s="9" t="s">
        <v>563</v>
      </c>
      <c r="H180" s="9" t="s">
        <v>157</v>
      </c>
      <c r="I180" s="9" t="s">
        <v>158</v>
      </c>
      <c r="J180" s="9" t="s">
        <v>468</v>
      </c>
      <c r="K180" s="9" t="s">
        <v>488</v>
      </c>
      <c r="L180" s="9" t="s">
        <v>561</v>
      </c>
      <c r="M180" s="9" t="s">
        <v>326</v>
      </c>
      <c r="N180" s="9" t="s">
        <v>562</v>
      </c>
      <c r="O180" s="9" t="s">
        <v>471</v>
      </c>
      <c r="P180" s="9" t="s">
        <v>144</v>
      </c>
      <c r="Q180" s="9" t="s">
        <v>329</v>
      </c>
      <c r="R180" s="9" t="s">
        <v>330</v>
      </c>
      <c r="S180" s="9" t="s">
        <v>472</v>
      </c>
      <c r="T180" s="9" t="s">
        <v>356</v>
      </c>
      <c r="U180" s="9" t="s">
        <v>148</v>
      </c>
      <c r="V180" s="9" t="s">
        <v>344</v>
      </c>
      <c r="W180" s="9" t="s">
        <v>334</v>
      </c>
      <c r="X180" s="9" t="s">
        <v>490</v>
      </c>
      <c r="Y180" s="9" t="s">
        <v>491</v>
      </c>
      <c r="Z180" s="9" t="s">
        <v>461</v>
      </c>
      <c r="AA180" s="9" t="s">
        <v>183</v>
      </c>
      <c r="AB180" s="19" t="n">
        <v>285</v>
      </c>
      <c r="AC180" s="9"/>
      <c r="AD180" s="9"/>
      <c r="AE180" s="9" t="s">
        <v>159</v>
      </c>
    </row>
    <row r="181" customFormat="false" ht="21.75" hidden="false" customHeight="true" outlineLevel="0" collapsed="false">
      <c r="B181" s="14" t="n">
        <v>177</v>
      </c>
      <c r="C181" s="7" t="s">
        <v>42</v>
      </c>
      <c r="D181" s="7" t="s">
        <v>18</v>
      </c>
      <c r="E181" s="7" t="s">
        <v>85</v>
      </c>
      <c r="F181" s="7" t="s">
        <v>71</v>
      </c>
      <c r="G181" s="7" t="s">
        <v>564</v>
      </c>
      <c r="H181" s="7" t="s">
        <v>163</v>
      </c>
      <c r="I181" s="7" t="s">
        <v>164</v>
      </c>
      <c r="J181" s="7" t="s">
        <v>468</v>
      </c>
      <c r="K181" s="7" t="s">
        <v>488</v>
      </c>
      <c r="L181" s="7" t="s">
        <v>561</v>
      </c>
      <c r="M181" s="7" t="s">
        <v>326</v>
      </c>
      <c r="N181" s="7" t="s">
        <v>562</v>
      </c>
      <c r="O181" s="7" t="s">
        <v>471</v>
      </c>
      <c r="P181" s="7" t="s">
        <v>144</v>
      </c>
      <c r="Q181" s="7" t="s">
        <v>329</v>
      </c>
      <c r="R181" s="7" t="s">
        <v>330</v>
      </c>
      <c r="S181" s="7" t="s">
        <v>472</v>
      </c>
      <c r="T181" s="7" t="s">
        <v>356</v>
      </c>
      <c r="U181" s="7" t="s">
        <v>148</v>
      </c>
      <c r="V181" s="7" t="s">
        <v>344</v>
      </c>
      <c r="W181" s="7" t="s">
        <v>334</v>
      </c>
      <c r="X181" s="7" t="s">
        <v>490</v>
      </c>
      <c r="Y181" s="7" t="s">
        <v>491</v>
      </c>
      <c r="Z181" s="7" t="s">
        <v>461</v>
      </c>
      <c r="AA181" s="7" t="s">
        <v>183</v>
      </c>
      <c r="AB181" s="18" t="n">
        <v>380</v>
      </c>
      <c r="AC181" s="7"/>
      <c r="AD181" s="7"/>
      <c r="AE181" s="7" t="s">
        <v>565</v>
      </c>
    </row>
    <row r="182" customFormat="false" ht="21.75" hidden="false" customHeight="true" outlineLevel="0" collapsed="false">
      <c r="B182" s="15" t="n">
        <v>178</v>
      </c>
      <c r="C182" s="9" t="s">
        <v>42</v>
      </c>
      <c r="D182" s="9" t="s">
        <v>18</v>
      </c>
      <c r="E182" s="9" t="s">
        <v>85</v>
      </c>
      <c r="F182" s="9" t="s">
        <v>71</v>
      </c>
      <c r="G182" s="9" t="s">
        <v>558</v>
      </c>
      <c r="H182" s="9" t="s">
        <v>163</v>
      </c>
      <c r="I182" s="9" t="s">
        <v>164</v>
      </c>
      <c r="J182" s="9" t="s">
        <v>468</v>
      </c>
      <c r="K182" s="9" t="s">
        <v>488</v>
      </c>
      <c r="L182" s="9" t="s">
        <v>561</v>
      </c>
      <c r="M182" s="9" t="s">
        <v>326</v>
      </c>
      <c r="N182" s="9" t="s">
        <v>562</v>
      </c>
      <c r="O182" s="9" t="s">
        <v>471</v>
      </c>
      <c r="P182" s="9" t="s">
        <v>144</v>
      </c>
      <c r="Q182" s="9" t="s">
        <v>329</v>
      </c>
      <c r="R182" s="9" t="s">
        <v>330</v>
      </c>
      <c r="S182" s="9" t="s">
        <v>472</v>
      </c>
      <c r="T182" s="9" t="s">
        <v>356</v>
      </c>
      <c r="U182" s="9" t="s">
        <v>148</v>
      </c>
      <c r="V182" s="9" t="s">
        <v>344</v>
      </c>
      <c r="W182" s="9" t="s">
        <v>334</v>
      </c>
      <c r="X182" s="9" t="s">
        <v>490</v>
      </c>
      <c r="Y182" s="9" t="s">
        <v>491</v>
      </c>
      <c r="Z182" s="9" t="s">
        <v>461</v>
      </c>
      <c r="AA182" s="9" t="s">
        <v>183</v>
      </c>
      <c r="AB182" s="19" t="n">
        <v>570</v>
      </c>
      <c r="AC182" s="9"/>
      <c r="AD182" s="9"/>
      <c r="AE182" s="9" t="s">
        <v>165</v>
      </c>
    </row>
    <row r="183" customFormat="false" ht="21.75" hidden="false" customHeight="true" outlineLevel="0" collapsed="false">
      <c r="B183" s="14" t="n">
        <v>179</v>
      </c>
      <c r="C183" s="7" t="s">
        <v>42</v>
      </c>
      <c r="D183" s="7" t="s">
        <v>18</v>
      </c>
      <c r="E183" s="7" t="s">
        <v>85</v>
      </c>
      <c r="F183" s="7" t="s">
        <v>71</v>
      </c>
      <c r="G183" s="7" t="s">
        <v>566</v>
      </c>
      <c r="H183" s="7" t="s">
        <v>163</v>
      </c>
      <c r="I183" s="7" t="s">
        <v>164</v>
      </c>
      <c r="J183" s="7" t="s">
        <v>468</v>
      </c>
      <c r="K183" s="7" t="s">
        <v>488</v>
      </c>
      <c r="L183" s="7" t="s">
        <v>561</v>
      </c>
      <c r="M183" s="7" t="s">
        <v>326</v>
      </c>
      <c r="N183" s="7" t="s">
        <v>562</v>
      </c>
      <c r="O183" s="7" t="s">
        <v>471</v>
      </c>
      <c r="P183" s="7" t="s">
        <v>144</v>
      </c>
      <c r="Q183" s="7" t="s">
        <v>329</v>
      </c>
      <c r="R183" s="7" t="s">
        <v>330</v>
      </c>
      <c r="S183" s="7" t="s">
        <v>472</v>
      </c>
      <c r="T183" s="7" t="s">
        <v>356</v>
      </c>
      <c r="U183" s="7" t="s">
        <v>148</v>
      </c>
      <c r="V183" s="7" t="s">
        <v>344</v>
      </c>
      <c r="W183" s="7" t="s">
        <v>334</v>
      </c>
      <c r="X183" s="7" t="s">
        <v>490</v>
      </c>
      <c r="Y183" s="7" t="s">
        <v>491</v>
      </c>
      <c r="Z183" s="7" t="s">
        <v>461</v>
      </c>
      <c r="AA183" s="7" t="s">
        <v>183</v>
      </c>
      <c r="AB183" s="18" t="n">
        <v>835</v>
      </c>
      <c r="AC183" s="7"/>
      <c r="AD183" s="7"/>
      <c r="AE183" s="7" t="s">
        <v>167</v>
      </c>
    </row>
    <row r="184" customFormat="false" ht="21.75" hidden="false" customHeight="true" outlineLevel="0" collapsed="false">
      <c r="B184" s="15" t="n">
        <v>180</v>
      </c>
      <c r="C184" s="9" t="s">
        <v>42</v>
      </c>
      <c r="D184" s="9" t="s">
        <v>18</v>
      </c>
      <c r="E184" s="9" t="s">
        <v>85</v>
      </c>
      <c r="F184" s="9" t="s">
        <v>72</v>
      </c>
      <c r="G184" s="9" t="s">
        <v>536</v>
      </c>
      <c r="H184" s="9" t="s">
        <v>301</v>
      </c>
      <c r="I184" s="9" t="s">
        <v>302</v>
      </c>
      <c r="J184" s="9" t="s">
        <v>567</v>
      </c>
      <c r="K184" s="9" t="s">
        <v>568</v>
      </c>
      <c r="L184" s="9" t="s">
        <v>169</v>
      </c>
      <c r="M184" s="9" t="s">
        <v>116</v>
      </c>
      <c r="N184" s="9" t="s">
        <v>569</v>
      </c>
      <c r="O184" s="9" t="s">
        <v>471</v>
      </c>
      <c r="P184" s="9" t="s">
        <v>144</v>
      </c>
      <c r="Q184" s="9" t="s">
        <v>329</v>
      </c>
      <c r="R184" s="9" t="s">
        <v>330</v>
      </c>
      <c r="S184" s="9" t="s">
        <v>472</v>
      </c>
      <c r="T184" s="9" t="s">
        <v>570</v>
      </c>
      <c r="U184" s="9" t="s">
        <v>148</v>
      </c>
      <c r="V184" s="9" t="s">
        <v>368</v>
      </c>
      <c r="W184" s="9" t="s">
        <v>334</v>
      </c>
      <c r="X184" s="9" t="s">
        <v>571</v>
      </c>
      <c r="Y184" s="9" t="s">
        <v>358</v>
      </c>
      <c r="Z184" s="9" t="s">
        <v>461</v>
      </c>
      <c r="AA184" s="9" t="s">
        <v>154</v>
      </c>
      <c r="AB184" s="19" t="n">
        <v>750</v>
      </c>
      <c r="AC184" s="9"/>
      <c r="AD184" s="9"/>
      <c r="AE184" s="9" t="s">
        <v>155</v>
      </c>
    </row>
    <row r="185" customFormat="false" ht="21.75" hidden="false" customHeight="true" outlineLevel="0" collapsed="false">
      <c r="B185" s="14" t="n">
        <v>181</v>
      </c>
      <c r="C185" s="7" t="s">
        <v>42</v>
      </c>
      <c r="D185" s="7" t="s">
        <v>18</v>
      </c>
      <c r="E185" s="7" t="s">
        <v>85</v>
      </c>
      <c r="F185" s="7" t="s">
        <v>72</v>
      </c>
      <c r="G185" s="7" t="s">
        <v>543</v>
      </c>
      <c r="H185" s="7" t="s">
        <v>309</v>
      </c>
      <c r="I185" s="7" t="s">
        <v>310</v>
      </c>
      <c r="J185" s="7" t="s">
        <v>567</v>
      </c>
      <c r="K185" s="7" t="s">
        <v>568</v>
      </c>
      <c r="L185" s="7" t="s">
        <v>169</v>
      </c>
      <c r="M185" s="7" t="s">
        <v>116</v>
      </c>
      <c r="N185" s="7" t="s">
        <v>569</v>
      </c>
      <c r="O185" s="7" t="s">
        <v>471</v>
      </c>
      <c r="P185" s="7" t="s">
        <v>144</v>
      </c>
      <c r="Q185" s="7" t="s">
        <v>329</v>
      </c>
      <c r="R185" s="7" t="s">
        <v>330</v>
      </c>
      <c r="S185" s="7" t="s">
        <v>472</v>
      </c>
      <c r="T185" s="7" t="s">
        <v>570</v>
      </c>
      <c r="U185" s="7" t="s">
        <v>148</v>
      </c>
      <c r="V185" s="7" t="s">
        <v>368</v>
      </c>
      <c r="W185" s="7" t="s">
        <v>334</v>
      </c>
      <c r="X185" s="7" t="s">
        <v>571</v>
      </c>
      <c r="Y185" s="7" t="s">
        <v>358</v>
      </c>
      <c r="Z185" s="7" t="s">
        <v>461</v>
      </c>
      <c r="AA185" s="7" t="s">
        <v>154</v>
      </c>
      <c r="AB185" s="18" t="n">
        <v>1125</v>
      </c>
      <c r="AC185" s="7"/>
      <c r="AD185" s="7"/>
      <c r="AE185" s="7" t="s">
        <v>159</v>
      </c>
    </row>
    <row r="186" customFormat="false" ht="21.75" hidden="false" customHeight="true" outlineLevel="0" collapsed="false">
      <c r="B186" s="15" t="n">
        <v>182</v>
      </c>
      <c r="C186" s="9" t="s">
        <v>42</v>
      </c>
      <c r="D186" s="9" t="s">
        <v>18</v>
      </c>
      <c r="E186" s="9" t="s">
        <v>85</v>
      </c>
      <c r="F186" s="9" t="s">
        <v>72</v>
      </c>
      <c r="G186" s="9" t="s">
        <v>545</v>
      </c>
      <c r="H186" s="9" t="s">
        <v>309</v>
      </c>
      <c r="I186" s="9" t="s">
        <v>310</v>
      </c>
      <c r="J186" s="9" t="s">
        <v>567</v>
      </c>
      <c r="K186" s="9" t="s">
        <v>568</v>
      </c>
      <c r="L186" s="9" t="s">
        <v>169</v>
      </c>
      <c r="M186" s="9" t="s">
        <v>116</v>
      </c>
      <c r="N186" s="9" t="s">
        <v>569</v>
      </c>
      <c r="O186" s="9" t="s">
        <v>471</v>
      </c>
      <c r="P186" s="9" t="s">
        <v>144</v>
      </c>
      <c r="Q186" s="9" t="s">
        <v>329</v>
      </c>
      <c r="R186" s="9" t="s">
        <v>330</v>
      </c>
      <c r="S186" s="9" t="s">
        <v>472</v>
      </c>
      <c r="T186" s="9" t="s">
        <v>570</v>
      </c>
      <c r="U186" s="9" t="s">
        <v>148</v>
      </c>
      <c r="V186" s="9" t="s">
        <v>368</v>
      </c>
      <c r="W186" s="9" t="s">
        <v>334</v>
      </c>
      <c r="X186" s="9" t="s">
        <v>571</v>
      </c>
      <c r="Y186" s="9" t="s">
        <v>358</v>
      </c>
      <c r="Z186" s="9" t="s">
        <v>461</v>
      </c>
      <c r="AA186" s="9" t="s">
        <v>154</v>
      </c>
      <c r="AB186" s="19" t="n">
        <v>1500</v>
      </c>
      <c r="AC186" s="9"/>
      <c r="AD186" s="9"/>
      <c r="AE186" s="9" t="s">
        <v>572</v>
      </c>
    </row>
    <row r="187" customFormat="false" ht="21.75" hidden="false" customHeight="true" outlineLevel="0" collapsed="false">
      <c r="B187" s="14" t="n">
        <v>183</v>
      </c>
      <c r="C187" s="7" t="s">
        <v>42</v>
      </c>
      <c r="D187" s="7" t="s">
        <v>18</v>
      </c>
      <c r="E187" s="7" t="s">
        <v>85</v>
      </c>
      <c r="F187" s="7" t="s">
        <v>72</v>
      </c>
      <c r="G187" s="7" t="s">
        <v>546</v>
      </c>
      <c r="H187" s="7" t="s">
        <v>309</v>
      </c>
      <c r="I187" s="7" t="s">
        <v>310</v>
      </c>
      <c r="J187" s="7" t="s">
        <v>567</v>
      </c>
      <c r="K187" s="7" t="s">
        <v>568</v>
      </c>
      <c r="L187" s="7" t="s">
        <v>169</v>
      </c>
      <c r="M187" s="7" t="s">
        <v>116</v>
      </c>
      <c r="N187" s="7" t="s">
        <v>569</v>
      </c>
      <c r="O187" s="7" t="s">
        <v>471</v>
      </c>
      <c r="P187" s="7" t="s">
        <v>144</v>
      </c>
      <c r="Q187" s="7" t="s">
        <v>329</v>
      </c>
      <c r="R187" s="7" t="s">
        <v>330</v>
      </c>
      <c r="S187" s="7" t="s">
        <v>472</v>
      </c>
      <c r="T187" s="7" t="s">
        <v>570</v>
      </c>
      <c r="U187" s="7" t="s">
        <v>148</v>
      </c>
      <c r="V187" s="7" t="s">
        <v>368</v>
      </c>
      <c r="W187" s="7" t="s">
        <v>334</v>
      </c>
      <c r="X187" s="7" t="s">
        <v>571</v>
      </c>
      <c r="Y187" s="7" t="s">
        <v>358</v>
      </c>
      <c r="Z187" s="7" t="s">
        <v>461</v>
      </c>
      <c r="AA187" s="7" t="s">
        <v>154</v>
      </c>
      <c r="AB187" s="18" t="n">
        <v>2250</v>
      </c>
      <c r="AC187" s="7"/>
      <c r="AD187" s="7"/>
      <c r="AE187" s="7" t="s">
        <v>165</v>
      </c>
    </row>
    <row r="188" customFormat="false" ht="21.75" hidden="false" customHeight="true" outlineLevel="0" collapsed="false">
      <c r="B188" s="15" t="n">
        <v>184</v>
      </c>
      <c r="C188" s="9" t="s">
        <v>42</v>
      </c>
      <c r="D188" s="9" t="s">
        <v>18</v>
      </c>
      <c r="E188" s="9" t="s">
        <v>85</v>
      </c>
      <c r="F188" s="9" t="s">
        <v>72</v>
      </c>
      <c r="G188" s="9" t="s">
        <v>573</v>
      </c>
      <c r="H188" s="9" t="s">
        <v>315</v>
      </c>
      <c r="I188" s="9" t="s">
        <v>316</v>
      </c>
      <c r="J188" s="9" t="s">
        <v>567</v>
      </c>
      <c r="K188" s="9" t="s">
        <v>568</v>
      </c>
      <c r="L188" s="9" t="s">
        <v>169</v>
      </c>
      <c r="M188" s="9" t="s">
        <v>116</v>
      </c>
      <c r="N188" s="9" t="s">
        <v>569</v>
      </c>
      <c r="O188" s="9" t="s">
        <v>471</v>
      </c>
      <c r="P188" s="9" t="s">
        <v>144</v>
      </c>
      <c r="Q188" s="9" t="s">
        <v>329</v>
      </c>
      <c r="R188" s="9" t="s">
        <v>330</v>
      </c>
      <c r="S188" s="9" t="s">
        <v>472</v>
      </c>
      <c r="T188" s="9" t="s">
        <v>570</v>
      </c>
      <c r="U188" s="9" t="s">
        <v>148</v>
      </c>
      <c r="V188" s="9" t="s">
        <v>368</v>
      </c>
      <c r="W188" s="9" t="s">
        <v>334</v>
      </c>
      <c r="X188" s="9" t="s">
        <v>571</v>
      </c>
      <c r="Y188" s="9" t="s">
        <v>358</v>
      </c>
      <c r="Z188" s="9" t="s">
        <v>461</v>
      </c>
      <c r="AA188" s="9" t="s">
        <v>154</v>
      </c>
      <c r="AB188" s="19" t="n">
        <v>3300</v>
      </c>
      <c r="AC188" s="9"/>
      <c r="AD188" s="9"/>
      <c r="AE188" s="9" t="s">
        <v>167</v>
      </c>
    </row>
    <row r="189" customFormat="false" ht="21.75" hidden="false" customHeight="true" outlineLevel="0" collapsed="false">
      <c r="B189" s="14" t="n">
        <v>185</v>
      </c>
      <c r="C189" s="7" t="s">
        <v>42</v>
      </c>
      <c r="D189" s="7" t="s">
        <v>18</v>
      </c>
      <c r="E189" s="7" t="s">
        <v>85</v>
      </c>
      <c r="F189" s="7" t="s">
        <v>73</v>
      </c>
      <c r="G189" s="7" t="s">
        <v>574</v>
      </c>
      <c r="H189" s="7" t="s">
        <v>136</v>
      </c>
      <c r="I189" s="7" t="s">
        <v>137</v>
      </c>
      <c r="J189" s="7" t="s">
        <v>203</v>
      </c>
      <c r="K189" s="7" t="s">
        <v>488</v>
      </c>
      <c r="L189" s="7" t="s">
        <v>482</v>
      </c>
      <c r="M189" s="7" t="s">
        <v>116</v>
      </c>
      <c r="N189" s="7" t="s">
        <v>575</v>
      </c>
      <c r="O189" s="7" t="s">
        <v>471</v>
      </c>
      <c r="P189" s="7" t="s">
        <v>144</v>
      </c>
      <c r="Q189" s="7" t="s">
        <v>329</v>
      </c>
      <c r="R189" s="7" t="s">
        <v>330</v>
      </c>
      <c r="S189" s="7" t="s">
        <v>472</v>
      </c>
      <c r="T189" s="7" t="s">
        <v>147</v>
      </c>
      <c r="U189" s="7" t="s">
        <v>148</v>
      </c>
      <c r="V189" s="7" t="s">
        <v>236</v>
      </c>
      <c r="W189" s="7" t="s">
        <v>334</v>
      </c>
      <c r="X189" s="7" t="s">
        <v>576</v>
      </c>
      <c r="Y189" s="7" t="s">
        <v>577</v>
      </c>
      <c r="Z189" s="7" t="s">
        <v>461</v>
      </c>
      <c r="AA189" s="7" t="s">
        <v>154</v>
      </c>
      <c r="AB189" s="18" t="n">
        <v>360</v>
      </c>
      <c r="AC189" s="7"/>
      <c r="AD189" s="7"/>
      <c r="AE189" s="7" t="s">
        <v>155</v>
      </c>
    </row>
    <row r="190" customFormat="false" ht="21.75" hidden="false" customHeight="true" outlineLevel="0" collapsed="false">
      <c r="B190" s="15" t="n">
        <v>186</v>
      </c>
      <c r="C190" s="9" t="s">
        <v>42</v>
      </c>
      <c r="D190" s="9" t="s">
        <v>18</v>
      </c>
      <c r="E190" s="9" t="s">
        <v>85</v>
      </c>
      <c r="F190" s="9" t="s">
        <v>73</v>
      </c>
      <c r="G190" s="9" t="s">
        <v>578</v>
      </c>
      <c r="H190" s="9" t="s">
        <v>157</v>
      </c>
      <c r="I190" s="9" t="s">
        <v>158</v>
      </c>
      <c r="J190" s="9" t="s">
        <v>203</v>
      </c>
      <c r="K190" s="9" t="s">
        <v>488</v>
      </c>
      <c r="L190" s="9" t="s">
        <v>482</v>
      </c>
      <c r="M190" s="9" t="s">
        <v>116</v>
      </c>
      <c r="N190" s="9" t="s">
        <v>575</v>
      </c>
      <c r="O190" s="9" t="s">
        <v>471</v>
      </c>
      <c r="P190" s="9" t="s">
        <v>144</v>
      </c>
      <c r="Q190" s="9" t="s">
        <v>329</v>
      </c>
      <c r="R190" s="9" t="s">
        <v>330</v>
      </c>
      <c r="S190" s="9" t="s">
        <v>472</v>
      </c>
      <c r="T190" s="9" t="s">
        <v>147</v>
      </c>
      <c r="U190" s="9" t="s">
        <v>148</v>
      </c>
      <c r="V190" s="9" t="s">
        <v>236</v>
      </c>
      <c r="W190" s="9" t="s">
        <v>334</v>
      </c>
      <c r="X190" s="9" t="s">
        <v>576</v>
      </c>
      <c r="Y190" s="9" t="s">
        <v>577</v>
      </c>
      <c r="Z190" s="9" t="s">
        <v>461</v>
      </c>
      <c r="AA190" s="9" t="s">
        <v>154</v>
      </c>
      <c r="AB190" s="19" t="n">
        <v>540</v>
      </c>
      <c r="AC190" s="9"/>
      <c r="AD190" s="9"/>
      <c r="AE190" s="9" t="s">
        <v>159</v>
      </c>
    </row>
    <row r="191" customFormat="false" ht="21.75" hidden="false" customHeight="true" outlineLevel="0" collapsed="false">
      <c r="B191" s="14" t="n">
        <v>187</v>
      </c>
      <c r="C191" s="7" t="s">
        <v>42</v>
      </c>
      <c r="D191" s="7" t="s">
        <v>18</v>
      </c>
      <c r="E191" s="7" t="s">
        <v>85</v>
      </c>
      <c r="F191" s="7" t="s">
        <v>73</v>
      </c>
      <c r="G191" s="7" t="s">
        <v>579</v>
      </c>
      <c r="H191" s="7" t="s">
        <v>157</v>
      </c>
      <c r="I191" s="7" t="s">
        <v>158</v>
      </c>
      <c r="J191" s="7" t="s">
        <v>203</v>
      </c>
      <c r="K191" s="7" t="s">
        <v>488</v>
      </c>
      <c r="L191" s="7" t="s">
        <v>482</v>
      </c>
      <c r="M191" s="7" t="s">
        <v>116</v>
      </c>
      <c r="N191" s="7" t="s">
        <v>575</v>
      </c>
      <c r="O191" s="7" t="s">
        <v>471</v>
      </c>
      <c r="P191" s="7" t="s">
        <v>144</v>
      </c>
      <c r="Q191" s="7" t="s">
        <v>329</v>
      </c>
      <c r="R191" s="7" t="s">
        <v>330</v>
      </c>
      <c r="S191" s="7" t="s">
        <v>472</v>
      </c>
      <c r="T191" s="7" t="s">
        <v>147</v>
      </c>
      <c r="U191" s="7" t="s">
        <v>148</v>
      </c>
      <c r="V191" s="7" t="s">
        <v>236</v>
      </c>
      <c r="W191" s="7" t="s">
        <v>334</v>
      </c>
      <c r="X191" s="7" t="s">
        <v>576</v>
      </c>
      <c r="Y191" s="7" t="s">
        <v>577</v>
      </c>
      <c r="Z191" s="7" t="s">
        <v>461</v>
      </c>
      <c r="AA191" s="7" t="s">
        <v>154</v>
      </c>
      <c r="AB191" s="18" t="n">
        <v>720</v>
      </c>
      <c r="AC191" s="7"/>
      <c r="AD191" s="7"/>
      <c r="AE191" s="7" t="s">
        <v>580</v>
      </c>
    </row>
    <row r="192" customFormat="false" ht="21.75" hidden="false" customHeight="true" outlineLevel="0" collapsed="false">
      <c r="B192" s="15" t="n">
        <v>188</v>
      </c>
      <c r="C192" s="9" t="s">
        <v>42</v>
      </c>
      <c r="D192" s="9" t="s">
        <v>18</v>
      </c>
      <c r="E192" s="9" t="s">
        <v>85</v>
      </c>
      <c r="F192" s="9" t="s">
        <v>73</v>
      </c>
      <c r="G192" s="9" t="s">
        <v>581</v>
      </c>
      <c r="H192" s="9" t="s">
        <v>163</v>
      </c>
      <c r="I192" s="9" t="s">
        <v>164</v>
      </c>
      <c r="J192" s="9" t="s">
        <v>203</v>
      </c>
      <c r="K192" s="9" t="s">
        <v>488</v>
      </c>
      <c r="L192" s="9" t="s">
        <v>482</v>
      </c>
      <c r="M192" s="9" t="s">
        <v>116</v>
      </c>
      <c r="N192" s="9" t="s">
        <v>575</v>
      </c>
      <c r="O192" s="9" t="s">
        <v>471</v>
      </c>
      <c r="P192" s="9" t="s">
        <v>144</v>
      </c>
      <c r="Q192" s="9" t="s">
        <v>329</v>
      </c>
      <c r="R192" s="9" t="s">
        <v>330</v>
      </c>
      <c r="S192" s="9" t="s">
        <v>472</v>
      </c>
      <c r="T192" s="9" t="s">
        <v>147</v>
      </c>
      <c r="U192" s="9" t="s">
        <v>148</v>
      </c>
      <c r="V192" s="9" t="s">
        <v>236</v>
      </c>
      <c r="W192" s="9" t="s">
        <v>334</v>
      </c>
      <c r="X192" s="9" t="s">
        <v>576</v>
      </c>
      <c r="Y192" s="9" t="s">
        <v>577</v>
      </c>
      <c r="Z192" s="9" t="s">
        <v>461</v>
      </c>
      <c r="AA192" s="9" t="s">
        <v>154</v>
      </c>
      <c r="AB192" s="19" t="n">
        <v>1080</v>
      </c>
      <c r="AC192" s="9"/>
      <c r="AD192" s="9"/>
      <c r="AE192" s="9" t="s">
        <v>165</v>
      </c>
    </row>
    <row r="193" customFormat="false" ht="21.75" hidden="false" customHeight="true" outlineLevel="0" collapsed="false">
      <c r="B193" s="14" t="n">
        <v>189</v>
      </c>
      <c r="C193" s="7" t="s">
        <v>42</v>
      </c>
      <c r="D193" s="7" t="s">
        <v>18</v>
      </c>
      <c r="E193" s="7" t="s">
        <v>85</v>
      </c>
      <c r="F193" s="7" t="s">
        <v>73</v>
      </c>
      <c r="G193" s="7" t="s">
        <v>582</v>
      </c>
      <c r="H193" s="7" t="s">
        <v>163</v>
      </c>
      <c r="I193" s="7" t="s">
        <v>164</v>
      </c>
      <c r="J193" s="7" t="s">
        <v>203</v>
      </c>
      <c r="K193" s="7" t="s">
        <v>488</v>
      </c>
      <c r="L193" s="7" t="s">
        <v>482</v>
      </c>
      <c r="M193" s="7" t="s">
        <v>116</v>
      </c>
      <c r="N193" s="7" t="s">
        <v>575</v>
      </c>
      <c r="O193" s="7" t="s">
        <v>471</v>
      </c>
      <c r="P193" s="7" t="s">
        <v>144</v>
      </c>
      <c r="Q193" s="7" t="s">
        <v>329</v>
      </c>
      <c r="R193" s="7" t="s">
        <v>330</v>
      </c>
      <c r="S193" s="7" t="s">
        <v>472</v>
      </c>
      <c r="T193" s="7" t="s">
        <v>147</v>
      </c>
      <c r="U193" s="7" t="s">
        <v>148</v>
      </c>
      <c r="V193" s="7" t="s">
        <v>236</v>
      </c>
      <c r="W193" s="7" t="s">
        <v>334</v>
      </c>
      <c r="X193" s="7" t="s">
        <v>576</v>
      </c>
      <c r="Y193" s="7" t="s">
        <v>577</v>
      </c>
      <c r="Z193" s="7" t="s">
        <v>461</v>
      </c>
      <c r="AA193" s="7" t="s">
        <v>154</v>
      </c>
      <c r="AB193" s="18" t="n">
        <v>1585</v>
      </c>
      <c r="AC193" s="7"/>
      <c r="AD193" s="7"/>
      <c r="AE193" s="7" t="s">
        <v>167</v>
      </c>
    </row>
    <row r="194" customFormat="false" ht="21.75" hidden="false" customHeight="true" outlineLevel="0" collapsed="false">
      <c r="B194" s="15" t="n">
        <v>190</v>
      </c>
      <c r="C194" s="9" t="s">
        <v>42</v>
      </c>
      <c r="D194" s="9" t="s">
        <v>18</v>
      </c>
      <c r="E194" s="9" t="s">
        <v>85</v>
      </c>
      <c r="F194" s="9" t="s">
        <v>74</v>
      </c>
      <c r="G194" s="9" t="s">
        <v>583</v>
      </c>
      <c r="H194" s="9" t="s">
        <v>136</v>
      </c>
      <c r="I194" s="9" t="s">
        <v>137</v>
      </c>
      <c r="J194" s="9" t="s">
        <v>449</v>
      </c>
      <c r="K194" s="9" t="s">
        <v>584</v>
      </c>
      <c r="L194" s="9" t="s">
        <v>451</v>
      </c>
      <c r="M194" s="9" t="s">
        <v>281</v>
      </c>
      <c r="N194" s="9" t="s">
        <v>585</v>
      </c>
      <c r="O194" s="9" t="s">
        <v>453</v>
      </c>
      <c r="P194" s="9" t="s">
        <v>586</v>
      </c>
      <c r="Q194" s="9" t="s">
        <v>455</v>
      </c>
      <c r="R194" s="9" t="s">
        <v>281</v>
      </c>
      <c r="S194" s="9" t="s">
        <v>587</v>
      </c>
      <c r="T194" s="9" t="s">
        <v>223</v>
      </c>
      <c r="U194" s="9" t="s">
        <v>588</v>
      </c>
      <c r="V194" s="9" t="s">
        <v>220</v>
      </c>
      <c r="W194" s="9" t="s">
        <v>458</v>
      </c>
      <c r="X194" s="9" t="s">
        <v>589</v>
      </c>
      <c r="Y194" s="9" t="s">
        <v>590</v>
      </c>
      <c r="Z194" s="9" t="s">
        <v>461</v>
      </c>
      <c r="AA194" s="9" t="s">
        <v>223</v>
      </c>
      <c r="AB194" s="19" t="n">
        <v>45</v>
      </c>
      <c r="AC194" s="9"/>
      <c r="AD194" s="9"/>
      <c r="AE194" s="9" t="s">
        <v>155</v>
      </c>
    </row>
    <row r="195" customFormat="false" ht="21.75" hidden="false" customHeight="true" outlineLevel="0" collapsed="false">
      <c r="B195" s="14" t="n">
        <v>191</v>
      </c>
      <c r="C195" s="7" t="s">
        <v>42</v>
      </c>
      <c r="D195" s="7" t="s">
        <v>18</v>
      </c>
      <c r="E195" s="7" t="s">
        <v>85</v>
      </c>
      <c r="F195" s="7" t="s">
        <v>74</v>
      </c>
      <c r="G195" s="7" t="s">
        <v>591</v>
      </c>
      <c r="H195" s="7" t="s">
        <v>136</v>
      </c>
      <c r="I195" s="7" t="s">
        <v>137</v>
      </c>
      <c r="J195" s="7" t="s">
        <v>449</v>
      </c>
      <c r="K195" s="7" t="s">
        <v>584</v>
      </c>
      <c r="L195" s="7" t="s">
        <v>451</v>
      </c>
      <c r="M195" s="7" t="s">
        <v>281</v>
      </c>
      <c r="N195" s="7" t="s">
        <v>585</v>
      </c>
      <c r="O195" s="7" t="s">
        <v>453</v>
      </c>
      <c r="P195" s="7" t="s">
        <v>586</v>
      </c>
      <c r="Q195" s="7" t="s">
        <v>455</v>
      </c>
      <c r="R195" s="7" t="s">
        <v>281</v>
      </c>
      <c r="S195" s="7" t="s">
        <v>587</v>
      </c>
      <c r="T195" s="7" t="s">
        <v>223</v>
      </c>
      <c r="U195" s="7" t="s">
        <v>588</v>
      </c>
      <c r="V195" s="7" t="s">
        <v>220</v>
      </c>
      <c r="W195" s="7" t="s">
        <v>458</v>
      </c>
      <c r="X195" s="7" t="s">
        <v>589</v>
      </c>
      <c r="Y195" s="7" t="s">
        <v>590</v>
      </c>
      <c r="Z195" s="7" t="s">
        <v>461</v>
      </c>
      <c r="AA195" s="7" t="s">
        <v>223</v>
      </c>
      <c r="AB195" s="18" t="n">
        <v>65</v>
      </c>
      <c r="AC195" s="7"/>
      <c r="AD195" s="7"/>
      <c r="AE195" s="7" t="s">
        <v>159</v>
      </c>
    </row>
    <row r="196" customFormat="false" ht="21.75" hidden="false" customHeight="true" outlineLevel="0" collapsed="false">
      <c r="B196" s="15" t="n">
        <v>192</v>
      </c>
      <c r="C196" s="9" t="s">
        <v>42</v>
      </c>
      <c r="D196" s="9" t="s">
        <v>18</v>
      </c>
      <c r="E196" s="9" t="s">
        <v>85</v>
      </c>
      <c r="F196" s="9" t="s">
        <v>74</v>
      </c>
      <c r="G196" s="9" t="s">
        <v>592</v>
      </c>
      <c r="H196" s="9" t="s">
        <v>157</v>
      </c>
      <c r="I196" s="9" t="s">
        <v>158</v>
      </c>
      <c r="J196" s="9" t="s">
        <v>449</v>
      </c>
      <c r="K196" s="9" t="s">
        <v>584</v>
      </c>
      <c r="L196" s="9" t="s">
        <v>451</v>
      </c>
      <c r="M196" s="9" t="s">
        <v>281</v>
      </c>
      <c r="N196" s="9" t="s">
        <v>585</v>
      </c>
      <c r="O196" s="9" t="s">
        <v>453</v>
      </c>
      <c r="P196" s="9" t="s">
        <v>586</v>
      </c>
      <c r="Q196" s="9" t="s">
        <v>455</v>
      </c>
      <c r="R196" s="9" t="s">
        <v>281</v>
      </c>
      <c r="S196" s="9" t="s">
        <v>587</v>
      </c>
      <c r="T196" s="9" t="s">
        <v>223</v>
      </c>
      <c r="U196" s="9" t="s">
        <v>588</v>
      </c>
      <c r="V196" s="9" t="s">
        <v>220</v>
      </c>
      <c r="W196" s="9" t="s">
        <v>458</v>
      </c>
      <c r="X196" s="9" t="s">
        <v>589</v>
      </c>
      <c r="Y196" s="9" t="s">
        <v>590</v>
      </c>
      <c r="Z196" s="9" t="s">
        <v>461</v>
      </c>
      <c r="AA196" s="9" t="s">
        <v>223</v>
      </c>
      <c r="AB196" s="19" t="n">
        <v>90</v>
      </c>
      <c r="AC196" s="9"/>
      <c r="AD196" s="9"/>
      <c r="AE196" s="9" t="s">
        <v>593</v>
      </c>
    </row>
    <row r="197" customFormat="false" ht="21.75" hidden="false" customHeight="true" outlineLevel="0" collapsed="false">
      <c r="B197" s="14" t="n">
        <v>193</v>
      </c>
      <c r="C197" s="7" t="s">
        <v>42</v>
      </c>
      <c r="D197" s="7" t="s">
        <v>18</v>
      </c>
      <c r="E197" s="7" t="s">
        <v>85</v>
      </c>
      <c r="F197" s="7" t="s">
        <v>74</v>
      </c>
      <c r="G197" s="7" t="s">
        <v>594</v>
      </c>
      <c r="H197" s="7" t="s">
        <v>157</v>
      </c>
      <c r="I197" s="7" t="s">
        <v>158</v>
      </c>
      <c r="J197" s="7" t="s">
        <v>449</v>
      </c>
      <c r="K197" s="7" t="s">
        <v>584</v>
      </c>
      <c r="L197" s="7" t="s">
        <v>451</v>
      </c>
      <c r="M197" s="7" t="s">
        <v>281</v>
      </c>
      <c r="N197" s="7" t="s">
        <v>585</v>
      </c>
      <c r="O197" s="7" t="s">
        <v>453</v>
      </c>
      <c r="P197" s="7" t="s">
        <v>586</v>
      </c>
      <c r="Q197" s="7" t="s">
        <v>455</v>
      </c>
      <c r="R197" s="7" t="s">
        <v>281</v>
      </c>
      <c r="S197" s="7" t="s">
        <v>587</v>
      </c>
      <c r="T197" s="7" t="s">
        <v>223</v>
      </c>
      <c r="U197" s="7" t="s">
        <v>588</v>
      </c>
      <c r="V197" s="7" t="s">
        <v>220</v>
      </c>
      <c r="W197" s="7" t="s">
        <v>458</v>
      </c>
      <c r="X197" s="7" t="s">
        <v>589</v>
      </c>
      <c r="Y197" s="7" t="s">
        <v>590</v>
      </c>
      <c r="Z197" s="7" t="s">
        <v>461</v>
      </c>
      <c r="AA197" s="7" t="s">
        <v>223</v>
      </c>
      <c r="AB197" s="18" t="n">
        <v>135</v>
      </c>
      <c r="AC197" s="7"/>
      <c r="AD197" s="7"/>
      <c r="AE197" s="7" t="s">
        <v>165</v>
      </c>
    </row>
    <row r="198" customFormat="false" ht="21.75" hidden="false" customHeight="true" outlineLevel="0" collapsed="false">
      <c r="B198" s="15" t="n">
        <v>194</v>
      </c>
      <c r="C198" s="9" t="s">
        <v>42</v>
      </c>
      <c r="D198" s="9" t="s">
        <v>18</v>
      </c>
      <c r="E198" s="9" t="s">
        <v>85</v>
      </c>
      <c r="F198" s="9" t="s">
        <v>74</v>
      </c>
      <c r="G198" s="9" t="s">
        <v>595</v>
      </c>
      <c r="H198" s="9" t="s">
        <v>163</v>
      </c>
      <c r="I198" s="9" t="s">
        <v>164</v>
      </c>
      <c r="J198" s="9" t="s">
        <v>449</v>
      </c>
      <c r="K198" s="9" t="s">
        <v>584</v>
      </c>
      <c r="L198" s="9" t="s">
        <v>451</v>
      </c>
      <c r="M198" s="9" t="s">
        <v>281</v>
      </c>
      <c r="N198" s="9" t="s">
        <v>585</v>
      </c>
      <c r="O198" s="9" t="s">
        <v>453</v>
      </c>
      <c r="P198" s="9" t="s">
        <v>586</v>
      </c>
      <c r="Q198" s="9" t="s">
        <v>455</v>
      </c>
      <c r="R198" s="9" t="s">
        <v>281</v>
      </c>
      <c r="S198" s="9" t="s">
        <v>587</v>
      </c>
      <c r="T198" s="9" t="s">
        <v>223</v>
      </c>
      <c r="U198" s="9" t="s">
        <v>588</v>
      </c>
      <c r="V198" s="9" t="s">
        <v>220</v>
      </c>
      <c r="W198" s="9" t="s">
        <v>458</v>
      </c>
      <c r="X198" s="9" t="s">
        <v>589</v>
      </c>
      <c r="Y198" s="9" t="s">
        <v>590</v>
      </c>
      <c r="Z198" s="9" t="s">
        <v>461</v>
      </c>
      <c r="AA198" s="9" t="s">
        <v>223</v>
      </c>
      <c r="AB198" s="19" t="n">
        <v>195</v>
      </c>
      <c r="AC198" s="9"/>
      <c r="AD198" s="9"/>
      <c r="AE198" s="9" t="s">
        <v>167</v>
      </c>
    </row>
    <row r="199" customFormat="false" ht="21.75" hidden="false" customHeight="true" outlineLevel="0" collapsed="false">
      <c r="B199" s="14" t="n">
        <v>195</v>
      </c>
      <c r="C199" s="7" t="s">
        <v>43</v>
      </c>
      <c r="D199" s="7" t="s">
        <v>18</v>
      </c>
      <c r="E199" s="7" t="s">
        <v>86</v>
      </c>
      <c r="F199" s="7" t="s">
        <v>61</v>
      </c>
      <c r="G199" s="7" t="s">
        <v>596</v>
      </c>
      <c r="H199" s="7" t="s">
        <v>136</v>
      </c>
      <c r="I199" s="7" t="s">
        <v>137</v>
      </c>
      <c r="J199" s="7" t="s">
        <v>203</v>
      </c>
      <c r="K199" s="7" t="s">
        <v>168</v>
      </c>
      <c r="L199" s="7" t="s">
        <v>205</v>
      </c>
      <c r="M199" s="7" t="s">
        <v>116</v>
      </c>
      <c r="N199" s="7" t="s">
        <v>597</v>
      </c>
      <c r="O199" s="7" t="s">
        <v>598</v>
      </c>
      <c r="P199" s="7" t="s">
        <v>599</v>
      </c>
      <c r="Q199" s="7" t="s">
        <v>329</v>
      </c>
      <c r="R199" s="7" t="s">
        <v>330</v>
      </c>
      <c r="S199" s="7" t="s">
        <v>472</v>
      </c>
      <c r="T199" s="7" t="s">
        <v>398</v>
      </c>
      <c r="U199" s="7" t="s">
        <v>148</v>
      </c>
      <c r="V199" s="7" t="s">
        <v>380</v>
      </c>
      <c r="W199" s="7" t="s">
        <v>600</v>
      </c>
      <c r="X199" s="7" t="s">
        <v>601</v>
      </c>
      <c r="Y199" s="7" t="s">
        <v>358</v>
      </c>
      <c r="Z199" s="7" t="s">
        <v>602</v>
      </c>
      <c r="AA199" s="7" t="s">
        <v>154</v>
      </c>
      <c r="AB199" s="18" t="n">
        <v>390</v>
      </c>
      <c r="AC199" s="7"/>
      <c r="AD199" s="7"/>
      <c r="AE199" s="7" t="s">
        <v>155</v>
      </c>
    </row>
    <row r="200" customFormat="false" ht="21.75" hidden="false" customHeight="true" outlineLevel="0" collapsed="false">
      <c r="B200" s="15" t="n">
        <v>196</v>
      </c>
      <c r="C200" s="9" t="s">
        <v>43</v>
      </c>
      <c r="D200" s="9" t="s">
        <v>18</v>
      </c>
      <c r="E200" s="9" t="s">
        <v>86</v>
      </c>
      <c r="F200" s="9" t="s">
        <v>61</v>
      </c>
      <c r="G200" s="9" t="s">
        <v>603</v>
      </c>
      <c r="H200" s="9" t="s">
        <v>157</v>
      </c>
      <c r="I200" s="9" t="s">
        <v>158</v>
      </c>
      <c r="J200" s="9" t="s">
        <v>203</v>
      </c>
      <c r="K200" s="9" t="s">
        <v>168</v>
      </c>
      <c r="L200" s="9" t="s">
        <v>205</v>
      </c>
      <c r="M200" s="9" t="s">
        <v>116</v>
      </c>
      <c r="N200" s="9" t="s">
        <v>597</v>
      </c>
      <c r="O200" s="9" t="s">
        <v>598</v>
      </c>
      <c r="P200" s="9" t="s">
        <v>599</v>
      </c>
      <c r="Q200" s="9" t="s">
        <v>329</v>
      </c>
      <c r="R200" s="9" t="s">
        <v>330</v>
      </c>
      <c r="S200" s="9" t="s">
        <v>472</v>
      </c>
      <c r="T200" s="9" t="s">
        <v>398</v>
      </c>
      <c r="U200" s="9" t="s">
        <v>148</v>
      </c>
      <c r="V200" s="9" t="s">
        <v>380</v>
      </c>
      <c r="W200" s="9" t="s">
        <v>600</v>
      </c>
      <c r="X200" s="9" t="s">
        <v>601</v>
      </c>
      <c r="Y200" s="9" t="s">
        <v>358</v>
      </c>
      <c r="Z200" s="9" t="s">
        <v>602</v>
      </c>
      <c r="AA200" s="9" t="s">
        <v>154</v>
      </c>
      <c r="AB200" s="19" t="n">
        <v>585</v>
      </c>
      <c r="AC200" s="9"/>
      <c r="AD200" s="9"/>
      <c r="AE200" s="9" t="s">
        <v>159</v>
      </c>
    </row>
    <row r="201" customFormat="false" ht="21.75" hidden="false" customHeight="true" outlineLevel="0" collapsed="false">
      <c r="B201" s="14" t="n">
        <v>197</v>
      </c>
      <c r="C201" s="7" t="s">
        <v>43</v>
      </c>
      <c r="D201" s="7" t="s">
        <v>18</v>
      </c>
      <c r="E201" s="7" t="s">
        <v>86</v>
      </c>
      <c r="F201" s="7" t="s">
        <v>61</v>
      </c>
      <c r="G201" s="7" t="s">
        <v>604</v>
      </c>
      <c r="H201" s="7" t="s">
        <v>157</v>
      </c>
      <c r="I201" s="7" t="s">
        <v>158</v>
      </c>
      <c r="J201" s="7" t="s">
        <v>203</v>
      </c>
      <c r="K201" s="7" t="s">
        <v>168</v>
      </c>
      <c r="L201" s="7" t="s">
        <v>205</v>
      </c>
      <c r="M201" s="7" t="s">
        <v>116</v>
      </c>
      <c r="N201" s="7" t="s">
        <v>597</v>
      </c>
      <c r="O201" s="7" t="s">
        <v>598</v>
      </c>
      <c r="P201" s="7" t="s">
        <v>599</v>
      </c>
      <c r="Q201" s="7" t="s">
        <v>329</v>
      </c>
      <c r="R201" s="7" t="s">
        <v>330</v>
      </c>
      <c r="S201" s="7" t="s">
        <v>472</v>
      </c>
      <c r="T201" s="7" t="s">
        <v>398</v>
      </c>
      <c r="U201" s="7" t="s">
        <v>148</v>
      </c>
      <c r="V201" s="7" t="s">
        <v>380</v>
      </c>
      <c r="W201" s="7" t="s">
        <v>600</v>
      </c>
      <c r="X201" s="7" t="s">
        <v>601</v>
      </c>
      <c r="Y201" s="7" t="s">
        <v>358</v>
      </c>
      <c r="Z201" s="7" t="s">
        <v>602</v>
      </c>
      <c r="AA201" s="7" t="s">
        <v>154</v>
      </c>
      <c r="AB201" s="18" t="n">
        <v>780</v>
      </c>
      <c r="AC201" s="7"/>
      <c r="AD201" s="7"/>
      <c r="AE201" s="7" t="s">
        <v>605</v>
      </c>
    </row>
    <row r="202" customFormat="false" ht="21.75" hidden="false" customHeight="true" outlineLevel="0" collapsed="false">
      <c r="B202" s="15" t="n">
        <v>198</v>
      </c>
      <c r="C202" s="9" t="s">
        <v>43</v>
      </c>
      <c r="D202" s="9" t="s">
        <v>18</v>
      </c>
      <c r="E202" s="9" t="s">
        <v>86</v>
      </c>
      <c r="F202" s="9" t="s">
        <v>61</v>
      </c>
      <c r="G202" s="9" t="s">
        <v>606</v>
      </c>
      <c r="H202" s="9" t="s">
        <v>163</v>
      </c>
      <c r="I202" s="9" t="s">
        <v>164</v>
      </c>
      <c r="J202" s="9" t="s">
        <v>203</v>
      </c>
      <c r="K202" s="9" t="s">
        <v>168</v>
      </c>
      <c r="L202" s="9" t="s">
        <v>205</v>
      </c>
      <c r="M202" s="9" t="s">
        <v>116</v>
      </c>
      <c r="N202" s="9" t="s">
        <v>597</v>
      </c>
      <c r="O202" s="9" t="s">
        <v>598</v>
      </c>
      <c r="P202" s="9" t="s">
        <v>599</v>
      </c>
      <c r="Q202" s="9" t="s">
        <v>329</v>
      </c>
      <c r="R202" s="9" t="s">
        <v>330</v>
      </c>
      <c r="S202" s="9" t="s">
        <v>472</v>
      </c>
      <c r="T202" s="9" t="s">
        <v>398</v>
      </c>
      <c r="U202" s="9" t="s">
        <v>148</v>
      </c>
      <c r="V202" s="9" t="s">
        <v>380</v>
      </c>
      <c r="W202" s="9" t="s">
        <v>600</v>
      </c>
      <c r="X202" s="9" t="s">
        <v>601</v>
      </c>
      <c r="Y202" s="9" t="s">
        <v>358</v>
      </c>
      <c r="Z202" s="9" t="s">
        <v>602</v>
      </c>
      <c r="AA202" s="9" t="s">
        <v>154</v>
      </c>
      <c r="AB202" s="19" t="n">
        <v>1170</v>
      </c>
      <c r="AC202" s="9"/>
      <c r="AD202" s="9"/>
      <c r="AE202" s="9" t="s">
        <v>165</v>
      </c>
    </row>
    <row r="203" customFormat="false" ht="21.75" hidden="false" customHeight="true" outlineLevel="0" collapsed="false">
      <c r="B203" s="14" t="n">
        <v>199</v>
      </c>
      <c r="C203" s="7" t="s">
        <v>43</v>
      </c>
      <c r="D203" s="7" t="s">
        <v>18</v>
      </c>
      <c r="E203" s="7" t="s">
        <v>86</v>
      </c>
      <c r="F203" s="7" t="s">
        <v>61</v>
      </c>
      <c r="G203" s="7" t="s">
        <v>607</v>
      </c>
      <c r="H203" s="7" t="s">
        <v>163</v>
      </c>
      <c r="I203" s="7" t="s">
        <v>164</v>
      </c>
      <c r="J203" s="7" t="s">
        <v>203</v>
      </c>
      <c r="K203" s="7" t="s">
        <v>168</v>
      </c>
      <c r="L203" s="7" t="s">
        <v>205</v>
      </c>
      <c r="M203" s="7" t="s">
        <v>116</v>
      </c>
      <c r="N203" s="7" t="s">
        <v>597</v>
      </c>
      <c r="O203" s="7" t="s">
        <v>598</v>
      </c>
      <c r="P203" s="7" t="s">
        <v>599</v>
      </c>
      <c r="Q203" s="7" t="s">
        <v>329</v>
      </c>
      <c r="R203" s="7" t="s">
        <v>330</v>
      </c>
      <c r="S203" s="7" t="s">
        <v>472</v>
      </c>
      <c r="T203" s="7" t="s">
        <v>398</v>
      </c>
      <c r="U203" s="7" t="s">
        <v>148</v>
      </c>
      <c r="V203" s="7" t="s">
        <v>380</v>
      </c>
      <c r="W203" s="7" t="s">
        <v>600</v>
      </c>
      <c r="X203" s="7" t="s">
        <v>601</v>
      </c>
      <c r="Y203" s="7" t="s">
        <v>358</v>
      </c>
      <c r="Z203" s="7" t="s">
        <v>602</v>
      </c>
      <c r="AA203" s="7" t="s">
        <v>154</v>
      </c>
      <c r="AB203" s="18" t="n">
        <v>1715</v>
      </c>
      <c r="AC203" s="7"/>
      <c r="AD203" s="7"/>
      <c r="AE203" s="7" t="s">
        <v>167</v>
      </c>
    </row>
    <row r="204" customFormat="false" ht="21.75" hidden="false" customHeight="true" outlineLevel="0" collapsed="false">
      <c r="B204" s="15" t="n">
        <v>200</v>
      </c>
      <c r="C204" s="9" t="s">
        <v>43</v>
      </c>
      <c r="D204" s="9" t="s">
        <v>18</v>
      </c>
      <c r="E204" s="9" t="s">
        <v>86</v>
      </c>
      <c r="F204" s="9" t="s">
        <v>62</v>
      </c>
      <c r="G204" s="9" t="s">
        <v>608</v>
      </c>
      <c r="H204" s="9" t="s">
        <v>136</v>
      </c>
      <c r="I204" s="9" t="s">
        <v>137</v>
      </c>
      <c r="J204" s="9" t="s">
        <v>203</v>
      </c>
      <c r="K204" s="9" t="s">
        <v>168</v>
      </c>
      <c r="L204" s="9" t="s">
        <v>205</v>
      </c>
      <c r="M204" s="9" t="s">
        <v>116</v>
      </c>
      <c r="N204" s="9" t="s">
        <v>597</v>
      </c>
      <c r="O204" s="9" t="s">
        <v>598</v>
      </c>
      <c r="P204" s="9" t="s">
        <v>599</v>
      </c>
      <c r="Q204" s="9" t="s">
        <v>329</v>
      </c>
      <c r="R204" s="9" t="s">
        <v>330</v>
      </c>
      <c r="S204" s="9" t="s">
        <v>472</v>
      </c>
      <c r="T204" s="9" t="s">
        <v>398</v>
      </c>
      <c r="U204" s="9" t="s">
        <v>148</v>
      </c>
      <c r="V204" s="9" t="s">
        <v>380</v>
      </c>
      <c r="W204" s="9" t="s">
        <v>600</v>
      </c>
      <c r="X204" s="9" t="s">
        <v>601</v>
      </c>
      <c r="Y204" s="9" t="s">
        <v>358</v>
      </c>
      <c r="Z204" s="9" t="s">
        <v>602</v>
      </c>
      <c r="AA204" s="9" t="s">
        <v>154</v>
      </c>
      <c r="AB204" s="19" t="n">
        <v>390</v>
      </c>
      <c r="AC204" s="9"/>
      <c r="AD204" s="9"/>
      <c r="AE204" s="9" t="s">
        <v>155</v>
      </c>
    </row>
    <row r="205" customFormat="false" ht="21.75" hidden="false" customHeight="true" outlineLevel="0" collapsed="false">
      <c r="B205" s="14" t="n">
        <v>201</v>
      </c>
      <c r="C205" s="7" t="s">
        <v>43</v>
      </c>
      <c r="D205" s="7" t="s">
        <v>18</v>
      </c>
      <c r="E205" s="7" t="s">
        <v>86</v>
      </c>
      <c r="F205" s="7" t="s">
        <v>62</v>
      </c>
      <c r="G205" s="7" t="s">
        <v>609</v>
      </c>
      <c r="H205" s="7" t="s">
        <v>157</v>
      </c>
      <c r="I205" s="7" t="s">
        <v>158</v>
      </c>
      <c r="J205" s="7" t="s">
        <v>203</v>
      </c>
      <c r="K205" s="7" t="s">
        <v>168</v>
      </c>
      <c r="L205" s="7" t="s">
        <v>205</v>
      </c>
      <c r="M205" s="7" t="s">
        <v>116</v>
      </c>
      <c r="N205" s="7" t="s">
        <v>597</v>
      </c>
      <c r="O205" s="7" t="s">
        <v>598</v>
      </c>
      <c r="P205" s="7" t="s">
        <v>599</v>
      </c>
      <c r="Q205" s="7" t="s">
        <v>329</v>
      </c>
      <c r="R205" s="7" t="s">
        <v>330</v>
      </c>
      <c r="S205" s="7" t="s">
        <v>472</v>
      </c>
      <c r="T205" s="7" t="s">
        <v>398</v>
      </c>
      <c r="U205" s="7" t="s">
        <v>148</v>
      </c>
      <c r="V205" s="7" t="s">
        <v>380</v>
      </c>
      <c r="W205" s="7" t="s">
        <v>600</v>
      </c>
      <c r="X205" s="7" t="s">
        <v>601</v>
      </c>
      <c r="Y205" s="7" t="s">
        <v>358</v>
      </c>
      <c r="Z205" s="7" t="s">
        <v>602</v>
      </c>
      <c r="AA205" s="7" t="s">
        <v>154</v>
      </c>
      <c r="AB205" s="18" t="n">
        <v>585</v>
      </c>
      <c r="AC205" s="7"/>
      <c r="AD205" s="7"/>
      <c r="AE205" s="7" t="s">
        <v>159</v>
      </c>
    </row>
    <row r="206" customFormat="false" ht="21.75" hidden="false" customHeight="true" outlineLevel="0" collapsed="false">
      <c r="B206" s="15" t="n">
        <v>202</v>
      </c>
      <c r="C206" s="9" t="s">
        <v>43</v>
      </c>
      <c r="D206" s="9" t="s">
        <v>18</v>
      </c>
      <c r="E206" s="9" t="s">
        <v>86</v>
      </c>
      <c r="F206" s="9" t="s">
        <v>62</v>
      </c>
      <c r="G206" s="9" t="s">
        <v>610</v>
      </c>
      <c r="H206" s="9" t="s">
        <v>157</v>
      </c>
      <c r="I206" s="9" t="s">
        <v>158</v>
      </c>
      <c r="J206" s="9" t="s">
        <v>203</v>
      </c>
      <c r="K206" s="9" t="s">
        <v>168</v>
      </c>
      <c r="L206" s="9" t="s">
        <v>205</v>
      </c>
      <c r="M206" s="9" t="s">
        <v>116</v>
      </c>
      <c r="N206" s="9" t="s">
        <v>597</v>
      </c>
      <c r="O206" s="9" t="s">
        <v>598</v>
      </c>
      <c r="P206" s="9" t="s">
        <v>599</v>
      </c>
      <c r="Q206" s="9" t="s">
        <v>329</v>
      </c>
      <c r="R206" s="9" t="s">
        <v>330</v>
      </c>
      <c r="S206" s="9" t="s">
        <v>472</v>
      </c>
      <c r="T206" s="9" t="s">
        <v>398</v>
      </c>
      <c r="U206" s="9" t="s">
        <v>148</v>
      </c>
      <c r="V206" s="9" t="s">
        <v>380</v>
      </c>
      <c r="W206" s="9" t="s">
        <v>600</v>
      </c>
      <c r="X206" s="9" t="s">
        <v>601</v>
      </c>
      <c r="Y206" s="9" t="s">
        <v>358</v>
      </c>
      <c r="Z206" s="9" t="s">
        <v>602</v>
      </c>
      <c r="AA206" s="9" t="s">
        <v>154</v>
      </c>
      <c r="AB206" s="19" t="n">
        <v>780</v>
      </c>
      <c r="AC206" s="9"/>
      <c r="AD206" s="9"/>
      <c r="AE206" s="9" t="s">
        <v>611</v>
      </c>
    </row>
    <row r="207" customFormat="false" ht="21.75" hidden="false" customHeight="true" outlineLevel="0" collapsed="false">
      <c r="B207" s="14" t="n">
        <v>203</v>
      </c>
      <c r="C207" s="7" t="s">
        <v>43</v>
      </c>
      <c r="D207" s="7" t="s">
        <v>18</v>
      </c>
      <c r="E207" s="7" t="s">
        <v>86</v>
      </c>
      <c r="F207" s="7" t="s">
        <v>62</v>
      </c>
      <c r="G207" s="7" t="s">
        <v>612</v>
      </c>
      <c r="H207" s="7" t="s">
        <v>163</v>
      </c>
      <c r="I207" s="7" t="s">
        <v>164</v>
      </c>
      <c r="J207" s="7" t="s">
        <v>203</v>
      </c>
      <c r="K207" s="7" t="s">
        <v>168</v>
      </c>
      <c r="L207" s="7" t="s">
        <v>205</v>
      </c>
      <c r="M207" s="7" t="s">
        <v>116</v>
      </c>
      <c r="N207" s="7" t="s">
        <v>597</v>
      </c>
      <c r="O207" s="7" t="s">
        <v>598</v>
      </c>
      <c r="P207" s="7" t="s">
        <v>599</v>
      </c>
      <c r="Q207" s="7" t="s">
        <v>329</v>
      </c>
      <c r="R207" s="7" t="s">
        <v>330</v>
      </c>
      <c r="S207" s="7" t="s">
        <v>472</v>
      </c>
      <c r="T207" s="7" t="s">
        <v>398</v>
      </c>
      <c r="U207" s="7" t="s">
        <v>148</v>
      </c>
      <c r="V207" s="7" t="s">
        <v>380</v>
      </c>
      <c r="W207" s="7" t="s">
        <v>600</v>
      </c>
      <c r="X207" s="7" t="s">
        <v>601</v>
      </c>
      <c r="Y207" s="7" t="s">
        <v>358</v>
      </c>
      <c r="Z207" s="7" t="s">
        <v>602</v>
      </c>
      <c r="AA207" s="7" t="s">
        <v>154</v>
      </c>
      <c r="AB207" s="18" t="n">
        <v>1170</v>
      </c>
      <c r="AC207" s="7"/>
      <c r="AD207" s="7"/>
      <c r="AE207" s="7" t="s">
        <v>165</v>
      </c>
    </row>
    <row r="208" customFormat="false" ht="21.75" hidden="false" customHeight="true" outlineLevel="0" collapsed="false">
      <c r="B208" s="15" t="n">
        <v>204</v>
      </c>
      <c r="C208" s="9" t="s">
        <v>43</v>
      </c>
      <c r="D208" s="9" t="s">
        <v>18</v>
      </c>
      <c r="E208" s="9" t="s">
        <v>86</v>
      </c>
      <c r="F208" s="9" t="s">
        <v>62</v>
      </c>
      <c r="G208" s="9" t="s">
        <v>613</v>
      </c>
      <c r="H208" s="9" t="s">
        <v>163</v>
      </c>
      <c r="I208" s="9" t="s">
        <v>164</v>
      </c>
      <c r="J208" s="9" t="s">
        <v>203</v>
      </c>
      <c r="K208" s="9" t="s">
        <v>168</v>
      </c>
      <c r="L208" s="9" t="s">
        <v>205</v>
      </c>
      <c r="M208" s="9" t="s">
        <v>116</v>
      </c>
      <c r="N208" s="9" t="s">
        <v>597</v>
      </c>
      <c r="O208" s="9" t="s">
        <v>598</v>
      </c>
      <c r="P208" s="9" t="s">
        <v>599</v>
      </c>
      <c r="Q208" s="9" t="s">
        <v>329</v>
      </c>
      <c r="R208" s="9" t="s">
        <v>330</v>
      </c>
      <c r="S208" s="9" t="s">
        <v>472</v>
      </c>
      <c r="T208" s="9" t="s">
        <v>398</v>
      </c>
      <c r="U208" s="9" t="s">
        <v>148</v>
      </c>
      <c r="V208" s="9" t="s">
        <v>380</v>
      </c>
      <c r="W208" s="9" t="s">
        <v>600</v>
      </c>
      <c r="X208" s="9" t="s">
        <v>601</v>
      </c>
      <c r="Y208" s="9" t="s">
        <v>358</v>
      </c>
      <c r="Z208" s="9" t="s">
        <v>602</v>
      </c>
      <c r="AA208" s="9" t="s">
        <v>154</v>
      </c>
      <c r="AB208" s="19" t="n">
        <v>1715</v>
      </c>
      <c r="AC208" s="9"/>
      <c r="AD208" s="9"/>
      <c r="AE208" s="9" t="s">
        <v>167</v>
      </c>
    </row>
    <row r="209" customFormat="false" ht="21.75" hidden="false" customHeight="true" outlineLevel="0" collapsed="false">
      <c r="B209" s="14" t="n">
        <v>205</v>
      </c>
      <c r="C209" s="7" t="s">
        <v>43</v>
      </c>
      <c r="D209" s="7" t="s">
        <v>18</v>
      </c>
      <c r="E209" s="7" t="s">
        <v>86</v>
      </c>
      <c r="F209" s="7" t="s">
        <v>63</v>
      </c>
      <c r="G209" s="7" t="s">
        <v>614</v>
      </c>
      <c r="H209" s="7" t="s">
        <v>136</v>
      </c>
      <c r="I209" s="7" t="s">
        <v>137</v>
      </c>
      <c r="J209" s="7" t="s">
        <v>203</v>
      </c>
      <c r="K209" s="7" t="s">
        <v>168</v>
      </c>
      <c r="L209" s="7" t="s">
        <v>205</v>
      </c>
      <c r="M209" s="7" t="s">
        <v>116</v>
      </c>
      <c r="N209" s="7" t="s">
        <v>597</v>
      </c>
      <c r="O209" s="7" t="s">
        <v>598</v>
      </c>
      <c r="P209" s="7" t="s">
        <v>599</v>
      </c>
      <c r="Q209" s="7" t="s">
        <v>329</v>
      </c>
      <c r="R209" s="7" t="s">
        <v>330</v>
      </c>
      <c r="S209" s="7" t="s">
        <v>472</v>
      </c>
      <c r="T209" s="7" t="s">
        <v>356</v>
      </c>
      <c r="U209" s="7" t="s">
        <v>148</v>
      </c>
      <c r="V209" s="7" t="s">
        <v>380</v>
      </c>
      <c r="W209" s="7" t="s">
        <v>600</v>
      </c>
      <c r="X209" s="7" t="s">
        <v>615</v>
      </c>
      <c r="Y209" s="7" t="s">
        <v>616</v>
      </c>
      <c r="Z209" s="7" t="s">
        <v>602</v>
      </c>
      <c r="AA209" s="7" t="s">
        <v>183</v>
      </c>
      <c r="AB209" s="18" t="n">
        <v>360</v>
      </c>
      <c r="AC209" s="7"/>
      <c r="AD209" s="7"/>
      <c r="AE209" s="7" t="s">
        <v>155</v>
      </c>
    </row>
    <row r="210" customFormat="false" ht="21.75" hidden="false" customHeight="true" outlineLevel="0" collapsed="false">
      <c r="B210" s="15" t="n">
        <v>206</v>
      </c>
      <c r="C210" s="9" t="s">
        <v>43</v>
      </c>
      <c r="D210" s="9" t="s">
        <v>18</v>
      </c>
      <c r="E210" s="9" t="s">
        <v>86</v>
      </c>
      <c r="F210" s="9" t="s">
        <v>63</v>
      </c>
      <c r="G210" s="9" t="s">
        <v>617</v>
      </c>
      <c r="H210" s="9" t="s">
        <v>157</v>
      </c>
      <c r="I210" s="9" t="s">
        <v>158</v>
      </c>
      <c r="J210" s="9" t="s">
        <v>203</v>
      </c>
      <c r="K210" s="9" t="s">
        <v>168</v>
      </c>
      <c r="L210" s="9" t="s">
        <v>205</v>
      </c>
      <c r="M210" s="9" t="s">
        <v>116</v>
      </c>
      <c r="N210" s="9" t="s">
        <v>597</v>
      </c>
      <c r="O210" s="9" t="s">
        <v>598</v>
      </c>
      <c r="P210" s="9" t="s">
        <v>599</v>
      </c>
      <c r="Q210" s="9" t="s">
        <v>329</v>
      </c>
      <c r="R210" s="9" t="s">
        <v>330</v>
      </c>
      <c r="S210" s="9" t="s">
        <v>472</v>
      </c>
      <c r="T210" s="9" t="s">
        <v>356</v>
      </c>
      <c r="U210" s="9" t="s">
        <v>148</v>
      </c>
      <c r="V210" s="9" t="s">
        <v>380</v>
      </c>
      <c r="W210" s="9" t="s">
        <v>600</v>
      </c>
      <c r="X210" s="9" t="s">
        <v>615</v>
      </c>
      <c r="Y210" s="9" t="s">
        <v>616</v>
      </c>
      <c r="Z210" s="9" t="s">
        <v>602</v>
      </c>
      <c r="AA210" s="9" t="s">
        <v>183</v>
      </c>
      <c r="AB210" s="19" t="n">
        <v>540</v>
      </c>
      <c r="AC210" s="9"/>
      <c r="AD210" s="9"/>
      <c r="AE210" s="9" t="s">
        <v>159</v>
      </c>
    </row>
    <row r="211" customFormat="false" ht="21.75" hidden="false" customHeight="true" outlineLevel="0" collapsed="false">
      <c r="B211" s="14" t="n">
        <v>207</v>
      </c>
      <c r="C211" s="7" t="s">
        <v>43</v>
      </c>
      <c r="D211" s="7" t="s">
        <v>18</v>
      </c>
      <c r="E211" s="7" t="s">
        <v>86</v>
      </c>
      <c r="F211" s="7" t="s">
        <v>63</v>
      </c>
      <c r="G211" s="7" t="s">
        <v>618</v>
      </c>
      <c r="H211" s="7" t="s">
        <v>157</v>
      </c>
      <c r="I211" s="7" t="s">
        <v>158</v>
      </c>
      <c r="J211" s="7" t="s">
        <v>203</v>
      </c>
      <c r="K211" s="7" t="s">
        <v>168</v>
      </c>
      <c r="L211" s="7" t="s">
        <v>205</v>
      </c>
      <c r="M211" s="7" t="s">
        <v>116</v>
      </c>
      <c r="N211" s="7" t="s">
        <v>597</v>
      </c>
      <c r="O211" s="7" t="s">
        <v>598</v>
      </c>
      <c r="P211" s="7" t="s">
        <v>599</v>
      </c>
      <c r="Q211" s="7" t="s">
        <v>329</v>
      </c>
      <c r="R211" s="7" t="s">
        <v>330</v>
      </c>
      <c r="S211" s="7" t="s">
        <v>472</v>
      </c>
      <c r="T211" s="7" t="s">
        <v>356</v>
      </c>
      <c r="U211" s="7" t="s">
        <v>148</v>
      </c>
      <c r="V211" s="7" t="s">
        <v>380</v>
      </c>
      <c r="W211" s="7" t="s">
        <v>600</v>
      </c>
      <c r="X211" s="7" t="s">
        <v>615</v>
      </c>
      <c r="Y211" s="7" t="s">
        <v>616</v>
      </c>
      <c r="Z211" s="7" t="s">
        <v>602</v>
      </c>
      <c r="AA211" s="7" t="s">
        <v>183</v>
      </c>
      <c r="AB211" s="18" t="n">
        <v>720</v>
      </c>
      <c r="AC211" s="7"/>
      <c r="AD211" s="7"/>
      <c r="AE211" s="7" t="s">
        <v>619</v>
      </c>
    </row>
    <row r="212" customFormat="false" ht="21.75" hidden="false" customHeight="true" outlineLevel="0" collapsed="false">
      <c r="B212" s="15" t="n">
        <v>208</v>
      </c>
      <c r="C212" s="9" t="s">
        <v>43</v>
      </c>
      <c r="D212" s="9" t="s">
        <v>18</v>
      </c>
      <c r="E212" s="9" t="s">
        <v>86</v>
      </c>
      <c r="F212" s="9" t="s">
        <v>63</v>
      </c>
      <c r="G212" s="9" t="s">
        <v>620</v>
      </c>
      <c r="H212" s="9" t="s">
        <v>163</v>
      </c>
      <c r="I212" s="9" t="s">
        <v>164</v>
      </c>
      <c r="J212" s="9" t="s">
        <v>203</v>
      </c>
      <c r="K212" s="9" t="s">
        <v>168</v>
      </c>
      <c r="L212" s="9" t="s">
        <v>205</v>
      </c>
      <c r="M212" s="9" t="s">
        <v>116</v>
      </c>
      <c r="N212" s="9" t="s">
        <v>597</v>
      </c>
      <c r="O212" s="9" t="s">
        <v>598</v>
      </c>
      <c r="P212" s="9" t="s">
        <v>599</v>
      </c>
      <c r="Q212" s="9" t="s">
        <v>329</v>
      </c>
      <c r="R212" s="9" t="s">
        <v>330</v>
      </c>
      <c r="S212" s="9" t="s">
        <v>472</v>
      </c>
      <c r="T212" s="9" t="s">
        <v>356</v>
      </c>
      <c r="U212" s="9" t="s">
        <v>148</v>
      </c>
      <c r="V212" s="9" t="s">
        <v>380</v>
      </c>
      <c r="W212" s="9" t="s">
        <v>600</v>
      </c>
      <c r="X212" s="9" t="s">
        <v>615</v>
      </c>
      <c r="Y212" s="9" t="s">
        <v>616</v>
      </c>
      <c r="Z212" s="9" t="s">
        <v>602</v>
      </c>
      <c r="AA212" s="9" t="s">
        <v>183</v>
      </c>
      <c r="AB212" s="19" t="n">
        <v>1080</v>
      </c>
      <c r="AC212" s="9"/>
      <c r="AD212" s="9"/>
      <c r="AE212" s="9" t="s">
        <v>165</v>
      </c>
    </row>
    <row r="213" customFormat="false" ht="21.75" hidden="false" customHeight="true" outlineLevel="0" collapsed="false">
      <c r="B213" s="14" t="n">
        <v>209</v>
      </c>
      <c r="C213" s="7" t="s">
        <v>43</v>
      </c>
      <c r="D213" s="7" t="s">
        <v>18</v>
      </c>
      <c r="E213" s="7" t="s">
        <v>86</v>
      </c>
      <c r="F213" s="7" t="s">
        <v>63</v>
      </c>
      <c r="G213" s="7" t="s">
        <v>621</v>
      </c>
      <c r="H213" s="7" t="s">
        <v>163</v>
      </c>
      <c r="I213" s="7" t="s">
        <v>164</v>
      </c>
      <c r="J213" s="7" t="s">
        <v>203</v>
      </c>
      <c r="K213" s="7" t="s">
        <v>168</v>
      </c>
      <c r="L213" s="7" t="s">
        <v>205</v>
      </c>
      <c r="M213" s="7" t="s">
        <v>116</v>
      </c>
      <c r="N213" s="7" t="s">
        <v>597</v>
      </c>
      <c r="O213" s="7" t="s">
        <v>598</v>
      </c>
      <c r="P213" s="7" t="s">
        <v>599</v>
      </c>
      <c r="Q213" s="7" t="s">
        <v>329</v>
      </c>
      <c r="R213" s="7" t="s">
        <v>330</v>
      </c>
      <c r="S213" s="7" t="s">
        <v>472</v>
      </c>
      <c r="T213" s="7" t="s">
        <v>356</v>
      </c>
      <c r="U213" s="7" t="s">
        <v>148</v>
      </c>
      <c r="V213" s="7" t="s">
        <v>380</v>
      </c>
      <c r="W213" s="7" t="s">
        <v>600</v>
      </c>
      <c r="X213" s="7" t="s">
        <v>615</v>
      </c>
      <c r="Y213" s="7" t="s">
        <v>616</v>
      </c>
      <c r="Z213" s="7" t="s">
        <v>602</v>
      </c>
      <c r="AA213" s="7" t="s">
        <v>183</v>
      </c>
      <c r="AB213" s="18" t="n">
        <v>1585</v>
      </c>
      <c r="AC213" s="7"/>
      <c r="AD213" s="7"/>
      <c r="AE213" s="7" t="s">
        <v>167</v>
      </c>
    </row>
    <row r="214" customFormat="false" ht="21.75" hidden="false" customHeight="true" outlineLevel="0" collapsed="false">
      <c r="B214" s="15" t="n">
        <v>210</v>
      </c>
      <c r="C214" s="9" t="s">
        <v>43</v>
      </c>
      <c r="D214" s="9" t="s">
        <v>18</v>
      </c>
      <c r="E214" s="9" t="s">
        <v>86</v>
      </c>
      <c r="F214" s="9" t="s">
        <v>64</v>
      </c>
      <c r="G214" s="9" t="s">
        <v>622</v>
      </c>
      <c r="H214" s="9" t="s">
        <v>136</v>
      </c>
      <c r="I214" s="9" t="s">
        <v>137</v>
      </c>
      <c r="J214" s="9" t="s">
        <v>203</v>
      </c>
      <c r="K214" s="9" t="s">
        <v>498</v>
      </c>
      <c r="L214" s="9" t="s">
        <v>623</v>
      </c>
      <c r="M214" s="9" t="s">
        <v>116</v>
      </c>
      <c r="N214" s="9" t="s">
        <v>624</v>
      </c>
      <c r="O214" s="9" t="s">
        <v>598</v>
      </c>
      <c r="P214" s="9" t="s">
        <v>599</v>
      </c>
      <c r="Q214" s="9" t="s">
        <v>329</v>
      </c>
      <c r="R214" s="9" t="s">
        <v>330</v>
      </c>
      <c r="S214" s="9" t="s">
        <v>472</v>
      </c>
      <c r="T214" s="9" t="s">
        <v>193</v>
      </c>
      <c r="U214" s="9" t="s">
        <v>194</v>
      </c>
      <c r="V214" s="9" t="s">
        <v>195</v>
      </c>
      <c r="W214" s="9" t="s">
        <v>600</v>
      </c>
      <c r="X214" s="9" t="s">
        <v>625</v>
      </c>
      <c r="Y214" s="9" t="s">
        <v>626</v>
      </c>
      <c r="Z214" s="9" t="s">
        <v>602</v>
      </c>
      <c r="AA214" s="9" t="s">
        <v>183</v>
      </c>
      <c r="AB214" s="19" t="n">
        <v>2100</v>
      </c>
      <c r="AC214" s="9"/>
      <c r="AD214" s="9"/>
      <c r="AE214" s="9" t="s">
        <v>155</v>
      </c>
    </row>
    <row r="215" customFormat="false" ht="21.75" hidden="false" customHeight="true" outlineLevel="0" collapsed="false">
      <c r="B215" s="14" t="n">
        <v>211</v>
      </c>
      <c r="C215" s="7" t="s">
        <v>43</v>
      </c>
      <c r="D215" s="7" t="s">
        <v>18</v>
      </c>
      <c r="E215" s="7" t="s">
        <v>86</v>
      </c>
      <c r="F215" s="7" t="s">
        <v>64</v>
      </c>
      <c r="G215" s="7" t="s">
        <v>627</v>
      </c>
      <c r="H215" s="7" t="s">
        <v>136</v>
      </c>
      <c r="I215" s="7" t="s">
        <v>137</v>
      </c>
      <c r="J215" s="7" t="s">
        <v>203</v>
      </c>
      <c r="K215" s="7" t="s">
        <v>498</v>
      </c>
      <c r="L215" s="7" t="s">
        <v>623</v>
      </c>
      <c r="M215" s="7" t="s">
        <v>116</v>
      </c>
      <c r="N215" s="7" t="s">
        <v>624</v>
      </c>
      <c r="O215" s="7" t="s">
        <v>598</v>
      </c>
      <c r="P215" s="7" t="s">
        <v>599</v>
      </c>
      <c r="Q215" s="7" t="s">
        <v>329</v>
      </c>
      <c r="R215" s="7" t="s">
        <v>330</v>
      </c>
      <c r="S215" s="7" t="s">
        <v>472</v>
      </c>
      <c r="T215" s="7" t="s">
        <v>193</v>
      </c>
      <c r="U215" s="7" t="s">
        <v>194</v>
      </c>
      <c r="V215" s="7" t="s">
        <v>195</v>
      </c>
      <c r="W215" s="7" t="s">
        <v>600</v>
      </c>
      <c r="X215" s="7" t="s">
        <v>625</v>
      </c>
      <c r="Y215" s="7" t="s">
        <v>626</v>
      </c>
      <c r="Z215" s="7" t="s">
        <v>602</v>
      </c>
      <c r="AA215" s="7" t="s">
        <v>183</v>
      </c>
      <c r="AB215" s="18" t="n">
        <v>3150</v>
      </c>
      <c r="AC215" s="7"/>
      <c r="AD215" s="7"/>
      <c r="AE215" s="7" t="s">
        <v>159</v>
      </c>
    </row>
    <row r="216" customFormat="false" ht="21.75" hidden="false" customHeight="true" outlineLevel="0" collapsed="false">
      <c r="B216" s="15" t="n">
        <v>212</v>
      </c>
      <c r="C216" s="9" t="s">
        <v>43</v>
      </c>
      <c r="D216" s="9" t="s">
        <v>18</v>
      </c>
      <c r="E216" s="9" t="s">
        <v>86</v>
      </c>
      <c r="F216" s="9" t="s">
        <v>64</v>
      </c>
      <c r="G216" s="9" t="s">
        <v>628</v>
      </c>
      <c r="H216" s="9" t="s">
        <v>157</v>
      </c>
      <c r="I216" s="9" t="s">
        <v>158</v>
      </c>
      <c r="J216" s="9" t="s">
        <v>203</v>
      </c>
      <c r="K216" s="9" t="s">
        <v>498</v>
      </c>
      <c r="L216" s="9" t="s">
        <v>623</v>
      </c>
      <c r="M216" s="9" t="s">
        <v>116</v>
      </c>
      <c r="N216" s="9" t="s">
        <v>624</v>
      </c>
      <c r="O216" s="9" t="s">
        <v>598</v>
      </c>
      <c r="P216" s="9" t="s">
        <v>599</v>
      </c>
      <c r="Q216" s="9" t="s">
        <v>329</v>
      </c>
      <c r="R216" s="9" t="s">
        <v>330</v>
      </c>
      <c r="S216" s="9" t="s">
        <v>472</v>
      </c>
      <c r="T216" s="9" t="s">
        <v>193</v>
      </c>
      <c r="U216" s="9" t="s">
        <v>194</v>
      </c>
      <c r="V216" s="9" t="s">
        <v>195</v>
      </c>
      <c r="W216" s="9" t="s">
        <v>600</v>
      </c>
      <c r="X216" s="9" t="s">
        <v>625</v>
      </c>
      <c r="Y216" s="9" t="s">
        <v>626</v>
      </c>
      <c r="Z216" s="9" t="s">
        <v>602</v>
      </c>
      <c r="AA216" s="9" t="s">
        <v>183</v>
      </c>
      <c r="AB216" s="19" t="n">
        <v>4200</v>
      </c>
      <c r="AC216" s="9"/>
      <c r="AD216" s="9"/>
      <c r="AE216" s="9" t="s">
        <v>629</v>
      </c>
    </row>
    <row r="217" customFormat="false" ht="21.75" hidden="false" customHeight="true" outlineLevel="0" collapsed="false">
      <c r="B217" s="14" t="n">
        <v>213</v>
      </c>
      <c r="C217" s="7" t="s">
        <v>43</v>
      </c>
      <c r="D217" s="7" t="s">
        <v>18</v>
      </c>
      <c r="E217" s="7" t="s">
        <v>86</v>
      </c>
      <c r="F217" s="7" t="s">
        <v>64</v>
      </c>
      <c r="G217" s="7" t="s">
        <v>630</v>
      </c>
      <c r="H217" s="7" t="s">
        <v>157</v>
      </c>
      <c r="I217" s="7" t="s">
        <v>158</v>
      </c>
      <c r="J217" s="7" t="s">
        <v>203</v>
      </c>
      <c r="K217" s="7" t="s">
        <v>498</v>
      </c>
      <c r="L217" s="7" t="s">
        <v>623</v>
      </c>
      <c r="M217" s="7" t="s">
        <v>116</v>
      </c>
      <c r="N217" s="7" t="s">
        <v>624</v>
      </c>
      <c r="O217" s="7" t="s">
        <v>598</v>
      </c>
      <c r="P217" s="7" t="s">
        <v>599</v>
      </c>
      <c r="Q217" s="7" t="s">
        <v>329</v>
      </c>
      <c r="R217" s="7" t="s">
        <v>330</v>
      </c>
      <c r="S217" s="7" t="s">
        <v>472</v>
      </c>
      <c r="T217" s="7" t="s">
        <v>193</v>
      </c>
      <c r="U217" s="7" t="s">
        <v>194</v>
      </c>
      <c r="V217" s="7" t="s">
        <v>195</v>
      </c>
      <c r="W217" s="7" t="s">
        <v>600</v>
      </c>
      <c r="X217" s="7" t="s">
        <v>625</v>
      </c>
      <c r="Y217" s="7" t="s">
        <v>626</v>
      </c>
      <c r="Z217" s="7" t="s">
        <v>602</v>
      </c>
      <c r="AA217" s="7" t="s">
        <v>183</v>
      </c>
      <c r="AB217" s="18" t="n">
        <v>6300</v>
      </c>
      <c r="AC217" s="7"/>
      <c r="AD217" s="7"/>
      <c r="AE217" s="7" t="s">
        <v>165</v>
      </c>
    </row>
    <row r="218" customFormat="false" ht="21.75" hidden="false" customHeight="true" outlineLevel="0" collapsed="false">
      <c r="B218" s="15" t="n">
        <v>214</v>
      </c>
      <c r="C218" s="9" t="s">
        <v>43</v>
      </c>
      <c r="D218" s="9" t="s">
        <v>18</v>
      </c>
      <c r="E218" s="9" t="s">
        <v>86</v>
      </c>
      <c r="F218" s="9" t="s">
        <v>64</v>
      </c>
      <c r="G218" s="9" t="s">
        <v>631</v>
      </c>
      <c r="H218" s="9" t="s">
        <v>163</v>
      </c>
      <c r="I218" s="9" t="s">
        <v>164</v>
      </c>
      <c r="J218" s="9" t="s">
        <v>203</v>
      </c>
      <c r="K218" s="9" t="s">
        <v>498</v>
      </c>
      <c r="L218" s="9" t="s">
        <v>623</v>
      </c>
      <c r="M218" s="9" t="s">
        <v>116</v>
      </c>
      <c r="N218" s="9" t="s">
        <v>624</v>
      </c>
      <c r="O218" s="9" t="s">
        <v>598</v>
      </c>
      <c r="P218" s="9" t="s">
        <v>599</v>
      </c>
      <c r="Q218" s="9" t="s">
        <v>329</v>
      </c>
      <c r="R218" s="9" t="s">
        <v>330</v>
      </c>
      <c r="S218" s="9" t="s">
        <v>472</v>
      </c>
      <c r="T218" s="9" t="s">
        <v>193</v>
      </c>
      <c r="U218" s="9" t="s">
        <v>194</v>
      </c>
      <c r="V218" s="9" t="s">
        <v>195</v>
      </c>
      <c r="W218" s="9" t="s">
        <v>600</v>
      </c>
      <c r="X218" s="9" t="s">
        <v>625</v>
      </c>
      <c r="Y218" s="9" t="s">
        <v>626</v>
      </c>
      <c r="Z218" s="9" t="s">
        <v>602</v>
      </c>
      <c r="AA218" s="9" t="s">
        <v>183</v>
      </c>
      <c r="AB218" s="19" t="n">
        <v>9240</v>
      </c>
      <c r="AC218" s="9"/>
      <c r="AD218" s="9"/>
      <c r="AE218" s="9" t="s">
        <v>167</v>
      </c>
    </row>
    <row r="219" customFormat="false" ht="21.75" hidden="false" customHeight="true" outlineLevel="0" collapsed="false">
      <c r="B219" s="14" t="n">
        <v>215</v>
      </c>
      <c r="C219" s="7" t="s">
        <v>43</v>
      </c>
      <c r="D219" s="7" t="s">
        <v>18</v>
      </c>
      <c r="E219" s="7" t="s">
        <v>86</v>
      </c>
      <c r="F219" s="7" t="s">
        <v>65</v>
      </c>
      <c r="G219" s="7" t="s">
        <v>321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18"/>
      <c r="AC219" s="7"/>
      <c r="AD219" s="7"/>
      <c r="AE219" s="7" t="s">
        <v>632</v>
      </c>
    </row>
    <row r="220" customFormat="false" ht="21.75" hidden="false" customHeight="true" outlineLevel="0" collapsed="false">
      <c r="B220" s="15" t="n">
        <v>216</v>
      </c>
      <c r="C220" s="9" t="s">
        <v>43</v>
      </c>
      <c r="D220" s="9" t="s">
        <v>18</v>
      </c>
      <c r="E220" s="9" t="s">
        <v>86</v>
      </c>
      <c r="F220" s="9" t="s">
        <v>66</v>
      </c>
      <c r="G220" s="9" t="s">
        <v>321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9"/>
      <c r="AC220" s="9"/>
      <c r="AD220" s="9"/>
      <c r="AE220" s="9" t="s">
        <v>633</v>
      </c>
    </row>
    <row r="221" customFormat="false" ht="21.75" hidden="false" customHeight="true" outlineLevel="0" collapsed="false">
      <c r="B221" s="14" t="n">
        <v>217</v>
      </c>
      <c r="C221" s="7" t="s">
        <v>43</v>
      </c>
      <c r="D221" s="7" t="s">
        <v>18</v>
      </c>
      <c r="E221" s="7" t="s">
        <v>86</v>
      </c>
      <c r="F221" s="7" t="s">
        <v>67</v>
      </c>
      <c r="G221" s="7" t="s">
        <v>634</v>
      </c>
      <c r="H221" s="7" t="s">
        <v>230</v>
      </c>
      <c r="I221" s="7" t="s">
        <v>231</v>
      </c>
      <c r="J221" s="7" t="s">
        <v>396</v>
      </c>
      <c r="K221" s="7" t="s">
        <v>233</v>
      </c>
      <c r="L221" s="7" t="s">
        <v>635</v>
      </c>
      <c r="M221" s="7" t="s">
        <v>116</v>
      </c>
      <c r="N221" s="7" t="s">
        <v>235</v>
      </c>
      <c r="O221" s="7" t="s">
        <v>598</v>
      </c>
      <c r="P221" s="7" t="s">
        <v>599</v>
      </c>
      <c r="Q221" s="7" t="s">
        <v>329</v>
      </c>
      <c r="R221" s="7" t="s">
        <v>330</v>
      </c>
      <c r="S221" s="7" t="s">
        <v>472</v>
      </c>
      <c r="T221" s="7" t="s">
        <v>570</v>
      </c>
      <c r="U221" s="7" t="s">
        <v>148</v>
      </c>
      <c r="V221" s="7" t="s">
        <v>236</v>
      </c>
      <c r="W221" s="7" t="s">
        <v>600</v>
      </c>
      <c r="X221" s="7" t="s">
        <v>636</v>
      </c>
      <c r="Y221" s="7" t="s">
        <v>237</v>
      </c>
      <c r="Z221" s="7" t="s">
        <v>602</v>
      </c>
      <c r="AA221" s="7" t="s">
        <v>154</v>
      </c>
      <c r="AB221" s="18" t="n">
        <v>475</v>
      </c>
      <c r="AC221" s="7"/>
      <c r="AD221" s="7"/>
      <c r="AE221" s="7" t="s">
        <v>155</v>
      </c>
    </row>
    <row r="222" customFormat="false" ht="21.75" hidden="false" customHeight="true" outlineLevel="0" collapsed="false">
      <c r="B222" s="15" t="n">
        <v>218</v>
      </c>
      <c r="C222" s="9" t="s">
        <v>43</v>
      </c>
      <c r="D222" s="9" t="s">
        <v>18</v>
      </c>
      <c r="E222" s="9" t="s">
        <v>86</v>
      </c>
      <c r="F222" s="9" t="s">
        <v>67</v>
      </c>
      <c r="G222" s="9" t="s">
        <v>637</v>
      </c>
      <c r="H222" s="9" t="s">
        <v>230</v>
      </c>
      <c r="I222" s="9" t="s">
        <v>231</v>
      </c>
      <c r="J222" s="9" t="s">
        <v>396</v>
      </c>
      <c r="K222" s="9" t="s">
        <v>233</v>
      </c>
      <c r="L222" s="9" t="s">
        <v>635</v>
      </c>
      <c r="M222" s="9" t="s">
        <v>116</v>
      </c>
      <c r="N222" s="9" t="s">
        <v>235</v>
      </c>
      <c r="O222" s="9" t="s">
        <v>598</v>
      </c>
      <c r="P222" s="9" t="s">
        <v>599</v>
      </c>
      <c r="Q222" s="9" t="s">
        <v>329</v>
      </c>
      <c r="R222" s="9" t="s">
        <v>330</v>
      </c>
      <c r="S222" s="9" t="s">
        <v>472</v>
      </c>
      <c r="T222" s="9" t="s">
        <v>570</v>
      </c>
      <c r="U222" s="9" t="s">
        <v>148</v>
      </c>
      <c r="V222" s="9" t="s">
        <v>236</v>
      </c>
      <c r="W222" s="9" t="s">
        <v>600</v>
      </c>
      <c r="X222" s="9" t="s">
        <v>636</v>
      </c>
      <c r="Y222" s="9" t="s">
        <v>237</v>
      </c>
      <c r="Z222" s="9" t="s">
        <v>602</v>
      </c>
      <c r="AA222" s="9" t="s">
        <v>154</v>
      </c>
      <c r="AB222" s="19" t="n">
        <v>710</v>
      </c>
      <c r="AC222" s="9"/>
      <c r="AD222" s="9"/>
      <c r="AE222" s="9" t="s">
        <v>159</v>
      </c>
    </row>
    <row r="223" customFormat="false" ht="21.75" hidden="false" customHeight="true" outlineLevel="0" collapsed="false">
      <c r="B223" s="14" t="n">
        <v>219</v>
      </c>
      <c r="C223" s="7" t="s">
        <v>43</v>
      </c>
      <c r="D223" s="7" t="s">
        <v>18</v>
      </c>
      <c r="E223" s="7" t="s">
        <v>86</v>
      </c>
      <c r="F223" s="7" t="s">
        <v>67</v>
      </c>
      <c r="G223" s="7" t="s">
        <v>638</v>
      </c>
      <c r="H223" s="7" t="s">
        <v>240</v>
      </c>
      <c r="I223" s="7" t="s">
        <v>241</v>
      </c>
      <c r="J223" s="7" t="s">
        <v>396</v>
      </c>
      <c r="K223" s="7" t="s">
        <v>233</v>
      </c>
      <c r="L223" s="7" t="s">
        <v>635</v>
      </c>
      <c r="M223" s="7" t="s">
        <v>116</v>
      </c>
      <c r="N223" s="7" t="s">
        <v>235</v>
      </c>
      <c r="O223" s="7" t="s">
        <v>598</v>
      </c>
      <c r="P223" s="7" t="s">
        <v>599</v>
      </c>
      <c r="Q223" s="7" t="s">
        <v>329</v>
      </c>
      <c r="R223" s="7" t="s">
        <v>330</v>
      </c>
      <c r="S223" s="7" t="s">
        <v>472</v>
      </c>
      <c r="T223" s="7" t="s">
        <v>570</v>
      </c>
      <c r="U223" s="7" t="s">
        <v>148</v>
      </c>
      <c r="V223" s="7" t="s">
        <v>236</v>
      </c>
      <c r="W223" s="7" t="s">
        <v>600</v>
      </c>
      <c r="X223" s="7" t="s">
        <v>636</v>
      </c>
      <c r="Y223" s="7" t="s">
        <v>237</v>
      </c>
      <c r="Z223" s="7" t="s">
        <v>602</v>
      </c>
      <c r="AA223" s="7" t="s">
        <v>154</v>
      </c>
      <c r="AB223" s="18" t="n">
        <v>950</v>
      </c>
      <c r="AC223" s="7"/>
      <c r="AD223" s="7"/>
      <c r="AE223" s="7" t="s">
        <v>533</v>
      </c>
    </row>
    <row r="224" customFormat="false" ht="21.75" hidden="false" customHeight="true" outlineLevel="0" collapsed="false">
      <c r="B224" s="15" t="n">
        <v>220</v>
      </c>
      <c r="C224" s="9" t="s">
        <v>43</v>
      </c>
      <c r="D224" s="9" t="s">
        <v>18</v>
      </c>
      <c r="E224" s="9" t="s">
        <v>86</v>
      </c>
      <c r="F224" s="9" t="s">
        <v>67</v>
      </c>
      <c r="G224" s="9" t="s">
        <v>639</v>
      </c>
      <c r="H224" s="9" t="s">
        <v>240</v>
      </c>
      <c r="I224" s="9" t="s">
        <v>241</v>
      </c>
      <c r="J224" s="9" t="s">
        <v>396</v>
      </c>
      <c r="K224" s="9" t="s">
        <v>233</v>
      </c>
      <c r="L224" s="9" t="s">
        <v>635</v>
      </c>
      <c r="M224" s="9" t="s">
        <v>116</v>
      </c>
      <c r="N224" s="9" t="s">
        <v>235</v>
      </c>
      <c r="O224" s="9" t="s">
        <v>598</v>
      </c>
      <c r="P224" s="9" t="s">
        <v>599</v>
      </c>
      <c r="Q224" s="9" t="s">
        <v>329</v>
      </c>
      <c r="R224" s="9" t="s">
        <v>330</v>
      </c>
      <c r="S224" s="9" t="s">
        <v>472</v>
      </c>
      <c r="T224" s="9" t="s">
        <v>570</v>
      </c>
      <c r="U224" s="9" t="s">
        <v>148</v>
      </c>
      <c r="V224" s="9" t="s">
        <v>236</v>
      </c>
      <c r="W224" s="9" t="s">
        <v>600</v>
      </c>
      <c r="X224" s="9" t="s">
        <v>636</v>
      </c>
      <c r="Y224" s="9" t="s">
        <v>237</v>
      </c>
      <c r="Z224" s="9" t="s">
        <v>602</v>
      </c>
      <c r="AA224" s="9" t="s">
        <v>154</v>
      </c>
      <c r="AB224" s="19" t="n">
        <v>1425</v>
      </c>
      <c r="AC224" s="9"/>
      <c r="AD224" s="9"/>
      <c r="AE224" s="9" t="s">
        <v>165</v>
      </c>
    </row>
    <row r="225" customFormat="false" ht="21.75" hidden="false" customHeight="true" outlineLevel="0" collapsed="false">
      <c r="B225" s="14" t="n">
        <v>221</v>
      </c>
      <c r="C225" s="7" t="s">
        <v>43</v>
      </c>
      <c r="D225" s="7" t="s">
        <v>18</v>
      </c>
      <c r="E225" s="7" t="s">
        <v>86</v>
      </c>
      <c r="F225" s="7" t="s">
        <v>67</v>
      </c>
      <c r="G225" s="7" t="s">
        <v>640</v>
      </c>
      <c r="H225" s="7" t="s">
        <v>240</v>
      </c>
      <c r="I225" s="7" t="s">
        <v>241</v>
      </c>
      <c r="J225" s="7" t="s">
        <v>396</v>
      </c>
      <c r="K225" s="7" t="s">
        <v>233</v>
      </c>
      <c r="L225" s="7" t="s">
        <v>635</v>
      </c>
      <c r="M225" s="7" t="s">
        <v>116</v>
      </c>
      <c r="N225" s="7" t="s">
        <v>235</v>
      </c>
      <c r="O225" s="7" t="s">
        <v>598</v>
      </c>
      <c r="P225" s="7" t="s">
        <v>599</v>
      </c>
      <c r="Q225" s="7" t="s">
        <v>329</v>
      </c>
      <c r="R225" s="7" t="s">
        <v>330</v>
      </c>
      <c r="S225" s="7" t="s">
        <v>472</v>
      </c>
      <c r="T225" s="7" t="s">
        <v>570</v>
      </c>
      <c r="U225" s="7" t="s">
        <v>148</v>
      </c>
      <c r="V225" s="7" t="s">
        <v>236</v>
      </c>
      <c r="W225" s="7" t="s">
        <v>600</v>
      </c>
      <c r="X225" s="7" t="s">
        <v>636</v>
      </c>
      <c r="Y225" s="7" t="s">
        <v>237</v>
      </c>
      <c r="Z225" s="7" t="s">
        <v>602</v>
      </c>
      <c r="AA225" s="7" t="s">
        <v>154</v>
      </c>
      <c r="AB225" s="18" t="n">
        <v>2090</v>
      </c>
      <c r="AC225" s="7"/>
      <c r="AD225" s="7"/>
      <c r="AE225" s="7" t="s">
        <v>167</v>
      </c>
    </row>
    <row r="226" customFormat="false" ht="21.75" hidden="false" customHeight="true" outlineLevel="0" collapsed="false">
      <c r="B226" s="15" t="n">
        <v>222</v>
      </c>
      <c r="C226" s="9" t="s">
        <v>43</v>
      </c>
      <c r="D226" s="9" t="s">
        <v>18</v>
      </c>
      <c r="E226" s="9" t="s">
        <v>86</v>
      </c>
      <c r="F226" s="9" t="s">
        <v>68</v>
      </c>
      <c r="G226" s="9" t="s">
        <v>641</v>
      </c>
      <c r="H226" s="9" t="s">
        <v>246</v>
      </c>
      <c r="I226" s="9" t="s">
        <v>247</v>
      </c>
      <c r="J226" s="9" t="s">
        <v>642</v>
      </c>
      <c r="K226" s="9" t="s">
        <v>643</v>
      </c>
      <c r="L226" s="9" t="s">
        <v>205</v>
      </c>
      <c r="M226" s="9" t="s">
        <v>116</v>
      </c>
      <c r="N226" s="9" t="s">
        <v>644</v>
      </c>
      <c r="O226" s="9" t="s">
        <v>598</v>
      </c>
      <c r="P226" s="9" t="s">
        <v>599</v>
      </c>
      <c r="Q226" s="9" t="s">
        <v>329</v>
      </c>
      <c r="R226" s="9" t="s">
        <v>330</v>
      </c>
      <c r="S226" s="9" t="s">
        <v>472</v>
      </c>
      <c r="T226" s="9" t="s">
        <v>356</v>
      </c>
      <c r="U226" s="9" t="s">
        <v>194</v>
      </c>
      <c r="V226" s="9" t="s">
        <v>296</v>
      </c>
      <c r="W226" s="9" t="s">
        <v>600</v>
      </c>
      <c r="X226" s="9" t="s">
        <v>645</v>
      </c>
      <c r="Y226" s="9" t="s">
        <v>284</v>
      </c>
      <c r="Z226" s="9" t="s">
        <v>602</v>
      </c>
      <c r="AA226" s="9" t="s">
        <v>154</v>
      </c>
      <c r="AB226" s="19" t="n">
        <v>1400</v>
      </c>
      <c r="AC226" s="9"/>
      <c r="AD226" s="9"/>
      <c r="AE226" s="9" t="s">
        <v>155</v>
      </c>
    </row>
    <row r="227" customFormat="false" ht="21.75" hidden="false" customHeight="true" outlineLevel="0" collapsed="false">
      <c r="B227" s="14" t="n">
        <v>223</v>
      </c>
      <c r="C227" s="7" t="s">
        <v>43</v>
      </c>
      <c r="D227" s="7" t="s">
        <v>18</v>
      </c>
      <c r="E227" s="7" t="s">
        <v>86</v>
      </c>
      <c r="F227" s="7" t="s">
        <v>68</v>
      </c>
      <c r="G227" s="7" t="s">
        <v>646</v>
      </c>
      <c r="H227" s="7" t="s">
        <v>254</v>
      </c>
      <c r="I227" s="7" t="s">
        <v>255</v>
      </c>
      <c r="J227" s="7" t="s">
        <v>642</v>
      </c>
      <c r="K227" s="7" t="s">
        <v>643</v>
      </c>
      <c r="L227" s="7" t="s">
        <v>205</v>
      </c>
      <c r="M227" s="7" t="s">
        <v>116</v>
      </c>
      <c r="N227" s="7" t="s">
        <v>644</v>
      </c>
      <c r="O227" s="7" t="s">
        <v>598</v>
      </c>
      <c r="P227" s="7" t="s">
        <v>599</v>
      </c>
      <c r="Q227" s="7" t="s">
        <v>329</v>
      </c>
      <c r="R227" s="7" t="s">
        <v>330</v>
      </c>
      <c r="S227" s="7" t="s">
        <v>472</v>
      </c>
      <c r="T227" s="7" t="s">
        <v>356</v>
      </c>
      <c r="U227" s="7" t="s">
        <v>194</v>
      </c>
      <c r="V227" s="7" t="s">
        <v>296</v>
      </c>
      <c r="W227" s="7" t="s">
        <v>600</v>
      </c>
      <c r="X227" s="7" t="s">
        <v>645</v>
      </c>
      <c r="Y227" s="7" t="s">
        <v>284</v>
      </c>
      <c r="Z227" s="7" t="s">
        <v>602</v>
      </c>
      <c r="AA227" s="7" t="s">
        <v>154</v>
      </c>
      <c r="AB227" s="18" t="n">
        <v>2100</v>
      </c>
      <c r="AC227" s="7"/>
      <c r="AD227" s="7"/>
      <c r="AE227" s="7" t="s">
        <v>159</v>
      </c>
    </row>
    <row r="228" customFormat="false" ht="21.75" hidden="false" customHeight="true" outlineLevel="0" collapsed="false">
      <c r="B228" s="15" t="n">
        <v>224</v>
      </c>
      <c r="C228" s="9" t="s">
        <v>43</v>
      </c>
      <c r="D228" s="9" t="s">
        <v>18</v>
      </c>
      <c r="E228" s="9" t="s">
        <v>86</v>
      </c>
      <c r="F228" s="9" t="s">
        <v>68</v>
      </c>
      <c r="G228" s="9" t="s">
        <v>647</v>
      </c>
      <c r="H228" s="9" t="s">
        <v>257</v>
      </c>
      <c r="I228" s="9" t="s">
        <v>258</v>
      </c>
      <c r="J228" s="9" t="s">
        <v>642</v>
      </c>
      <c r="K228" s="9" t="s">
        <v>643</v>
      </c>
      <c r="L228" s="9" t="s">
        <v>205</v>
      </c>
      <c r="M228" s="9" t="s">
        <v>116</v>
      </c>
      <c r="N228" s="9" t="s">
        <v>644</v>
      </c>
      <c r="O228" s="9" t="s">
        <v>598</v>
      </c>
      <c r="P228" s="9" t="s">
        <v>599</v>
      </c>
      <c r="Q228" s="9" t="s">
        <v>329</v>
      </c>
      <c r="R228" s="9" t="s">
        <v>330</v>
      </c>
      <c r="S228" s="9" t="s">
        <v>472</v>
      </c>
      <c r="T228" s="9" t="s">
        <v>356</v>
      </c>
      <c r="U228" s="9" t="s">
        <v>194</v>
      </c>
      <c r="V228" s="9" t="s">
        <v>296</v>
      </c>
      <c r="W228" s="9" t="s">
        <v>600</v>
      </c>
      <c r="X228" s="9" t="s">
        <v>645</v>
      </c>
      <c r="Y228" s="9" t="s">
        <v>284</v>
      </c>
      <c r="Z228" s="9" t="s">
        <v>602</v>
      </c>
      <c r="AA228" s="9" t="s">
        <v>154</v>
      </c>
      <c r="AB228" s="19" t="n">
        <v>2800</v>
      </c>
      <c r="AC228" s="9"/>
      <c r="AD228" s="9"/>
      <c r="AE228" s="9" t="s">
        <v>648</v>
      </c>
    </row>
    <row r="229" customFormat="false" ht="21.75" hidden="false" customHeight="true" outlineLevel="0" collapsed="false">
      <c r="B229" s="14" t="n">
        <v>225</v>
      </c>
      <c r="C229" s="7" t="s">
        <v>43</v>
      </c>
      <c r="D229" s="7" t="s">
        <v>18</v>
      </c>
      <c r="E229" s="7" t="s">
        <v>86</v>
      </c>
      <c r="F229" s="7" t="s">
        <v>68</v>
      </c>
      <c r="G229" s="7" t="s">
        <v>649</v>
      </c>
      <c r="H229" s="7" t="s">
        <v>257</v>
      </c>
      <c r="I229" s="7" t="s">
        <v>258</v>
      </c>
      <c r="J229" s="7" t="s">
        <v>642</v>
      </c>
      <c r="K229" s="7" t="s">
        <v>643</v>
      </c>
      <c r="L229" s="7" t="s">
        <v>205</v>
      </c>
      <c r="M229" s="7" t="s">
        <v>116</v>
      </c>
      <c r="N229" s="7" t="s">
        <v>644</v>
      </c>
      <c r="O229" s="7" t="s">
        <v>598</v>
      </c>
      <c r="P229" s="7" t="s">
        <v>599</v>
      </c>
      <c r="Q229" s="7" t="s">
        <v>329</v>
      </c>
      <c r="R229" s="7" t="s">
        <v>330</v>
      </c>
      <c r="S229" s="7" t="s">
        <v>472</v>
      </c>
      <c r="T229" s="7" t="s">
        <v>356</v>
      </c>
      <c r="U229" s="7" t="s">
        <v>194</v>
      </c>
      <c r="V229" s="7" t="s">
        <v>296</v>
      </c>
      <c r="W229" s="7" t="s">
        <v>600</v>
      </c>
      <c r="X229" s="7" t="s">
        <v>645</v>
      </c>
      <c r="Y229" s="7" t="s">
        <v>284</v>
      </c>
      <c r="Z229" s="7" t="s">
        <v>602</v>
      </c>
      <c r="AA229" s="7" t="s">
        <v>154</v>
      </c>
      <c r="AB229" s="18" t="n">
        <v>4200</v>
      </c>
      <c r="AC229" s="7"/>
      <c r="AD229" s="7"/>
      <c r="AE229" s="7" t="s">
        <v>165</v>
      </c>
    </row>
    <row r="230" customFormat="false" ht="21.75" hidden="false" customHeight="true" outlineLevel="0" collapsed="false">
      <c r="B230" s="15" t="n">
        <v>226</v>
      </c>
      <c r="C230" s="9" t="s">
        <v>43</v>
      </c>
      <c r="D230" s="9" t="s">
        <v>18</v>
      </c>
      <c r="E230" s="9" t="s">
        <v>86</v>
      </c>
      <c r="F230" s="9" t="s">
        <v>68</v>
      </c>
      <c r="G230" s="9" t="s">
        <v>650</v>
      </c>
      <c r="H230" s="9" t="s">
        <v>262</v>
      </c>
      <c r="I230" s="9" t="s">
        <v>263</v>
      </c>
      <c r="J230" s="9" t="s">
        <v>642</v>
      </c>
      <c r="K230" s="9" t="s">
        <v>643</v>
      </c>
      <c r="L230" s="9" t="s">
        <v>205</v>
      </c>
      <c r="M230" s="9" t="s">
        <v>116</v>
      </c>
      <c r="N230" s="9" t="s">
        <v>644</v>
      </c>
      <c r="O230" s="9" t="s">
        <v>598</v>
      </c>
      <c r="P230" s="9" t="s">
        <v>599</v>
      </c>
      <c r="Q230" s="9" t="s">
        <v>329</v>
      </c>
      <c r="R230" s="9" t="s">
        <v>330</v>
      </c>
      <c r="S230" s="9" t="s">
        <v>472</v>
      </c>
      <c r="T230" s="9" t="s">
        <v>356</v>
      </c>
      <c r="U230" s="9" t="s">
        <v>194</v>
      </c>
      <c r="V230" s="9" t="s">
        <v>296</v>
      </c>
      <c r="W230" s="9" t="s">
        <v>600</v>
      </c>
      <c r="X230" s="9" t="s">
        <v>645</v>
      </c>
      <c r="Y230" s="9" t="s">
        <v>284</v>
      </c>
      <c r="Z230" s="9" t="s">
        <v>602</v>
      </c>
      <c r="AA230" s="9" t="s">
        <v>154</v>
      </c>
      <c r="AB230" s="19" t="n">
        <v>6160</v>
      </c>
      <c r="AC230" s="9"/>
      <c r="AD230" s="9"/>
      <c r="AE230" s="9" t="s">
        <v>167</v>
      </c>
    </row>
    <row r="231" customFormat="false" ht="21.75" hidden="false" customHeight="true" outlineLevel="0" collapsed="false">
      <c r="B231" s="14" t="n">
        <v>227</v>
      </c>
      <c r="C231" s="7" t="s">
        <v>43</v>
      </c>
      <c r="D231" s="7" t="s">
        <v>18</v>
      </c>
      <c r="E231" s="7" t="s">
        <v>86</v>
      </c>
      <c r="F231" s="7" t="s">
        <v>69</v>
      </c>
      <c r="G231" s="7" t="s">
        <v>321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18"/>
      <c r="AC231" s="7"/>
      <c r="AD231" s="7"/>
      <c r="AE231" s="7" t="s">
        <v>651</v>
      </c>
    </row>
    <row r="232" customFormat="false" ht="21.75" hidden="false" customHeight="true" outlineLevel="0" collapsed="false">
      <c r="B232" s="15" t="n">
        <v>228</v>
      </c>
      <c r="C232" s="9" t="s">
        <v>43</v>
      </c>
      <c r="D232" s="9" t="s">
        <v>18</v>
      </c>
      <c r="E232" s="9" t="s">
        <v>86</v>
      </c>
      <c r="F232" s="9" t="s">
        <v>70</v>
      </c>
      <c r="G232" s="9" t="s">
        <v>652</v>
      </c>
      <c r="H232" s="9" t="s">
        <v>276</v>
      </c>
      <c r="I232" s="9" t="s">
        <v>277</v>
      </c>
      <c r="J232" s="9" t="s">
        <v>653</v>
      </c>
      <c r="K232" s="9" t="s">
        <v>550</v>
      </c>
      <c r="L232" s="9" t="s">
        <v>654</v>
      </c>
      <c r="M232" s="9" t="s">
        <v>281</v>
      </c>
      <c r="N232" s="9" t="s">
        <v>655</v>
      </c>
      <c r="O232" s="9" t="s">
        <v>598</v>
      </c>
      <c r="P232" s="9" t="s">
        <v>599</v>
      </c>
      <c r="Q232" s="9" t="s">
        <v>329</v>
      </c>
      <c r="R232" s="9" t="s">
        <v>330</v>
      </c>
      <c r="S232" s="9" t="s">
        <v>472</v>
      </c>
      <c r="T232" s="9" t="s">
        <v>356</v>
      </c>
      <c r="U232" s="9" t="s">
        <v>194</v>
      </c>
      <c r="V232" s="9" t="s">
        <v>208</v>
      </c>
      <c r="W232" s="9" t="s">
        <v>600</v>
      </c>
      <c r="X232" s="9" t="s">
        <v>656</v>
      </c>
      <c r="Y232" s="9" t="s">
        <v>657</v>
      </c>
      <c r="Z232" s="9" t="s">
        <v>602</v>
      </c>
      <c r="AA232" s="9" t="s">
        <v>183</v>
      </c>
      <c r="AB232" s="19" t="n">
        <v>3250</v>
      </c>
      <c r="AC232" s="9"/>
      <c r="AD232" s="9"/>
      <c r="AE232" s="9" t="s">
        <v>155</v>
      </c>
    </row>
    <row r="233" customFormat="false" ht="21.75" hidden="false" customHeight="true" outlineLevel="0" collapsed="false">
      <c r="B233" s="14" t="n">
        <v>229</v>
      </c>
      <c r="C233" s="7" t="s">
        <v>43</v>
      </c>
      <c r="D233" s="7" t="s">
        <v>18</v>
      </c>
      <c r="E233" s="7" t="s">
        <v>86</v>
      </c>
      <c r="F233" s="7" t="s">
        <v>70</v>
      </c>
      <c r="G233" s="7" t="s">
        <v>658</v>
      </c>
      <c r="H233" s="7" t="s">
        <v>276</v>
      </c>
      <c r="I233" s="7" t="s">
        <v>277</v>
      </c>
      <c r="J233" s="7" t="s">
        <v>653</v>
      </c>
      <c r="K233" s="7" t="s">
        <v>550</v>
      </c>
      <c r="L233" s="7" t="s">
        <v>654</v>
      </c>
      <c r="M233" s="7" t="s">
        <v>281</v>
      </c>
      <c r="N233" s="7" t="s">
        <v>655</v>
      </c>
      <c r="O233" s="7" t="s">
        <v>598</v>
      </c>
      <c r="P233" s="7" t="s">
        <v>599</v>
      </c>
      <c r="Q233" s="7" t="s">
        <v>329</v>
      </c>
      <c r="R233" s="7" t="s">
        <v>330</v>
      </c>
      <c r="S233" s="7" t="s">
        <v>472</v>
      </c>
      <c r="T233" s="7" t="s">
        <v>356</v>
      </c>
      <c r="U233" s="7" t="s">
        <v>194</v>
      </c>
      <c r="V233" s="7" t="s">
        <v>208</v>
      </c>
      <c r="W233" s="7" t="s">
        <v>600</v>
      </c>
      <c r="X233" s="7" t="s">
        <v>656</v>
      </c>
      <c r="Y233" s="7" t="s">
        <v>657</v>
      </c>
      <c r="Z233" s="7" t="s">
        <v>602</v>
      </c>
      <c r="AA233" s="7" t="s">
        <v>183</v>
      </c>
      <c r="AB233" s="18" t="n">
        <v>4875</v>
      </c>
      <c r="AC233" s="7"/>
      <c r="AD233" s="7"/>
      <c r="AE233" s="7" t="s">
        <v>159</v>
      </c>
    </row>
    <row r="234" customFormat="false" ht="21.75" hidden="false" customHeight="true" outlineLevel="0" collapsed="false">
      <c r="B234" s="15" t="n">
        <v>230</v>
      </c>
      <c r="C234" s="9" t="s">
        <v>43</v>
      </c>
      <c r="D234" s="9" t="s">
        <v>18</v>
      </c>
      <c r="E234" s="9" t="s">
        <v>86</v>
      </c>
      <c r="F234" s="9" t="s">
        <v>70</v>
      </c>
      <c r="G234" s="9" t="s">
        <v>659</v>
      </c>
      <c r="H234" s="9" t="s">
        <v>287</v>
      </c>
      <c r="I234" s="9" t="s">
        <v>288</v>
      </c>
      <c r="J234" s="9" t="s">
        <v>653</v>
      </c>
      <c r="K234" s="9" t="s">
        <v>550</v>
      </c>
      <c r="L234" s="9" t="s">
        <v>654</v>
      </c>
      <c r="M234" s="9" t="s">
        <v>281</v>
      </c>
      <c r="N234" s="9" t="s">
        <v>655</v>
      </c>
      <c r="O234" s="9" t="s">
        <v>598</v>
      </c>
      <c r="P234" s="9" t="s">
        <v>599</v>
      </c>
      <c r="Q234" s="9" t="s">
        <v>329</v>
      </c>
      <c r="R234" s="9" t="s">
        <v>330</v>
      </c>
      <c r="S234" s="9" t="s">
        <v>472</v>
      </c>
      <c r="T234" s="9" t="s">
        <v>356</v>
      </c>
      <c r="U234" s="9" t="s">
        <v>194</v>
      </c>
      <c r="V234" s="9" t="s">
        <v>208</v>
      </c>
      <c r="W234" s="9" t="s">
        <v>600</v>
      </c>
      <c r="X234" s="9" t="s">
        <v>656</v>
      </c>
      <c r="Y234" s="9" t="s">
        <v>657</v>
      </c>
      <c r="Z234" s="9" t="s">
        <v>602</v>
      </c>
      <c r="AA234" s="9" t="s">
        <v>183</v>
      </c>
      <c r="AB234" s="19" t="n">
        <v>6500</v>
      </c>
      <c r="AC234" s="9"/>
      <c r="AD234" s="9"/>
      <c r="AE234" s="9" t="s">
        <v>660</v>
      </c>
    </row>
    <row r="235" customFormat="false" ht="21.75" hidden="false" customHeight="true" outlineLevel="0" collapsed="false">
      <c r="B235" s="14" t="n">
        <v>231</v>
      </c>
      <c r="C235" s="7" t="s">
        <v>43</v>
      </c>
      <c r="D235" s="7" t="s">
        <v>18</v>
      </c>
      <c r="E235" s="7" t="s">
        <v>86</v>
      </c>
      <c r="F235" s="7" t="s">
        <v>70</v>
      </c>
      <c r="G235" s="7" t="s">
        <v>661</v>
      </c>
      <c r="H235" s="7" t="s">
        <v>287</v>
      </c>
      <c r="I235" s="7" t="s">
        <v>288</v>
      </c>
      <c r="J235" s="7" t="s">
        <v>653</v>
      </c>
      <c r="K235" s="7" t="s">
        <v>550</v>
      </c>
      <c r="L235" s="7" t="s">
        <v>654</v>
      </c>
      <c r="M235" s="7" t="s">
        <v>281</v>
      </c>
      <c r="N235" s="7" t="s">
        <v>655</v>
      </c>
      <c r="O235" s="7" t="s">
        <v>598</v>
      </c>
      <c r="P235" s="7" t="s">
        <v>599</v>
      </c>
      <c r="Q235" s="7" t="s">
        <v>329</v>
      </c>
      <c r="R235" s="7" t="s">
        <v>330</v>
      </c>
      <c r="S235" s="7" t="s">
        <v>472</v>
      </c>
      <c r="T235" s="7" t="s">
        <v>356</v>
      </c>
      <c r="U235" s="7" t="s">
        <v>194</v>
      </c>
      <c r="V235" s="7" t="s">
        <v>208</v>
      </c>
      <c r="W235" s="7" t="s">
        <v>600</v>
      </c>
      <c r="X235" s="7" t="s">
        <v>656</v>
      </c>
      <c r="Y235" s="7" t="s">
        <v>657</v>
      </c>
      <c r="Z235" s="7" t="s">
        <v>602</v>
      </c>
      <c r="AA235" s="7" t="s">
        <v>183</v>
      </c>
      <c r="AB235" s="18" t="n">
        <v>9750</v>
      </c>
      <c r="AC235" s="7"/>
      <c r="AD235" s="7"/>
      <c r="AE235" s="7" t="s">
        <v>165</v>
      </c>
    </row>
    <row r="236" customFormat="false" ht="21.75" hidden="false" customHeight="true" outlineLevel="0" collapsed="false">
      <c r="B236" s="15" t="n">
        <v>232</v>
      </c>
      <c r="C236" s="9" t="s">
        <v>43</v>
      </c>
      <c r="D236" s="9" t="s">
        <v>18</v>
      </c>
      <c r="E236" s="9" t="s">
        <v>86</v>
      </c>
      <c r="F236" s="9" t="s">
        <v>70</v>
      </c>
      <c r="G236" s="9" t="s">
        <v>662</v>
      </c>
      <c r="H236" s="9" t="s">
        <v>287</v>
      </c>
      <c r="I236" s="9" t="s">
        <v>288</v>
      </c>
      <c r="J236" s="9" t="s">
        <v>653</v>
      </c>
      <c r="K236" s="9" t="s">
        <v>550</v>
      </c>
      <c r="L236" s="9" t="s">
        <v>654</v>
      </c>
      <c r="M236" s="9" t="s">
        <v>281</v>
      </c>
      <c r="N236" s="9" t="s">
        <v>655</v>
      </c>
      <c r="O236" s="9" t="s">
        <v>598</v>
      </c>
      <c r="P236" s="9" t="s">
        <v>599</v>
      </c>
      <c r="Q236" s="9" t="s">
        <v>329</v>
      </c>
      <c r="R236" s="9" t="s">
        <v>330</v>
      </c>
      <c r="S236" s="9" t="s">
        <v>472</v>
      </c>
      <c r="T236" s="9" t="s">
        <v>356</v>
      </c>
      <c r="U236" s="9" t="s">
        <v>194</v>
      </c>
      <c r="V236" s="9" t="s">
        <v>208</v>
      </c>
      <c r="W236" s="9" t="s">
        <v>600</v>
      </c>
      <c r="X236" s="9" t="s">
        <v>656</v>
      </c>
      <c r="Y236" s="9" t="s">
        <v>657</v>
      </c>
      <c r="Z236" s="9" t="s">
        <v>602</v>
      </c>
      <c r="AA236" s="9" t="s">
        <v>183</v>
      </c>
      <c r="AB236" s="19" t="n">
        <v>14300</v>
      </c>
      <c r="AC236" s="9"/>
      <c r="AD236" s="9"/>
      <c r="AE236" s="9" t="s">
        <v>167</v>
      </c>
    </row>
    <row r="237" customFormat="false" ht="21.75" hidden="false" customHeight="true" outlineLevel="0" collapsed="false">
      <c r="B237" s="14" t="n">
        <v>233</v>
      </c>
      <c r="C237" s="7" t="s">
        <v>43</v>
      </c>
      <c r="D237" s="7" t="s">
        <v>18</v>
      </c>
      <c r="E237" s="7" t="s">
        <v>86</v>
      </c>
      <c r="F237" s="7" t="s">
        <v>71</v>
      </c>
      <c r="G237" s="7" t="s">
        <v>663</v>
      </c>
      <c r="H237" s="7" t="s">
        <v>136</v>
      </c>
      <c r="I237" s="7" t="s">
        <v>137</v>
      </c>
      <c r="J237" s="7" t="s">
        <v>203</v>
      </c>
      <c r="K237" s="7" t="s">
        <v>664</v>
      </c>
      <c r="L237" s="7" t="s">
        <v>561</v>
      </c>
      <c r="M237" s="7" t="s">
        <v>116</v>
      </c>
      <c r="N237" s="7" t="s">
        <v>665</v>
      </c>
      <c r="O237" s="7" t="s">
        <v>598</v>
      </c>
      <c r="P237" s="7" t="s">
        <v>599</v>
      </c>
      <c r="Q237" s="7" t="s">
        <v>329</v>
      </c>
      <c r="R237" s="7" t="s">
        <v>330</v>
      </c>
      <c r="S237" s="7" t="s">
        <v>472</v>
      </c>
      <c r="T237" s="7" t="s">
        <v>356</v>
      </c>
      <c r="U237" s="7" t="s">
        <v>148</v>
      </c>
      <c r="V237" s="7" t="s">
        <v>380</v>
      </c>
      <c r="W237" s="7" t="s">
        <v>600</v>
      </c>
      <c r="X237" s="7" t="s">
        <v>615</v>
      </c>
      <c r="Y237" s="7" t="s">
        <v>616</v>
      </c>
      <c r="Z237" s="7" t="s">
        <v>602</v>
      </c>
      <c r="AA237" s="7" t="s">
        <v>183</v>
      </c>
      <c r="AB237" s="18" t="n">
        <v>750</v>
      </c>
      <c r="AC237" s="7"/>
      <c r="AD237" s="7"/>
      <c r="AE237" s="7" t="s">
        <v>155</v>
      </c>
    </row>
    <row r="238" customFormat="false" ht="21.75" hidden="false" customHeight="true" outlineLevel="0" collapsed="false">
      <c r="B238" s="15" t="n">
        <v>234</v>
      </c>
      <c r="C238" s="9" t="s">
        <v>43</v>
      </c>
      <c r="D238" s="9" t="s">
        <v>18</v>
      </c>
      <c r="E238" s="9" t="s">
        <v>86</v>
      </c>
      <c r="F238" s="9" t="s">
        <v>71</v>
      </c>
      <c r="G238" s="9" t="s">
        <v>666</v>
      </c>
      <c r="H238" s="9" t="s">
        <v>157</v>
      </c>
      <c r="I238" s="9" t="s">
        <v>158</v>
      </c>
      <c r="J238" s="9" t="s">
        <v>203</v>
      </c>
      <c r="K238" s="9" t="s">
        <v>664</v>
      </c>
      <c r="L238" s="9" t="s">
        <v>561</v>
      </c>
      <c r="M238" s="9" t="s">
        <v>116</v>
      </c>
      <c r="N238" s="9" t="s">
        <v>665</v>
      </c>
      <c r="O238" s="9" t="s">
        <v>598</v>
      </c>
      <c r="P238" s="9" t="s">
        <v>599</v>
      </c>
      <c r="Q238" s="9" t="s">
        <v>329</v>
      </c>
      <c r="R238" s="9" t="s">
        <v>330</v>
      </c>
      <c r="S238" s="9" t="s">
        <v>472</v>
      </c>
      <c r="T238" s="9" t="s">
        <v>356</v>
      </c>
      <c r="U238" s="9" t="s">
        <v>148</v>
      </c>
      <c r="V238" s="9" t="s">
        <v>380</v>
      </c>
      <c r="W238" s="9" t="s">
        <v>600</v>
      </c>
      <c r="X238" s="9" t="s">
        <v>615</v>
      </c>
      <c r="Y238" s="9" t="s">
        <v>616</v>
      </c>
      <c r="Z238" s="9" t="s">
        <v>602</v>
      </c>
      <c r="AA238" s="9" t="s">
        <v>183</v>
      </c>
      <c r="AB238" s="19" t="n">
        <v>1125</v>
      </c>
      <c r="AC238" s="9"/>
      <c r="AD238" s="9"/>
      <c r="AE238" s="9" t="s">
        <v>159</v>
      </c>
    </row>
    <row r="239" customFormat="false" ht="21.75" hidden="false" customHeight="true" outlineLevel="0" collapsed="false">
      <c r="B239" s="14" t="n">
        <v>235</v>
      </c>
      <c r="C239" s="7" t="s">
        <v>43</v>
      </c>
      <c r="D239" s="7" t="s">
        <v>18</v>
      </c>
      <c r="E239" s="7" t="s">
        <v>86</v>
      </c>
      <c r="F239" s="7" t="s">
        <v>71</v>
      </c>
      <c r="G239" s="7" t="s">
        <v>667</v>
      </c>
      <c r="H239" s="7" t="s">
        <v>163</v>
      </c>
      <c r="I239" s="7" t="s">
        <v>164</v>
      </c>
      <c r="J239" s="7" t="s">
        <v>203</v>
      </c>
      <c r="K239" s="7" t="s">
        <v>664</v>
      </c>
      <c r="L239" s="7" t="s">
        <v>561</v>
      </c>
      <c r="M239" s="7" t="s">
        <v>116</v>
      </c>
      <c r="N239" s="7" t="s">
        <v>665</v>
      </c>
      <c r="O239" s="7" t="s">
        <v>598</v>
      </c>
      <c r="P239" s="7" t="s">
        <v>599</v>
      </c>
      <c r="Q239" s="7" t="s">
        <v>329</v>
      </c>
      <c r="R239" s="7" t="s">
        <v>330</v>
      </c>
      <c r="S239" s="7" t="s">
        <v>472</v>
      </c>
      <c r="T239" s="7" t="s">
        <v>356</v>
      </c>
      <c r="U239" s="7" t="s">
        <v>148</v>
      </c>
      <c r="V239" s="7" t="s">
        <v>380</v>
      </c>
      <c r="W239" s="7" t="s">
        <v>600</v>
      </c>
      <c r="X239" s="7" t="s">
        <v>615</v>
      </c>
      <c r="Y239" s="7" t="s">
        <v>616</v>
      </c>
      <c r="Z239" s="7" t="s">
        <v>602</v>
      </c>
      <c r="AA239" s="7" t="s">
        <v>183</v>
      </c>
      <c r="AB239" s="18" t="n">
        <v>1500</v>
      </c>
      <c r="AC239" s="7"/>
      <c r="AD239" s="7"/>
      <c r="AE239" s="7" t="s">
        <v>668</v>
      </c>
    </row>
    <row r="240" customFormat="false" ht="21.75" hidden="false" customHeight="true" outlineLevel="0" collapsed="false">
      <c r="B240" s="15" t="n">
        <v>236</v>
      </c>
      <c r="C240" s="9" t="s">
        <v>43</v>
      </c>
      <c r="D240" s="9" t="s">
        <v>18</v>
      </c>
      <c r="E240" s="9" t="s">
        <v>86</v>
      </c>
      <c r="F240" s="9" t="s">
        <v>71</v>
      </c>
      <c r="G240" s="9" t="s">
        <v>669</v>
      </c>
      <c r="H240" s="9" t="s">
        <v>163</v>
      </c>
      <c r="I240" s="9" t="s">
        <v>164</v>
      </c>
      <c r="J240" s="9" t="s">
        <v>203</v>
      </c>
      <c r="K240" s="9" t="s">
        <v>664</v>
      </c>
      <c r="L240" s="9" t="s">
        <v>561</v>
      </c>
      <c r="M240" s="9" t="s">
        <v>116</v>
      </c>
      <c r="N240" s="9" t="s">
        <v>665</v>
      </c>
      <c r="O240" s="9" t="s">
        <v>598</v>
      </c>
      <c r="P240" s="9" t="s">
        <v>599</v>
      </c>
      <c r="Q240" s="9" t="s">
        <v>329</v>
      </c>
      <c r="R240" s="9" t="s">
        <v>330</v>
      </c>
      <c r="S240" s="9" t="s">
        <v>472</v>
      </c>
      <c r="T240" s="9" t="s">
        <v>356</v>
      </c>
      <c r="U240" s="9" t="s">
        <v>148</v>
      </c>
      <c r="V240" s="9" t="s">
        <v>380</v>
      </c>
      <c r="W240" s="9" t="s">
        <v>600</v>
      </c>
      <c r="X240" s="9" t="s">
        <v>615</v>
      </c>
      <c r="Y240" s="9" t="s">
        <v>616</v>
      </c>
      <c r="Z240" s="9" t="s">
        <v>602</v>
      </c>
      <c r="AA240" s="9" t="s">
        <v>183</v>
      </c>
      <c r="AB240" s="19" t="n">
        <v>2250</v>
      </c>
      <c r="AC240" s="9"/>
      <c r="AD240" s="9"/>
      <c r="AE240" s="9" t="s">
        <v>165</v>
      </c>
    </row>
    <row r="241" customFormat="false" ht="21.75" hidden="false" customHeight="true" outlineLevel="0" collapsed="false">
      <c r="B241" s="14" t="n">
        <v>237</v>
      </c>
      <c r="C241" s="7" t="s">
        <v>43</v>
      </c>
      <c r="D241" s="7" t="s">
        <v>18</v>
      </c>
      <c r="E241" s="7" t="s">
        <v>86</v>
      </c>
      <c r="F241" s="7" t="s">
        <v>71</v>
      </c>
      <c r="G241" s="7" t="s">
        <v>670</v>
      </c>
      <c r="H241" s="7" t="s">
        <v>163</v>
      </c>
      <c r="I241" s="7" t="s">
        <v>164</v>
      </c>
      <c r="J241" s="7" t="s">
        <v>203</v>
      </c>
      <c r="K241" s="7" t="s">
        <v>664</v>
      </c>
      <c r="L241" s="7" t="s">
        <v>561</v>
      </c>
      <c r="M241" s="7" t="s">
        <v>116</v>
      </c>
      <c r="N241" s="7" t="s">
        <v>665</v>
      </c>
      <c r="O241" s="7" t="s">
        <v>598</v>
      </c>
      <c r="P241" s="7" t="s">
        <v>599</v>
      </c>
      <c r="Q241" s="7" t="s">
        <v>329</v>
      </c>
      <c r="R241" s="7" t="s">
        <v>330</v>
      </c>
      <c r="S241" s="7" t="s">
        <v>472</v>
      </c>
      <c r="T241" s="7" t="s">
        <v>356</v>
      </c>
      <c r="U241" s="7" t="s">
        <v>148</v>
      </c>
      <c r="V241" s="7" t="s">
        <v>380</v>
      </c>
      <c r="W241" s="7" t="s">
        <v>600</v>
      </c>
      <c r="X241" s="7" t="s">
        <v>615</v>
      </c>
      <c r="Y241" s="7" t="s">
        <v>616</v>
      </c>
      <c r="Z241" s="7" t="s">
        <v>602</v>
      </c>
      <c r="AA241" s="7" t="s">
        <v>183</v>
      </c>
      <c r="AB241" s="18" t="n">
        <v>3300</v>
      </c>
      <c r="AC241" s="7"/>
      <c r="AD241" s="7"/>
      <c r="AE241" s="7" t="s">
        <v>167</v>
      </c>
    </row>
    <row r="242" customFormat="false" ht="21.75" hidden="false" customHeight="true" outlineLevel="0" collapsed="false">
      <c r="B242" s="15" t="n">
        <v>238</v>
      </c>
      <c r="C242" s="9" t="s">
        <v>43</v>
      </c>
      <c r="D242" s="9" t="s">
        <v>18</v>
      </c>
      <c r="E242" s="9" t="s">
        <v>86</v>
      </c>
      <c r="F242" s="9" t="s">
        <v>72</v>
      </c>
      <c r="G242" s="9" t="s">
        <v>321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9"/>
      <c r="AC242" s="9"/>
      <c r="AD242" s="9"/>
      <c r="AE242" s="9" t="s">
        <v>671</v>
      </c>
    </row>
    <row r="243" customFormat="false" ht="21.75" hidden="false" customHeight="true" outlineLevel="0" collapsed="false">
      <c r="B243" s="14" t="n">
        <v>239</v>
      </c>
      <c r="C243" s="7" t="s">
        <v>43</v>
      </c>
      <c r="D243" s="7" t="s">
        <v>18</v>
      </c>
      <c r="E243" s="7" t="s">
        <v>86</v>
      </c>
      <c r="F243" s="7" t="s">
        <v>73</v>
      </c>
      <c r="G243" s="7" t="s">
        <v>604</v>
      </c>
      <c r="H243" s="7" t="s">
        <v>136</v>
      </c>
      <c r="I243" s="7" t="s">
        <v>137</v>
      </c>
      <c r="J243" s="7" t="s">
        <v>203</v>
      </c>
      <c r="K243" s="7" t="s">
        <v>168</v>
      </c>
      <c r="L243" s="7" t="s">
        <v>205</v>
      </c>
      <c r="M243" s="7" t="s">
        <v>116</v>
      </c>
      <c r="N243" s="7" t="s">
        <v>672</v>
      </c>
      <c r="O243" s="7" t="s">
        <v>598</v>
      </c>
      <c r="P243" s="7" t="s">
        <v>599</v>
      </c>
      <c r="Q243" s="7" t="s">
        <v>329</v>
      </c>
      <c r="R243" s="7" t="s">
        <v>330</v>
      </c>
      <c r="S243" s="7" t="s">
        <v>472</v>
      </c>
      <c r="T243" s="7" t="s">
        <v>398</v>
      </c>
      <c r="U243" s="7" t="s">
        <v>148</v>
      </c>
      <c r="V243" s="7" t="s">
        <v>380</v>
      </c>
      <c r="W243" s="7" t="s">
        <v>600</v>
      </c>
      <c r="X243" s="7" t="s">
        <v>673</v>
      </c>
      <c r="Y243" s="7" t="s">
        <v>358</v>
      </c>
      <c r="Z243" s="7" t="s">
        <v>602</v>
      </c>
      <c r="AA243" s="7" t="s">
        <v>154</v>
      </c>
      <c r="AB243" s="18" t="n">
        <v>445</v>
      </c>
      <c r="AC243" s="7"/>
      <c r="AD243" s="7"/>
      <c r="AE243" s="7" t="s">
        <v>155</v>
      </c>
    </row>
    <row r="244" customFormat="false" ht="21.75" hidden="false" customHeight="true" outlineLevel="0" collapsed="false">
      <c r="B244" s="15" t="n">
        <v>240</v>
      </c>
      <c r="C244" s="9" t="s">
        <v>43</v>
      </c>
      <c r="D244" s="9" t="s">
        <v>18</v>
      </c>
      <c r="E244" s="9" t="s">
        <v>86</v>
      </c>
      <c r="F244" s="9" t="s">
        <v>73</v>
      </c>
      <c r="G244" s="9" t="s">
        <v>606</v>
      </c>
      <c r="H244" s="9" t="s">
        <v>157</v>
      </c>
      <c r="I244" s="9" t="s">
        <v>158</v>
      </c>
      <c r="J244" s="9" t="s">
        <v>203</v>
      </c>
      <c r="K244" s="9" t="s">
        <v>168</v>
      </c>
      <c r="L244" s="9" t="s">
        <v>205</v>
      </c>
      <c r="M244" s="9" t="s">
        <v>116</v>
      </c>
      <c r="N244" s="9" t="s">
        <v>672</v>
      </c>
      <c r="O244" s="9" t="s">
        <v>598</v>
      </c>
      <c r="P244" s="9" t="s">
        <v>599</v>
      </c>
      <c r="Q244" s="9" t="s">
        <v>329</v>
      </c>
      <c r="R244" s="9" t="s">
        <v>330</v>
      </c>
      <c r="S244" s="9" t="s">
        <v>472</v>
      </c>
      <c r="T244" s="9" t="s">
        <v>398</v>
      </c>
      <c r="U244" s="9" t="s">
        <v>148</v>
      </c>
      <c r="V244" s="9" t="s">
        <v>380</v>
      </c>
      <c r="W244" s="9" t="s">
        <v>600</v>
      </c>
      <c r="X244" s="9" t="s">
        <v>673</v>
      </c>
      <c r="Y244" s="9" t="s">
        <v>358</v>
      </c>
      <c r="Z244" s="9" t="s">
        <v>602</v>
      </c>
      <c r="AA244" s="9" t="s">
        <v>154</v>
      </c>
      <c r="AB244" s="19" t="n">
        <v>670</v>
      </c>
      <c r="AC244" s="9"/>
      <c r="AD244" s="9"/>
      <c r="AE244" s="9" t="s">
        <v>159</v>
      </c>
    </row>
    <row r="245" customFormat="false" ht="21.75" hidden="false" customHeight="true" outlineLevel="0" collapsed="false">
      <c r="B245" s="14" t="n">
        <v>241</v>
      </c>
      <c r="C245" s="7" t="s">
        <v>43</v>
      </c>
      <c r="D245" s="7" t="s">
        <v>18</v>
      </c>
      <c r="E245" s="7" t="s">
        <v>86</v>
      </c>
      <c r="F245" s="7" t="s">
        <v>73</v>
      </c>
      <c r="G245" s="7" t="s">
        <v>674</v>
      </c>
      <c r="H245" s="7" t="s">
        <v>157</v>
      </c>
      <c r="I245" s="7" t="s">
        <v>158</v>
      </c>
      <c r="J245" s="7" t="s">
        <v>203</v>
      </c>
      <c r="K245" s="7" t="s">
        <v>168</v>
      </c>
      <c r="L245" s="7" t="s">
        <v>205</v>
      </c>
      <c r="M245" s="7" t="s">
        <v>116</v>
      </c>
      <c r="N245" s="7" t="s">
        <v>672</v>
      </c>
      <c r="O245" s="7" t="s">
        <v>598</v>
      </c>
      <c r="P245" s="7" t="s">
        <v>599</v>
      </c>
      <c r="Q245" s="7" t="s">
        <v>329</v>
      </c>
      <c r="R245" s="7" t="s">
        <v>330</v>
      </c>
      <c r="S245" s="7" t="s">
        <v>472</v>
      </c>
      <c r="T245" s="7" t="s">
        <v>398</v>
      </c>
      <c r="U245" s="7" t="s">
        <v>148</v>
      </c>
      <c r="V245" s="7" t="s">
        <v>380</v>
      </c>
      <c r="W245" s="7" t="s">
        <v>600</v>
      </c>
      <c r="X245" s="7" t="s">
        <v>673</v>
      </c>
      <c r="Y245" s="7" t="s">
        <v>358</v>
      </c>
      <c r="Z245" s="7" t="s">
        <v>602</v>
      </c>
      <c r="AA245" s="7" t="s">
        <v>154</v>
      </c>
      <c r="AB245" s="18" t="n">
        <v>890</v>
      </c>
      <c r="AC245" s="7"/>
      <c r="AD245" s="7"/>
      <c r="AE245" s="7" t="s">
        <v>675</v>
      </c>
    </row>
    <row r="246" customFormat="false" ht="21.75" hidden="false" customHeight="true" outlineLevel="0" collapsed="false">
      <c r="B246" s="15" t="n">
        <v>242</v>
      </c>
      <c r="C246" s="9" t="s">
        <v>43</v>
      </c>
      <c r="D246" s="9" t="s">
        <v>18</v>
      </c>
      <c r="E246" s="9" t="s">
        <v>86</v>
      </c>
      <c r="F246" s="9" t="s">
        <v>73</v>
      </c>
      <c r="G246" s="9" t="s">
        <v>607</v>
      </c>
      <c r="H246" s="9" t="s">
        <v>163</v>
      </c>
      <c r="I246" s="9" t="s">
        <v>164</v>
      </c>
      <c r="J246" s="9" t="s">
        <v>203</v>
      </c>
      <c r="K246" s="9" t="s">
        <v>168</v>
      </c>
      <c r="L246" s="9" t="s">
        <v>205</v>
      </c>
      <c r="M246" s="9" t="s">
        <v>116</v>
      </c>
      <c r="N246" s="9" t="s">
        <v>672</v>
      </c>
      <c r="O246" s="9" t="s">
        <v>598</v>
      </c>
      <c r="P246" s="9" t="s">
        <v>599</v>
      </c>
      <c r="Q246" s="9" t="s">
        <v>329</v>
      </c>
      <c r="R246" s="9" t="s">
        <v>330</v>
      </c>
      <c r="S246" s="9" t="s">
        <v>472</v>
      </c>
      <c r="T246" s="9" t="s">
        <v>398</v>
      </c>
      <c r="U246" s="9" t="s">
        <v>148</v>
      </c>
      <c r="V246" s="9" t="s">
        <v>380</v>
      </c>
      <c r="W246" s="9" t="s">
        <v>600</v>
      </c>
      <c r="X246" s="9" t="s">
        <v>673</v>
      </c>
      <c r="Y246" s="9" t="s">
        <v>358</v>
      </c>
      <c r="Z246" s="9" t="s">
        <v>602</v>
      </c>
      <c r="AA246" s="9" t="s">
        <v>154</v>
      </c>
      <c r="AB246" s="19" t="n">
        <v>1335</v>
      </c>
      <c r="AC246" s="9"/>
      <c r="AD246" s="9"/>
      <c r="AE246" s="9" t="s">
        <v>165</v>
      </c>
    </row>
    <row r="247" customFormat="false" ht="21.75" hidden="false" customHeight="true" outlineLevel="0" collapsed="false">
      <c r="B247" s="14" t="n">
        <v>243</v>
      </c>
      <c r="C247" s="7" t="s">
        <v>43</v>
      </c>
      <c r="D247" s="7" t="s">
        <v>18</v>
      </c>
      <c r="E247" s="7" t="s">
        <v>86</v>
      </c>
      <c r="F247" s="7" t="s">
        <v>73</v>
      </c>
      <c r="G247" s="7" t="s">
        <v>676</v>
      </c>
      <c r="H247" s="7" t="s">
        <v>163</v>
      </c>
      <c r="I247" s="7" t="s">
        <v>164</v>
      </c>
      <c r="J247" s="7" t="s">
        <v>203</v>
      </c>
      <c r="K247" s="7" t="s">
        <v>168</v>
      </c>
      <c r="L247" s="7" t="s">
        <v>205</v>
      </c>
      <c r="M247" s="7" t="s">
        <v>116</v>
      </c>
      <c r="N247" s="7" t="s">
        <v>672</v>
      </c>
      <c r="O247" s="7" t="s">
        <v>598</v>
      </c>
      <c r="P247" s="7" t="s">
        <v>599</v>
      </c>
      <c r="Q247" s="7" t="s">
        <v>329</v>
      </c>
      <c r="R247" s="7" t="s">
        <v>330</v>
      </c>
      <c r="S247" s="7" t="s">
        <v>472</v>
      </c>
      <c r="T247" s="7" t="s">
        <v>398</v>
      </c>
      <c r="U247" s="7" t="s">
        <v>148</v>
      </c>
      <c r="V247" s="7" t="s">
        <v>380</v>
      </c>
      <c r="W247" s="7" t="s">
        <v>600</v>
      </c>
      <c r="X247" s="7" t="s">
        <v>673</v>
      </c>
      <c r="Y247" s="7" t="s">
        <v>358</v>
      </c>
      <c r="Z247" s="7" t="s">
        <v>602</v>
      </c>
      <c r="AA247" s="7" t="s">
        <v>154</v>
      </c>
      <c r="AB247" s="18" t="n">
        <v>1960</v>
      </c>
      <c r="AC247" s="7"/>
      <c r="AD247" s="7"/>
      <c r="AE247" s="7" t="s">
        <v>167</v>
      </c>
    </row>
    <row r="248" customFormat="false" ht="21.75" hidden="false" customHeight="true" outlineLevel="0" collapsed="false">
      <c r="B248" s="15" t="n">
        <v>244</v>
      </c>
      <c r="C248" s="9" t="s">
        <v>43</v>
      </c>
      <c r="D248" s="9" t="s">
        <v>18</v>
      </c>
      <c r="E248" s="9" t="s">
        <v>86</v>
      </c>
      <c r="F248" s="9" t="s">
        <v>74</v>
      </c>
      <c r="G248" s="9" t="s">
        <v>321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9"/>
      <c r="AC248" s="9"/>
      <c r="AD248" s="9"/>
      <c r="AE248" s="9" t="s">
        <v>677</v>
      </c>
    </row>
    <row r="249" customFormat="false" ht="21.75" hidden="false" customHeight="true" outlineLevel="0" collapsed="false">
      <c r="B249" s="14" t="n">
        <v>245</v>
      </c>
      <c r="C249" s="7" t="s">
        <v>44</v>
      </c>
      <c r="D249" s="7" t="s">
        <v>18</v>
      </c>
      <c r="E249" s="7" t="s">
        <v>87</v>
      </c>
      <c r="F249" s="7" t="s">
        <v>61</v>
      </c>
      <c r="G249" s="7" t="s">
        <v>678</v>
      </c>
      <c r="H249" s="7" t="s">
        <v>136</v>
      </c>
      <c r="I249" s="7" t="s">
        <v>137</v>
      </c>
      <c r="J249" s="7" t="s">
        <v>468</v>
      </c>
      <c r="K249" s="7" t="s">
        <v>168</v>
      </c>
      <c r="L249" s="7" t="s">
        <v>679</v>
      </c>
      <c r="M249" s="7" t="s">
        <v>116</v>
      </c>
      <c r="N249" s="7" t="s">
        <v>680</v>
      </c>
      <c r="O249" s="7" t="s">
        <v>681</v>
      </c>
      <c r="P249" s="7" t="s">
        <v>144</v>
      </c>
      <c r="Q249" s="7" t="s">
        <v>329</v>
      </c>
      <c r="R249" s="7" t="s">
        <v>330</v>
      </c>
      <c r="S249" s="7" t="s">
        <v>472</v>
      </c>
      <c r="T249" s="7" t="s">
        <v>398</v>
      </c>
      <c r="U249" s="7" t="s">
        <v>148</v>
      </c>
      <c r="V249" s="7" t="s">
        <v>380</v>
      </c>
      <c r="W249" s="7" t="s">
        <v>682</v>
      </c>
      <c r="X249" s="7" t="s">
        <v>683</v>
      </c>
      <c r="Y249" s="7" t="s">
        <v>491</v>
      </c>
      <c r="Z249" s="7" t="s">
        <v>684</v>
      </c>
      <c r="AA249" s="7" t="s">
        <v>154</v>
      </c>
      <c r="AB249" s="18" t="n">
        <v>345</v>
      </c>
      <c r="AC249" s="7"/>
      <c r="AD249" s="7"/>
      <c r="AE249" s="7" t="s">
        <v>155</v>
      </c>
    </row>
    <row r="250" customFormat="false" ht="21.75" hidden="false" customHeight="true" outlineLevel="0" collapsed="false">
      <c r="B250" s="15" t="n">
        <v>246</v>
      </c>
      <c r="C250" s="9" t="s">
        <v>44</v>
      </c>
      <c r="D250" s="9" t="s">
        <v>18</v>
      </c>
      <c r="E250" s="9" t="s">
        <v>87</v>
      </c>
      <c r="F250" s="9" t="s">
        <v>61</v>
      </c>
      <c r="G250" s="9" t="s">
        <v>685</v>
      </c>
      <c r="H250" s="9" t="s">
        <v>157</v>
      </c>
      <c r="I250" s="9" t="s">
        <v>158</v>
      </c>
      <c r="J250" s="9" t="s">
        <v>468</v>
      </c>
      <c r="K250" s="9" t="s">
        <v>168</v>
      </c>
      <c r="L250" s="9" t="s">
        <v>679</v>
      </c>
      <c r="M250" s="9" t="s">
        <v>116</v>
      </c>
      <c r="N250" s="9" t="s">
        <v>680</v>
      </c>
      <c r="O250" s="9" t="s">
        <v>681</v>
      </c>
      <c r="P250" s="9" t="s">
        <v>144</v>
      </c>
      <c r="Q250" s="9" t="s">
        <v>329</v>
      </c>
      <c r="R250" s="9" t="s">
        <v>330</v>
      </c>
      <c r="S250" s="9" t="s">
        <v>472</v>
      </c>
      <c r="T250" s="9" t="s">
        <v>398</v>
      </c>
      <c r="U250" s="9" t="s">
        <v>148</v>
      </c>
      <c r="V250" s="9" t="s">
        <v>380</v>
      </c>
      <c r="W250" s="9" t="s">
        <v>682</v>
      </c>
      <c r="X250" s="9" t="s">
        <v>683</v>
      </c>
      <c r="Y250" s="9" t="s">
        <v>491</v>
      </c>
      <c r="Z250" s="9" t="s">
        <v>684</v>
      </c>
      <c r="AA250" s="9" t="s">
        <v>154</v>
      </c>
      <c r="AB250" s="19" t="n">
        <v>520</v>
      </c>
      <c r="AC250" s="9"/>
      <c r="AD250" s="9"/>
      <c r="AE250" s="9" t="s">
        <v>159</v>
      </c>
    </row>
    <row r="251" customFormat="false" ht="21.75" hidden="false" customHeight="true" outlineLevel="0" collapsed="false">
      <c r="B251" s="14" t="n">
        <v>247</v>
      </c>
      <c r="C251" s="7" t="s">
        <v>44</v>
      </c>
      <c r="D251" s="7" t="s">
        <v>18</v>
      </c>
      <c r="E251" s="7" t="s">
        <v>87</v>
      </c>
      <c r="F251" s="7" t="s">
        <v>61</v>
      </c>
      <c r="G251" s="7" t="s">
        <v>686</v>
      </c>
      <c r="H251" s="7" t="s">
        <v>157</v>
      </c>
      <c r="I251" s="7" t="s">
        <v>158</v>
      </c>
      <c r="J251" s="7" t="s">
        <v>468</v>
      </c>
      <c r="K251" s="7" t="s">
        <v>168</v>
      </c>
      <c r="L251" s="7" t="s">
        <v>679</v>
      </c>
      <c r="M251" s="7" t="s">
        <v>116</v>
      </c>
      <c r="N251" s="7" t="s">
        <v>680</v>
      </c>
      <c r="O251" s="7" t="s">
        <v>681</v>
      </c>
      <c r="P251" s="7" t="s">
        <v>144</v>
      </c>
      <c r="Q251" s="7" t="s">
        <v>329</v>
      </c>
      <c r="R251" s="7" t="s">
        <v>330</v>
      </c>
      <c r="S251" s="7" t="s">
        <v>472</v>
      </c>
      <c r="T251" s="7" t="s">
        <v>398</v>
      </c>
      <c r="U251" s="7" t="s">
        <v>148</v>
      </c>
      <c r="V251" s="7" t="s">
        <v>380</v>
      </c>
      <c r="W251" s="7" t="s">
        <v>682</v>
      </c>
      <c r="X251" s="7" t="s">
        <v>683</v>
      </c>
      <c r="Y251" s="7" t="s">
        <v>491</v>
      </c>
      <c r="Z251" s="7" t="s">
        <v>684</v>
      </c>
      <c r="AA251" s="7" t="s">
        <v>154</v>
      </c>
      <c r="AB251" s="18" t="n">
        <v>690</v>
      </c>
      <c r="AC251" s="7"/>
      <c r="AD251" s="7"/>
      <c r="AE251" s="7" t="s">
        <v>687</v>
      </c>
    </row>
    <row r="252" customFormat="false" ht="21.75" hidden="false" customHeight="true" outlineLevel="0" collapsed="false">
      <c r="B252" s="15" t="n">
        <v>248</v>
      </c>
      <c r="C252" s="9" t="s">
        <v>44</v>
      </c>
      <c r="D252" s="9" t="s">
        <v>18</v>
      </c>
      <c r="E252" s="9" t="s">
        <v>87</v>
      </c>
      <c r="F252" s="9" t="s">
        <v>61</v>
      </c>
      <c r="G252" s="9" t="s">
        <v>688</v>
      </c>
      <c r="H252" s="9" t="s">
        <v>163</v>
      </c>
      <c r="I252" s="9" t="s">
        <v>164</v>
      </c>
      <c r="J252" s="9" t="s">
        <v>468</v>
      </c>
      <c r="K252" s="9" t="s">
        <v>168</v>
      </c>
      <c r="L252" s="9" t="s">
        <v>679</v>
      </c>
      <c r="M252" s="9" t="s">
        <v>116</v>
      </c>
      <c r="N252" s="9" t="s">
        <v>680</v>
      </c>
      <c r="O252" s="9" t="s">
        <v>681</v>
      </c>
      <c r="P252" s="9" t="s">
        <v>144</v>
      </c>
      <c r="Q252" s="9" t="s">
        <v>329</v>
      </c>
      <c r="R252" s="9" t="s">
        <v>330</v>
      </c>
      <c r="S252" s="9" t="s">
        <v>472</v>
      </c>
      <c r="T252" s="9" t="s">
        <v>398</v>
      </c>
      <c r="U252" s="9" t="s">
        <v>148</v>
      </c>
      <c r="V252" s="9" t="s">
        <v>380</v>
      </c>
      <c r="W252" s="9" t="s">
        <v>682</v>
      </c>
      <c r="X252" s="9" t="s">
        <v>683</v>
      </c>
      <c r="Y252" s="9" t="s">
        <v>491</v>
      </c>
      <c r="Z252" s="9" t="s">
        <v>684</v>
      </c>
      <c r="AA252" s="9" t="s">
        <v>154</v>
      </c>
      <c r="AB252" s="19" t="n">
        <v>1035</v>
      </c>
      <c r="AC252" s="9"/>
      <c r="AD252" s="9"/>
      <c r="AE252" s="9" t="s">
        <v>165</v>
      </c>
    </row>
    <row r="253" customFormat="false" ht="21.75" hidden="false" customHeight="true" outlineLevel="0" collapsed="false">
      <c r="B253" s="14" t="n">
        <v>249</v>
      </c>
      <c r="C253" s="7" t="s">
        <v>44</v>
      </c>
      <c r="D253" s="7" t="s">
        <v>18</v>
      </c>
      <c r="E253" s="7" t="s">
        <v>87</v>
      </c>
      <c r="F253" s="7" t="s">
        <v>61</v>
      </c>
      <c r="G253" s="7" t="s">
        <v>689</v>
      </c>
      <c r="H253" s="7" t="s">
        <v>163</v>
      </c>
      <c r="I253" s="7" t="s">
        <v>164</v>
      </c>
      <c r="J253" s="7" t="s">
        <v>468</v>
      </c>
      <c r="K253" s="7" t="s">
        <v>168</v>
      </c>
      <c r="L253" s="7" t="s">
        <v>679</v>
      </c>
      <c r="M253" s="7" t="s">
        <v>116</v>
      </c>
      <c r="N253" s="7" t="s">
        <v>680</v>
      </c>
      <c r="O253" s="7" t="s">
        <v>681</v>
      </c>
      <c r="P253" s="7" t="s">
        <v>144</v>
      </c>
      <c r="Q253" s="7" t="s">
        <v>329</v>
      </c>
      <c r="R253" s="7" t="s">
        <v>330</v>
      </c>
      <c r="S253" s="7" t="s">
        <v>472</v>
      </c>
      <c r="T253" s="7" t="s">
        <v>398</v>
      </c>
      <c r="U253" s="7" t="s">
        <v>148</v>
      </c>
      <c r="V253" s="7" t="s">
        <v>380</v>
      </c>
      <c r="W253" s="7" t="s">
        <v>682</v>
      </c>
      <c r="X253" s="7" t="s">
        <v>683</v>
      </c>
      <c r="Y253" s="7" t="s">
        <v>491</v>
      </c>
      <c r="Z253" s="7" t="s">
        <v>684</v>
      </c>
      <c r="AA253" s="7" t="s">
        <v>154</v>
      </c>
      <c r="AB253" s="18" t="n">
        <v>1520</v>
      </c>
      <c r="AC253" s="7"/>
      <c r="AD253" s="7"/>
      <c r="AE253" s="7" t="s">
        <v>167</v>
      </c>
    </row>
    <row r="254" customFormat="false" ht="21.75" hidden="false" customHeight="true" outlineLevel="0" collapsed="false">
      <c r="B254" s="15" t="n">
        <v>250</v>
      </c>
      <c r="C254" s="9" t="s">
        <v>44</v>
      </c>
      <c r="D254" s="9" t="s">
        <v>18</v>
      </c>
      <c r="E254" s="9" t="s">
        <v>87</v>
      </c>
      <c r="F254" s="9" t="s">
        <v>62</v>
      </c>
      <c r="G254" s="9" t="s">
        <v>690</v>
      </c>
      <c r="H254" s="9" t="s">
        <v>136</v>
      </c>
      <c r="I254" s="9" t="s">
        <v>137</v>
      </c>
      <c r="J254" s="9" t="s">
        <v>203</v>
      </c>
      <c r="K254" s="9" t="s">
        <v>168</v>
      </c>
      <c r="L254" s="9" t="s">
        <v>169</v>
      </c>
      <c r="M254" s="9" t="s">
        <v>116</v>
      </c>
      <c r="N254" s="9" t="s">
        <v>680</v>
      </c>
      <c r="O254" s="9" t="s">
        <v>681</v>
      </c>
      <c r="P254" s="9" t="s">
        <v>144</v>
      </c>
      <c r="Q254" s="9" t="s">
        <v>329</v>
      </c>
      <c r="R254" s="9" t="s">
        <v>330</v>
      </c>
      <c r="S254" s="9" t="s">
        <v>472</v>
      </c>
      <c r="T254" s="9" t="s">
        <v>570</v>
      </c>
      <c r="U254" s="9" t="s">
        <v>148</v>
      </c>
      <c r="V254" s="9" t="s">
        <v>236</v>
      </c>
      <c r="W254" s="9" t="s">
        <v>682</v>
      </c>
      <c r="X254" s="9" t="s">
        <v>335</v>
      </c>
      <c r="Y254" s="9" t="s">
        <v>691</v>
      </c>
      <c r="Z254" s="9" t="s">
        <v>684</v>
      </c>
      <c r="AA254" s="9" t="s">
        <v>154</v>
      </c>
      <c r="AB254" s="19" t="n">
        <v>270</v>
      </c>
      <c r="AC254" s="9"/>
      <c r="AD254" s="9"/>
      <c r="AE254" s="9" t="s">
        <v>155</v>
      </c>
    </row>
    <row r="255" customFormat="false" ht="21.75" hidden="false" customHeight="true" outlineLevel="0" collapsed="false">
      <c r="B255" s="14" t="n">
        <v>251</v>
      </c>
      <c r="C255" s="7" t="s">
        <v>44</v>
      </c>
      <c r="D255" s="7" t="s">
        <v>18</v>
      </c>
      <c r="E255" s="7" t="s">
        <v>87</v>
      </c>
      <c r="F255" s="7" t="s">
        <v>62</v>
      </c>
      <c r="G255" s="7" t="s">
        <v>692</v>
      </c>
      <c r="H255" s="7" t="s">
        <v>157</v>
      </c>
      <c r="I255" s="7" t="s">
        <v>158</v>
      </c>
      <c r="J255" s="7" t="s">
        <v>203</v>
      </c>
      <c r="K255" s="7" t="s">
        <v>168</v>
      </c>
      <c r="L255" s="7" t="s">
        <v>169</v>
      </c>
      <c r="M255" s="7" t="s">
        <v>116</v>
      </c>
      <c r="N255" s="7" t="s">
        <v>680</v>
      </c>
      <c r="O255" s="7" t="s">
        <v>681</v>
      </c>
      <c r="P255" s="7" t="s">
        <v>144</v>
      </c>
      <c r="Q255" s="7" t="s">
        <v>329</v>
      </c>
      <c r="R255" s="7" t="s">
        <v>330</v>
      </c>
      <c r="S255" s="7" t="s">
        <v>472</v>
      </c>
      <c r="T255" s="7" t="s">
        <v>570</v>
      </c>
      <c r="U255" s="7" t="s">
        <v>148</v>
      </c>
      <c r="V255" s="7" t="s">
        <v>236</v>
      </c>
      <c r="W255" s="7" t="s">
        <v>682</v>
      </c>
      <c r="X255" s="7" t="s">
        <v>335</v>
      </c>
      <c r="Y255" s="7" t="s">
        <v>691</v>
      </c>
      <c r="Z255" s="7" t="s">
        <v>684</v>
      </c>
      <c r="AA255" s="7" t="s">
        <v>154</v>
      </c>
      <c r="AB255" s="18" t="n">
        <v>405</v>
      </c>
      <c r="AC255" s="7"/>
      <c r="AD255" s="7"/>
      <c r="AE255" s="7" t="s">
        <v>159</v>
      </c>
    </row>
    <row r="256" customFormat="false" ht="21.75" hidden="false" customHeight="true" outlineLevel="0" collapsed="false">
      <c r="B256" s="15" t="n">
        <v>252</v>
      </c>
      <c r="C256" s="9" t="s">
        <v>44</v>
      </c>
      <c r="D256" s="9" t="s">
        <v>18</v>
      </c>
      <c r="E256" s="9" t="s">
        <v>87</v>
      </c>
      <c r="F256" s="9" t="s">
        <v>62</v>
      </c>
      <c r="G256" s="9" t="s">
        <v>693</v>
      </c>
      <c r="H256" s="9" t="s">
        <v>157</v>
      </c>
      <c r="I256" s="9" t="s">
        <v>158</v>
      </c>
      <c r="J256" s="9" t="s">
        <v>203</v>
      </c>
      <c r="K256" s="9" t="s">
        <v>168</v>
      </c>
      <c r="L256" s="9" t="s">
        <v>169</v>
      </c>
      <c r="M256" s="9" t="s">
        <v>116</v>
      </c>
      <c r="N256" s="9" t="s">
        <v>680</v>
      </c>
      <c r="O256" s="9" t="s">
        <v>681</v>
      </c>
      <c r="P256" s="9" t="s">
        <v>144</v>
      </c>
      <c r="Q256" s="9" t="s">
        <v>329</v>
      </c>
      <c r="R256" s="9" t="s">
        <v>330</v>
      </c>
      <c r="S256" s="9" t="s">
        <v>472</v>
      </c>
      <c r="T256" s="9" t="s">
        <v>570</v>
      </c>
      <c r="U256" s="9" t="s">
        <v>148</v>
      </c>
      <c r="V256" s="9" t="s">
        <v>236</v>
      </c>
      <c r="W256" s="9" t="s">
        <v>682</v>
      </c>
      <c r="X256" s="9" t="s">
        <v>335</v>
      </c>
      <c r="Y256" s="9" t="s">
        <v>691</v>
      </c>
      <c r="Z256" s="9" t="s">
        <v>684</v>
      </c>
      <c r="AA256" s="9" t="s">
        <v>154</v>
      </c>
      <c r="AB256" s="19" t="n">
        <v>540</v>
      </c>
      <c r="AC256" s="9"/>
      <c r="AD256" s="9"/>
      <c r="AE256" s="9" t="s">
        <v>694</v>
      </c>
    </row>
    <row r="257" customFormat="false" ht="21.75" hidden="false" customHeight="true" outlineLevel="0" collapsed="false">
      <c r="B257" s="14" t="n">
        <v>253</v>
      </c>
      <c r="C257" s="7" t="s">
        <v>44</v>
      </c>
      <c r="D257" s="7" t="s">
        <v>18</v>
      </c>
      <c r="E257" s="7" t="s">
        <v>87</v>
      </c>
      <c r="F257" s="7" t="s">
        <v>62</v>
      </c>
      <c r="G257" s="7" t="s">
        <v>695</v>
      </c>
      <c r="H257" s="7" t="s">
        <v>163</v>
      </c>
      <c r="I257" s="7" t="s">
        <v>164</v>
      </c>
      <c r="J257" s="7" t="s">
        <v>203</v>
      </c>
      <c r="K257" s="7" t="s">
        <v>168</v>
      </c>
      <c r="L257" s="7" t="s">
        <v>169</v>
      </c>
      <c r="M257" s="7" t="s">
        <v>116</v>
      </c>
      <c r="N257" s="7" t="s">
        <v>680</v>
      </c>
      <c r="O257" s="7" t="s">
        <v>681</v>
      </c>
      <c r="P257" s="7" t="s">
        <v>144</v>
      </c>
      <c r="Q257" s="7" t="s">
        <v>329</v>
      </c>
      <c r="R257" s="7" t="s">
        <v>330</v>
      </c>
      <c r="S257" s="7" t="s">
        <v>472</v>
      </c>
      <c r="T257" s="7" t="s">
        <v>570</v>
      </c>
      <c r="U257" s="7" t="s">
        <v>148</v>
      </c>
      <c r="V257" s="7" t="s">
        <v>236</v>
      </c>
      <c r="W257" s="7" t="s">
        <v>682</v>
      </c>
      <c r="X257" s="7" t="s">
        <v>335</v>
      </c>
      <c r="Y257" s="7" t="s">
        <v>691</v>
      </c>
      <c r="Z257" s="7" t="s">
        <v>684</v>
      </c>
      <c r="AA257" s="7" t="s">
        <v>154</v>
      </c>
      <c r="AB257" s="18" t="n">
        <v>810</v>
      </c>
      <c r="AC257" s="7"/>
      <c r="AD257" s="7"/>
      <c r="AE257" s="7" t="s">
        <v>165</v>
      </c>
    </row>
    <row r="258" customFormat="false" ht="21.75" hidden="false" customHeight="true" outlineLevel="0" collapsed="false">
      <c r="B258" s="15" t="n">
        <v>254</v>
      </c>
      <c r="C258" s="9" t="s">
        <v>44</v>
      </c>
      <c r="D258" s="9" t="s">
        <v>18</v>
      </c>
      <c r="E258" s="9" t="s">
        <v>87</v>
      </c>
      <c r="F258" s="9" t="s">
        <v>62</v>
      </c>
      <c r="G258" s="9" t="s">
        <v>696</v>
      </c>
      <c r="H258" s="9" t="s">
        <v>163</v>
      </c>
      <c r="I258" s="9" t="s">
        <v>164</v>
      </c>
      <c r="J258" s="9" t="s">
        <v>203</v>
      </c>
      <c r="K258" s="9" t="s">
        <v>168</v>
      </c>
      <c r="L258" s="9" t="s">
        <v>169</v>
      </c>
      <c r="M258" s="9" t="s">
        <v>116</v>
      </c>
      <c r="N258" s="9" t="s">
        <v>680</v>
      </c>
      <c r="O258" s="9" t="s">
        <v>681</v>
      </c>
      <c r="P258" s="9" t="s">
        <v>144</v>
      </c>
      <c r="Q258" s="9" t="s">
        <v>329</v>
      </c>
      <c r="R258" s="9" t="s">
        <v>330</v>
      </c>
      <c r="S258" s="9" t="s">
        <v>472</v>
      </c>
      <c r="T258" s="9" t="s">
        <v>570</v>
      </c>
      <c r="U258" s="9" t="s">
        <v>148</v>
      </c>
      <c r="V258" s="9" t="s">
        <v>236</v>
      </c>
      <c r="W258" s="9" t="s">
        <v>682</v>
      </c>
      <c r="X258" s="9" t="s">
        <v>335</v>
      </c>
      <c r="Y258" s="9" t="s">
        <v>691</v>
      </c>
      <c r="Z258" s="9" t="s">
        <v>684</v>
      </c>
      <c r="AA258" s="9" t="s">
        <v>154</v>
      </c>
      <c r="AB258" s="19" t="n">
        <v>1190</v>
      </c>
      <c r="AC258" s="9"/>
      <c r="AD258" s="9"/>
      <c r="AE258" s="9" t="s">
        <v>167</v>
      </c>
    </row>
    <row r="259" customFormat="false" ht="21.75" hidden="false" customHeight="true" outlineLevel="0" collapsed="false">
      <c r="B259" s="14" t="n">
        <v>255</v>
      </c>
      <c r="C259" s="7" t="s">
        <v>44</v>
      </c>
      <c r="D259" s="7" t="s">
        <v>18</v>
      </c>
      <c r="E259" s="7" t="s">
        <v>87</v>
      </c>
      <c r="F259" s="7" t="s">
        <v>63</v>
      </c>
      <c r="G259" s="7" t="s">
        <v>697</v>
      </c>
      <c r="H259" s="7" t="s">
        <v>136</v>
      </c>
      <c r="I259" s="7" t="s">
        <v>137</v>
      </c>
      <c r="J259" s="7" t="s">
        <v>468</v>
      </c>
      <c r="K259" s="7" t="s">
        <v>168</v>
      </c>
      <c r="L259" s="7" t="s">
        <v>354</v>
      </c>
      <c r="M259" s="7" t="s">
        <v>116</v>
      </c>
      <c r="N259" s="7" t="s">
        <v>680</v>
      </c>
      <c r="O259" s="7" t="s">
        <v>681</v>
      </c>
      <c r="P259" s="7" t="s">
        <v>144</v>
      </c>
      <c r="Q259" s="7" t="s">
        <v>329</v>
      </c>
      <c r="R259" s="7" t="s">
        <v>330</v>
      </c>
      <c r="S259" s="7" t="s">
        <v>472</v>
      </c>
      <c r="T259" s="7" t="s">
        <v>356</v>
      </c>
      <c r="U259" s="7" t="s">
        <v>148</v>
      </c>
      <c r="V259" s="7" t="s">
        <v>380</v>
      </c>
      <c r="W259" s="7" t="s">
        <v>682</v>
      </c>
      <c r="X259" s="7" t="s">
        <v>698</v>
      </c>
      <c r="Y259" s="7" t="s">
        <v>152</v>
      </c>
      <c r="Z259" s="7" t="s">
        <v>684</v>
      </c>
      <c r="AA259" s="7" t="s">
        <v>183</v>
      </c>
      <c r="AB259" s="18" t="n">
        <v>320</v>
      </c>
      <c r="AC259" s="7"/>
      <c r="AD259" s="7"/>
      <c r="AE259" s="7" t="s">
        <v>155</v>
      </c>
    </row>
    <row r="260" customFormat="false" ht="21.75" hidden="false" customHeight="true" outlineLevel="0" collapsed="false">
      <c r="B260" s="15" t="n">
        <v>256</v>
      </c>
      <c r="C260" s="9" t="s">
        <v>44</v>
      </c>
      <c r="D260" s="9" t="s">
        <v>18</v>
      </c>
      <c r="E260" s="9" t="s">
        <v>87</v>
      </c>
      <c r="F260" s="9" t="s">
        <v>63</v>
      </c>
      <c r="G260" s="9" t="s">
        <v>699</v>
      </c>
      <c r="H260" s="9" t="s">
        <v>157</v>
      </c>
      <c r="I260" s="9" t="s">
        <v>158</v>
      </c>
      <c r="J260" s="9" t="s">
        <v>468</v>
      </c>
      <c r="K260" s="9" t="s">
        <v>168</v>
      </c>
      <c r="L260" s="9" t="s">
        <v>354</v>
      </c>
      <c r="M260" s="9" t="s">
        <v>116</v>
      </c>
      <c r="N260" s="9" t="s">
        <v>680</v>
      </c>
      <c r="O260" s="9" t="s">
        <v>681</v>
      </c>
      <c r="P260" s="9" t="s">
        <v>144</v>
      </c>
      <c r="Q260" s="9" t="s">
        <v>329</v>
      </c>
      <c r="R260" s="9" t="s">
        <v>330</v>
      </c>
      <c r="S260" s="9" t="s">
        <v>472</v>
      </c>
      <c r="T260" s="9" t="s">
        <v>356</v>
      </c>
      <c r="U260" s="9" t="s">
        <v>148</v>
      </c>
      <c r="V260" s="9" t="s">
        <v>380</v>
      </c>
      <c r="W260" s="9" t="s">
        <v>682</v>
      </c>
      <c r="X260" s="9" t="s">
        <v>698</v>
      </c>
      <c r="Y260" s="9" t="s">
        <v>152</v>
      </c>
      <c r="Z260" s="9" t="s">
        <v>684</v>
      </c>
      <c r="AA260" s="9" t="s">
        <v>183</v>
      </c>
      <c r="AB260" s="19" t="n">
        <v>480</v>
      </c>
      <c r="AC260" s="9"/>
      <c r="AD260" s="9"/>
      <c r="AE260" s="9" t="s">
        <v>159</v>
      </c>
    </row>
    <row r="261" customFormat="false" ht="21.75" hidden="false" customHeight="true" outlineLevel="0" collapsed="false">
      <c r="B261" s="14" t="n">
        <v>257</v>
      </c>
      <c r="C261" s="7" t="s">
        <v>44</v>
      </c>
      <c r="D261" s="7" t="s">
        <v>18</v>
      </c>
      <c r="E261" s="7" t="s">
        <v>87</v>
      </c>
      <c r="F261" s="7" t="s">
        <v>63</v>
      </c>
      <c r="G261" s="7" t="s">
        <v>700</v>
      </c>
      <c r="H261" s="7" t="s">
        <v>157</v>
      </c>
      <c r="I261" s="7" t="s">
        <v>158</v>
      </c>
      <c r="J261" s="7" t="s">
        <v>468</v>
      </c>
      <c r="K261" s="7" t="s">
        <v>168</v>
      </c>
      <c r="L261" s="7" t="s">
        <v>354</v>
      </c>
      <c r="M261" s="7" t="s">
        <v>116</v>
      </c>
      <c r="N261" s="7" t="s">
        <v>680</v>
      </c>
      <c r="O261" s="7" t="s">
        <v>681</v>
      </c>
      <c r="P261" s="7" t="s">
        <v>144</v>
      </c>
      <c r="Q261" s="7" t="s">
        <v>329</v>
      </c>
      <c r="R261" s="7" t="s">
        <v>330</v>
      </c>
      <c r="S261" s="7" t="s">
        <v>472</v>
      </c>
      <c r="T261" s="7" t="s">
        <v>356</v>
      </c>
      <c r="U261" s="7" t="s">
        <v>148</v>
      </c>
      <c r="V261" s="7" t="s">
        <v>380</v>
      </c>
      <c r="W261" s="7" t="s">
        <v>682</v>
      </c>
      <c r="X261" s="7" t="s">
        <v>698</v>
      </c>
      <c r="Y261" s="7" t="s">
        <v>152</v>
      </c>
      <c r="Z261" s="7" t="s">
        <v>684</v>
      </c>
      <c r="AA261" s="7" t="s">
        <v>183</v>
      </c>
      <c r="AB261" s="18" t="n">
        <v>640</v>
      </c>
      <c r="AC261" s="7"/>
      <c r="AD261" s="7"/>
      <c r="AE261" s="7" t="s">
        <v>701</v>
      </c>
    </row>
    <row r="262" customFormat="false" ht="21.75" hidden="false" customHeight="true" outlineLevel="0" collapsed="false">
      <c r="B262" s="15" t="n">
        <v>258</v>
      </c>
      <c r="C262" s="9" t="s">
        <v>44</v>
      </c>
      <c r="D262" s="9" t="s">
        <v>18</v>
      </c>
      <c r="E262" s="9" t="s">
        <v>87</v>
      </c>
      <c r="F262" s="9" t="s">
        <v>63</v>
      </c>
      <c r="G262" s="9" t="s">
        <v>702</v>
      </c>
      <c r="H262" s="9" t="s">
        <v>163</v>
      </c>
      <c r="I262" s="9" t="s">
        <v>164</v>
      </c>
      <c r="J262" s="9" t="s">
        <v>468</v>
      </c>
      <c r="K262" s="9" t="s">
        <v>168</v>
      </c>
      <c r="L262" s="9" t="s">
        <v>354</v>
      </c>
      <c r="M262" s="9" t="s">
        <v>116</v>
      </c>
      <c r="N262" s="9" t="s">
        <v>680</v>
      </c>
      <c r="O262" s="9" t="s">
        <v>681</v>
      </c>
      <c r="P262" s="9" t="s">
        <v>144</v>
      </c>
      <c r="Q262" s="9" t="s">
        <v>329</v>
      </c>
      <c r="R262" s="9" t="s">
        <v>330</v>
      </c>
      <c r="S262" s="9" t="s">
        <v>472</v>
      </c>
      <c r="T262" s="9" t="s">
        <v>356</v>
      </c>
      <c r="U262" s="9" t="s">
        <v>148</v>
      </c>
      <c r="V262" s="9" t="s">
        <v>380</v>
      </c>
      <c r="W262" s="9" t="s">
        <v>682</v>
      </c>
      <c r="X262" s="9" t="s">
        <v>698</v>
      </c>
      <c r="Y262" s="9" t="s">
        <v>152</v>
      </c>
      <c r="Z262" s="9" t="s">
        <v>684</v>
      </c>
      <c r="AA262" s="9" t="s">
        <v>183</v>
      </c>
      <c r="AB262" s="19" t="n">
        <v>960</v>
      </c>
      <c r="AC262" s="9"/>
      <c r="AD262" s="9"/>
      <c r="AE262" s="9" t="s">
        <v>165</v>
      </c>
    </row>
    <row r="263" customFormat="false" ht="21.75" hidden="false" customHeight="true" outlineLevel="0" collapsed="false">
      <c r="B263" s="14" t="n">
        <v>259</v>
      </c>
      <c r="C263" s="7" t="s">
        <v>44</v>
      </c>
      <c r="D263" s="7" t="s">
        <v>18</v>
      </c>
      <c r="E263" s="7" t="s">
        <v>87</v>
      </c>
      <c r="F263" s="7" t="s">
        <v>63</v>
      </c>
      <c r="G263" s="7" t="s">
        <v>703</v>
      </c>
      <c r="H263" s="7" t="s">
        <v>163</v>
      </c>
      <c r="I263" s="7" t="s">
        <v>164</v>
      </c>
      <c r="J263" s="7" t="s">
        <v>468</v>
      </c>
      <c r="K263" s="7" t="s">
        <v>168</v>
      </c>
      <c r="L263" s="7" t="s">
        <v>354</v>
      </c>
      <c r="M263" s="7" t="s">
        <v>116</v>
      </c>
      <c r="N263" s="7" t="s">
        <v>680</v>
      </c>
      <c r="O263" s="7" t="s">
        <v>681</v>
      </c>
      <c r="P263" s="7" t="s">
        <v>144</v>
      </c>
      <c r="Q263" s="7" t="s">
        <v>329</v>
      </c>
      <c r="R263" s="7" t="s">
        <v>330</v>
      </c>
      <c r="S263" s="7" t="s">
        <v>472</v>
      </c>
      <c r="T263" s="7" t="s">
        <v>356</v>
      </c>
      <c r="U263" s="7" t="s">
        <v>148</v>
      </c>
      <c r="V263" s="7" t="s">
        <v>380</v>
      </c>
      <c r="W263" s="7" t="s">
        <v>682</v>
      </c>
      <c r="X263" s="7" t="s">
        <v>698</v>
      </c>
      <c r="Y263" s="7" t="s">
        <v>152</v>
      </c>
      <c r="Z263" s="7" t="s">
        <v>684</v>
      </c>
      <c r="AA263" s="7" t="s">
        <v>183</v>
      </c>
      <c r="AB263" s="18" t="n">
        <v>1410</v>
      </c>
      <c r="AC263" s="7"/>
      <c r="AD263" s="7"/>
      <c r="AE263" s="7" t="s">
        <v>167</v>
      </c>
    </row>
    <row r="264" customFormat="false" ht="21.75" hidden="false" customHeight="true" outlineLevel="0" collapsed="false">
      <c r="B264" s="15" t="n">
        <v>260</v>
      </c>
      <c r="C264" s="9" t="s">
        <v>44</v>
      </c>
      <c r="D264" s="9" t="s">
        <v>18</v>
      </c>
      <c r="E264" s="9" t="s">
        <v>87</v>
      </c>
      <c r="F264" s="9" t="s">
        <v>64</v>
      </c>
      <c r="G264" s="9" t="s">
        <v>704</v>
      </c>
      <c r="H264" s="9" t="s">
        <v>136</v>
      </c>
      <c r="I264" s="9" t="s">
        <v>137</v>
      </c>
      <c r="J264" s="9" t="s">
        <v>203</v>
      </c>
      <c r="K264" s="9" t="s">
        <v>365</v>
      </c>
      <c r="L264" s="9" t="s">
        <v>705</v>
      </c>
      <c r="M264" s="9" t="s">
        <v>116</v>
      </c>
      <c r="N264" s="9" t="s">
        <v>706</v>
      </c>
      <c r="O264" s="9" t="s">
        <v>681</v>
      </c>
      <c r="P264" s="9" t="s">
        <v>144</v>
      </c>
      <c r="Q264" s="9" t="s">
        <v>329</v>
      </c>
      <c r="R264" s="9" t="s">
        <v>330</v>
      </c>
      <c r="S264" s="9" t="s">
        <v>472</v>
      </c>
      <c r="T264" s="9" t="s">
        <v>707</v>
      </c>
      <c r="U264" s="9" t="s">
        <v>194</v>
      </c>
      <c r="V264" s="9" t="s">
        <v>501</v>
      </c>
      <c r="W264" s="9" t="s">
        <v>682</v>
      </c>
      <c r="X264" s="9" t="s">
        <v>708</v>
      </c>
      <c r="Y264" s="9" t="s">
        <v>709</v>
      </c>
      <c r="Z264" s="9" t="s">
        <v>684</v>
      </c>
      <c r="AA264" s="9" t="s">
        <v>183</v>
      </c>
      <c r="AB264" s="19" t="n">
        <v>1900</v>
      </c>
      <c r="AC264" s="9"/>
      <c r="AD264" s="9"/>
      <c r="AE264" s="9" t="s">
        <v>155</v>
      </c>
    </row>
    <row r="265" customFormat="false" ht="21.75" hidden="false" customHeight="true" outlineLevel="0" collapsed="false">
      <c r="B265" s="14" t="n">
        <v>261</v>
      </c>
      <c r="C265" s="7" t="s">
        <v>44</v>
      </c>
      <c r="D265" s="7" t="s">
        <v>18</v>
      </c>
      <c r="E265" s="7" t="s">
        <v>87</v>
      </c>
      <c r="F265" s="7" t="s">
        <v>64</v>
      </c>
      <c r="G265" s="7" t="s">
        <v>710</v>
      </c>
      <c r="H265" s="7" t="s">
        <v>136</v>
      </c>
      <c r="I265" s="7" t="s">
        <v>137</v>
      </c>
      <c r="J265" s="7" t="s">
        <v>203</v>
      </c>
      <c r="K265" s="7" t="s">
        <v>365</v>
      </c>
      <c r="L265" s="7" t="s">
        <v>705</v>
      </c>
      <c r="M265" s="7" t="s">
        <v>116</v>
      </c>
      <c r="N265" s="7" t="s">
        <v>706</v>
      </c>
      <c r="O265" s="7" t="s">
        <v>681</v>
      </c>
      <c r="P265" s="7" t="s">
        <v>144</v>
      </c>
      <c r="Q265" s="7" t="s">
        <v>329</v>
      </c>
      <c r="R265" s="7" t="s">
        <v>330</v>
      </c>
      <c r="S265" s="7" t="s">
        <v>472</v>
      </c>
      <c r="T265" s="7" t="s">
        <v>707</v>
      </c>
      <c r="U265" s="7" t="s">
        <v>194</v>
      </c>
      <c r="V265" s="7" t="s">
        <v>501</v>
      </c>
      <c r="W265" s="7" t="s">
        <v>682</v>
      </c>
      <c r="X265" s="7" t="s">
        <v>708</v>
      </c>
      <c r="Y265" s="7" t="s">
        <v>709</v>
      </c>
      <c r="Z265" s="7" t="s">
        <v>684</v>
      </c>
      <c r="AA265" s="7" t="s">
        <v>183</v>
      </c>
      <c r="AB265" s="18" t="n">
        <v>2850</v>
      </c>
      <c r="AC265" s="7"/>
      <c r="AD265" s="7"/>
      <c r="AE265" s="7" t="s">
        <v>159</v>
      </c>
    </row>
    <row r="266" customFormat="false" ht="21.75" hidden="false" customHeight="true" outlineLevel="0" collapsed="false">
      <c r="B266" s="15" t="n">
        <v>262</v>
      </c>
      <c r="C266" s="9" t="s">
        <v>44</v>
      </c>
      <c r="D266" s="9" t="s">
        <v>18</v>
      </c>
      <c r="E266" s="9" t="s">
        <v>87</v>
      </c>
      <c r="F266" s="9" t="s">
        <v>64</v>
      </c>
      <c r="G266" s="9" t="s">
        <v>711</v>
      </c>
      <c r="H266" s="9" t="s">
        <v>157</v>
      </c>
      <c r="I266" s="9" t="s">
        <v>158</v>
      </c>
      <c r="J266" s="9" t="s">
        <v>203</v>
      </c>
      <c r="K266" s="9" t="s">
        <v>365</v>
      </c>
      <c r="L266" s="9" t="s">
        <v>705</v>
      </c>
      <c r="M266" s="9" t="s">
        <v>116</v>
      </c>
      <c r="N266" s="9" t="s">
        <v>706</v>
      </c>
      <c r="O266" s="9" t="s">
        <v>681</v>
      </c>
      <c r="P266" s="9" t="s">
        <v>144</v>
      </c>
      <c r="Q266" s="9" t="s">
        <v>329</v>
      </c>
      <c r="R266" s="9" t="s">
        <v>330</v>
      </c>
      <c r="S266" s="9" t="s">
        <v>472</v>
      </c>
      <c r="T266" s="9" t="s">
        <v>707</v>
      </c>
      <c r="U266" s="9" t="s">
        <v>194</v>
      </c>
      <c r="V266" s="9" t="s">
        <v>501</v>
      </c>
      <c r="W266" s="9" t="s">
        <v>682</v>
      </c>
      <c r="X266" s="9" t="s">
        <v>708</v>
      </c>
      <c r="Y266" s="9" t="s">
        <v>709</v>
      </c>
      <c r="Z266" s="9" t="s">
        <v>684</v>
      </c>
      <c r="AA266" s="9" t="s">
        <v>183</v>
      </c>
      <c r="AB266" s="19" t="n">
        <v>3800</v>
      </c>
      <c r="AC266" s="9"/>
      <c r="AD266" s="9"/>
      <c r="AE266" s="9" t="s">
        <v>712</v>
      </c>
    </row>
    <row r="267" customFormat="false" ht="21.75" hidden="false" customHeight="true" outlineLevel="0" collapsed="false">
      <c r="B267" s="14" t="n">
        <v>263</v>
      </c>
      <c r="C267" s="7" t="s">
        <v>44</v>
      </c>
      <c r="D267" s="7" t="s">
        <v>18</v>
      </c>
      <c r="E267" s="7" t="s">
        <v>87</v>
      </c>
      <c r="F267" s="7" t="s">
        <v>64</v>
      </c>
      <c r="G267" s="7" t="s">
        <v>713</v>
      </c>
      <c r="H267" s="7" t="s">
        <v>157</v>
      </c>
      <c r="I267" s="7" t="s">
        <v>158</v>
      </c>
      <c r="J267" s="7" t="s">
        <v>203</v>
      </c>
      <c r="K267" s="7" t="s">
        <v>365</v>
      </c>
      <c r="L267" s="7" t="s">
        <v>705</v>
      </c>
      <c r="M267" s="7" t="s">
        <v>116</v>
      </c>
      <c r="N267" s="7" t="s">
        <v>706</v>
      </c>
      <c r="O267" s="7" t="s">
        <v>681</v>
      </c>
      <c r="P267" s="7" t="s">
        <v>144</v>
      </c>
      <c r="Q267" s="7" t="s">
        <v>329</v>
      </c>
      <c r="R267" s="7" t="s">
        <v>330</v>
      </c>
      <c r="S267" s="7" t="s">
        <v>472</v>
      </c>
      <c r="T267" s="7" t="s">
        <v>707</v>
      </c>
      <c r="U267" s="7" t="s">
        <v>194</v>
      </c>
      <c r="V267" s="7" t="s">
        <v>501</v>
      </c>
      <c r="W267" s="7" t="s">
        <v>682</v>
      </c>
      <c r="X267" s="7" t="s">
        <v>708</v>
      </c>
      <c r="Y267" s="7" t="s">
        <v>709</v>
      </c>
      <c r="Z267" s="7" t="s">
        <v>684</v>
      </c>
      <c r="AA267" s="7" t="s">
        <v>183</v>
      </c>
      <c r="AB267" s="18" t="n">
        <v>5700</v>
      </c>
      <c r="AC267" s="7"/>
      <c r="AD267" s="7"/>
      <c r="AE267" s="7" t="s">
        <v>165</v>
      </c>
    </row>
    <row r="268" customFormat="false" ht="21.75" hidden="false" customHeight="true" outlineLevel="0" collapsed="false">
      <c r="B268" s="15" t="n">
        <v>264</v>
      </c>
      <c r="C268" s="9" t="s">
        <v>44</v>
      </c>
      <c r="D268" s="9" t="s">
        <v>18</v>
      </c>
      <c r="E268" s="9" t="s">
        <v>87</v>
      </c>
      <c r="F268" s="9" t="s">
        <v>64</v>
      </c>
      <c r="G268" s="9" t="s">
        <v>714</v>
      </c>
      <c r="H268" s="9" t="s">
        <v>163</v>
      </c>
      <c r="I268" s="9" t="s">
        <v>164</v>
      </c>
      <c r="J268" s="9" t="s">
        <v>203</v>
      </c>
      <c r="K268" s="9" t="s">
        <v>365</v>
      </c>
      <c r="L268" s="9" t="s">
        <v>705</v>
      </c>
      <c r="M268" s="9" t="s">
        <v>116</v>
      </c>
      <c r="N268" s="9" t="s">
        <v>706</v>
      </c>
      <c r="O268" s="9" t="s">
        <v>681</v>
      </c>
      <c r="P268" s="9" t="s">
        <v>144</v>
      </c>
      <c r="Q268" s="9" t="s">
        <v>329</v>
      </c>
      <c r="R268" s="9" t="s">
        <v>330</v>
      </c>
      <c r="S268" s="9" t="s">
        <v>472</v>
      </c>
      <c r="T268" s="9" t="s">
        <v>707</v>
      </c>
      <c r="U268" s="9" t="s">
        <v>194</v>
      </c>
      <c r="V268" s="9" t="s">
        <v>501</v>
      </c>
      <c r="W268" s="9" t="s">
        <v>682</v>
      </c>
      <c r="X268" s="9" t="s">
        <v>708</v>
      </c>
      <c r="Y268" s="9" t="s">
        <v>709</v>
      </c>
      <c r="Z268" s="9" t="s">
        <v>684</v>
      </c>
      <c r="AA268" s="9" t="s">
        <v>183</v>
      </c>
      <c r="AB268" s="19" t="n">
        <v>8360</v>
      </c>
      <c r="AC268" s="9"/>
      <c r="AD268" s="9"/>
      <c r="AE268" s="9" t="s">
        <v>167</v>
      </c>
    </row>
    <row r="269" customFormat="false" ht="21.75" hidden="false" customHeight="true" outlineLevel="0" collapsed="false">
      <c r="B269" s="14" t="n">
        <v>265</v>
      </c>
      <c r="C269" s="7" t="s">
        <v>44</v>
      </c>
      <c r="D269" s="7" t="s">
        <v>18</v>
      </c>
      <c r="E269" s="7" t="s">
        <v>87</v>
      </c>
      <c r="F269" s="7" t="s">
        <v>65</v>
      </c>
      <c r="G269" s="7" t="s">
        <v>715</v>
      </c>
      <c r="H269" s="7" t="s">
        <v>136</v>
      </c>
      <c r="I269" s="7" t="s">
        <v>137</v>
      </c>
      <c r="J269" s="7" t="s">
        <v>203</v>
      </c>
      <c r="K269" s="7" t="s">
        <v>377</v>
      </c>
      <c r="L269" s="7" t="s">
        <v>705</v>
      </c>
      <c r="M269" s="7" t="s">
        <v>116</v>
      </c>
      <c r="N269" s="7" t="s">
        <v>511</v>
      </c>
      <c r="O269" s="7" t="s">
        <v>681</v>
      </c>
      <c r="P269" s="7" t="s">
        <v>144</v>
      </c>
      <c r="Q269" s="7" t="s">
        <v>329</v>
      </c>
      <c r="R269" s="7" t="s">
        <v>330</v>
      </c>
      <c r="S269" s="7" t="s">
        <v>472</v>
      </c>
      <c r="T269" s="7" t="s">
        <v>223</v>
      </c>
      <c r="U269" s="7" t="s">
        <v>194</v>
      </c>
      <c r="V269" s="7" t="s">
        <v>368</v>
      </c>
      <c r="W269" s="7" t="s">
        <v>682</v>
      </c>
      <c r="X269" s="7" t="s">
        <v>716</v>
      </c>
      <c r="Y269" s="7" t="s">
        <v>152</v>
      </c>
      <c r="Z269" s="7" t="s">
        <v>684</v>
      </c>
      <c r="AA269" s="7" t="s">
        <v>223</v>
      </c>
      <c r="AB269" s="18" t="n">
        <v>1050</v>
      </c>
      <c r="AC269" s="7"/>
      <c r="AD269" s="7"/>
      <c r="AE269" s="7" t="s">
        <v>155</v>
      </c>
    </row>
    <row r="270" customFormat="false" ht="21.75" hidden="false" customHeight="true" outlineLevel="0" collapsed="false">
      <c r="B270" s="15" t="n">
        <v>266</v>
      </c>
      <c r="C270" s="9" t="s">
        <v>44</v>
      </c>
      <c r="D270" s="9" t="s">
        <v>18</v>
      </c>
      <c r="E270" s="9" t="s">
        <v>87</v>
      </c>
      <c r="F270" s="9" t="s">
        <v>65</v>
      </c>
      <c r="G270" s="9" t="s">
        <v>717</v>
      </c>
      <c r="H270" s="9" t="s">
        <v>136</v>
      </c>
      <c r="I270" s="9" t="s">
        <v>137</v>
      </c>
      <c r="J270" s="9" t="s">
        <v>203</v>
      </c>
      <c r="K270" s="9" t="s">
        <v>377</v>
      </c>
      <c r="L270" s="9" t="s">
        <v>705</v>
      </c>
      <c r="M270" s="9" t="s">
        <v>116</v>
      </c>
      <c r="N270" s="9" t="s">
        <v>511</v>
      </c>
      <c r="O270" s="9" t="s">
        <v>681</v>
      </c>
      <c r="P270" s="9" t="s">
        <v>144</v>
      </c>
      <c r="Q270" s="9" t="s">
        <v>329</v>
      </c>
      <c r="R270" s="9" t="s">
        <v>330</v>
      </c>
      <c r="S270" s="9" t="s">
        <v>472</v>
      </c>
      <c r="T270" s="9" t="s">
        <v>223</v>
      </c>
      <c r="U270" s="9" t="s">
        <v>194</v>
      </c>
      <c r="V270" s="9" t="s">
        <v>368</v>
      </c>
      <c r="W270" s="9" t="s">
        <v>682</v>
      </c>
      <c r="X270" s="9" t="s">
        <v>716</v>
      </c>
      <c r="Y270" s="9" t="s">
        <v>152</v>
      </c>
      <c r="Z270" s="9" t="s">
        <v>684</v>
      </c>
      <c r="AA270" s="9" t="s">
        <v>223</v>
      </c>
      <c r="AB270" s="19" t="n">
        <v>1575</v>
      </c>
      <c r="AC270" s="9"/>
      <c r="AD270" s="9"/>
      <c r="AE270" s="9" t="s">
        <v>159</v>
      </c>
    </row>
    <row r="271" customFormat="false" ht="21.75" hidden="false" customHeight="true" outlineLevel="0" collapsed="false">
      <c r="B271" s="14" t="n">
        <v>267</v>
      </c>
      <c r="C271" s="7" t="s">
        <v>44</v>
      </c>
      <c r="D271" s="7" t="s">
        <v>18</v>
      </c>
      <c r="E271" s="7" t="s">
        <v>87</v>
      </c>
      <c r="F271" s="7" t="s">
        <v>65</v>
      </c>
      <c r="G271" s="7" t="s">
        <v>718</v>
      </c>
      <c r="H271" s="7" t="s">
        <v>157</v>
      </c>
      <c r="I271" s="7" t="s">
        <v>158</v>
      </c>
      <c r="J271" s="7" t="s">
        <v>203</v>
      </c>
      <c r="K271" s="7" t="s">
        <v>377</v>
      </c>
      <c r="L271" s="7" t="s">
        <v>705</v>
      </c>
      <c r="M271" s="7" t="s">
        <v>116</v>
      </c>
      <c r="N271" s="7" t="s">
        <v>511</v>
      </c>
      <c r="O271" s="7" t="s">
        <v>681</v>
      </c>
      <c r="P271" s="7" t="s">
        <v>144</v>
      </c>
      <c r="Q271" s="7" t="s">
        <v>329</v>
      </c>
      <c r="R271" s="7" t="s">
        <v>330</v>
      </c>
      <c r="S271" s="7" t="s">
        <v>472</v>
      </c>
      <c r="T271" s="7" t="s">
        <v>223</v>
      </c>
      <c r="U271" s="7" t="s">
        <v>194</v>
      </c>
      <c r="V271" s="7" t="s">
        <v>368</v>
      </c>
      <c r="W271" s="7" t="s">
        <v>682</v>
      </c>
      <c r="X271" s="7" t="s">
        <v>716</v>
      </c>
      <c r="Y271" s="7" t="s">
        <v>152</v>
      </c>
      <c r="Z271" s="7" t="s">
        <v>684</v>
      </c>
      <c r="AA271" s="7" t="s">
        <v>223</v>
      </c>
      <c r="AB271" s="18" t="n">
        <v>2100</v>
      </c>
      <c r="AC271" s="7"/>
      <c r="AD271" s="7"/>
      <c r="AE271" s="7" t="s">
        <v>719</v>
      </c>
    </row>
    <row r="272" customFormat="false" ht="21.75" hidden="false" customHeight="true" outlineLevel="0" collapsed="false">
      <c r="B272" s="15" t="n">
        <v>268</v>
      </c>
      <c r="C272" s="9" t="s">
        <v>44</v>
      </c>
      <c r="D272" s="9" t="s">
        <v>18</v>
      </c>
      <c r="E272" s="9" t="s">
        <v>87</v>
      </c>
      <c r="F272" s="9" t="s">
        <v>65</v>
      </c>
      <c r="G272" s="9" t="s">
        <v>720</v>
      </c>
      <c r="H272" s="9" t="s">
        <v>157</v>
      </c>
      <c r="I272" s="9" t="s">
        <v>158</v>
      </c>
      <c r="J272" s="9" t="s">
        <v>203</v>
      </c>
      <c r="K272" s="9" t="s">
        <v>377</v>
      </c>
      <c r="L272" s="9" t="s">
        <v>705</v>
      </c>
      <c r="M272" s="9" t="s">
        <v>116</v>
      </c>
      <c r="N272" s="9" t="s">
        <v>511</v>
      </c>
      <c r="O272" s="9" t="s">
        <v>681</v>
      </c>
      <c r="P272" s="9" t="s">
        <v>144</v>
      </c>
      <c r="Q272" s="9" t="s">
        <v>329</v>
      </c>
      <c r="R272" s="9" t="s">
        <v>330</v>
      </c>
      <c r="S272" s="9" t="s">
        <v>472</v>
      </c>
      <c r="T272" s="9" t="s">
        <v>223</v>
      </c>
      <c r="U272" s="9" t="s">
        <v>194</v>
      </c>
      <c r="V272" s="9" t="s">
        <v>368</v>
      </c>
      <c r="W272" s="9" t="s">
        <v>682</v>
      </c>
      <c r="X272" s="9" t="s">
        <v>716</v>
      </c>
      <c r="Y272" s="9" t="s">
        <v>152</v>
      </c>
      <c r="Z272" s="9" t="s">
        <v>684</v>
      </c>
      <c r="AA272" s="9" t="s">
        <v>223</v>
      </c>
      <c r="AB272" s="19" t="n">
        <v>3150</v>
      </c>
      <c r="AC272" s="9"/>
      <c r="AD272" s="9"/>
      <c r="AE272" s="9" t="s">
        <v>165</v>
      </c>
    </row>
    <row r="273" customFormat="false" ht="21.75" hidden="false" customHeight="true" outlineLevel="0" collapsed="false">
      <c r="B273" s="14" t="n">
        <v>269</v>
      </c>
      <c r="C273" s="7" t="s">
        <v>44</v>
      </c>
      <c r="D273" s="7" t="s">
        <v>18</v>
      </c>
      <c r="E273" s="7" t="s">
        <v>87</v>
      </c>
      <c r="F273" s="7" t="s">
        <v>65</v>
      </c>
      <c r="G273" s="7" t="s">
        <v>721</v>
      </c>
      <c r="H273" s="7" t="s">
        <v>163</v>
      </c>
      <c r="I273" s="7" t="s">
        <v>164</v>
      </c>
      <c r="J273" s="7" t="s">
        <v>203</v>
      </c>
      <c r="K273" s="7" t="s">
        <v>377</v>
      </c>
      <c r="L273" s="7" t="s">
        <v>705</v>
      </c>
      <c r="M273" s="7" t="s">
        <v>116</v>
      </c>
      <c r="N273" s="7" t="s">
        <v>511</v>
      </c>
      <c r="O273" s="7" t="s">
        <v>681</v>
      </c>
      <c r="P273" s="7" t="s">
        <v>144</v>
      </c>
      <c r="Q273" s="7" t="s">
        <v>329</v>
      </c>
      <c r="R273" s="7" t="s">
        <v>330</v>
      </c>
      <c r="S273" s="7" t="s">
        <v>472</v>
      </c>
      <c r="T273" s="7" t="s">
        <v>223</v>
      </c>
      <c r="U273" s="7" t="s">
        <v>194</v>
      </c>
      <c r="V273" s="7" t="s">
        <v>368</v>
      </c>
      <c r="W273" s="7" t="s">
        <v>682</v>
      </c>
      <c r="X273" s="7" t="s">
        <v>716</v>
      </c>
      <c r="Y273" s="7" t="s">
        <v>152</v>
      </c>
      <c r="Z273" s="7" t="s">
        <v>684</v>
      </c>
      <c r="AA273" s="7" t="s">
        <v>223</v>
      </c>
      <c r="AB273" s="18" t="n">
        <v>4620</v>
      </c>
      <c r="AC273" s="7"/>
      <c r="AD273" s="7"/>
      <c r="AE273" s="7" t="s">
        <v>167</v>
      </c>
    </row>
    <row r="274" customFormat="false" ht="21.75" hidden="false" customHeight="true" outlineLevel="0" collapsed="false">
      <c r="B274" s="15" t="n">
        <v>270</v>
      </c>
      <c r="C274" s="9" t="s">
        <v>44</v>
      </c>
      <c r="D274" s="9" t="s">
        <v>18</v>
      </c>
      <c r="E274" s="9" t="s">
        <v>87</v>
      </c>
      <c r="F274" s="9" t="s">
        <v>66</v>
      </c>
      <c r="G274" s="9" t="s">
        <v>321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9"/>
      <c r="AC274" s="9"/>
      <c r="AD274" s="9"/>
      <c r="AE274" s="9" t="s">
        <v>722</v>
      </c>
    </row>
    <row r="275" customFormat="false" ht="21.75" hidden="false" customHeight="true" outlineLevel="0" collapsed="false">
      <c r="B275" s="14" t="n">
        <v>271</v>
      </c>
      <c r="C275" s="7" t="s">
        <v>44</v>
      </c>
      <c r="D275" s="7" t="s">
        <v>18</v>
      </c>
      <c r="E275" s="7" t="s">
        <v>87</v>
      </c>
      <c r="F275" s="7" t="s">
        <v>67</v>
      </c>
      <c r="G275" s="7" t="s">
        <v>723</v>
      </c>
      <c r="H275" s="7" t="s">
        <v>230</v>
      </c>
      <c r="I275" s="7" t="s">
        <v>231</v>
      </c>
      <c r="J275" s="7" t="s">
        <v>724</v>
      </c>
      <c r="K275" s="7" t="s">
        <v>233</v>
      </c>
      <c r="L275" s="7" t="s">
        <v>281</v>
      </c>
      <c r="M275" s="7" t="s">
        <v>116</v>
      </c>
      <c r="N275" s="7" t="s">
        <v>529</v>
      </c>
      <c r="O275" s="7" t="s">
        <v>681</v>
      </c>
      <c r="P275" s="7" t="s">
        <v>144</v>
      </c>
      <c r="Q275" s="7" t="s">
        <v>329</v>
      </c>
      <c r="R275" s="7" t="s">
        <v>330</v>
      </c>
      <c r="S275" s="7" t="s">
        <v>472</v>
      </c>
      <c r="T275" s="7" t="s">
        <v>223</v>
      </c>
      <c r="U275" s="7" t="s">
        <v>148</v>
      </c>
      <c r="V275" s="7" t="s">
        <v>344</v>
      </c>
      <c r="W275" s="7" t="s">
        <v>682</v>
      </c>
      <c r="X275" s="7" t="s">
        <v>725</v>
      </c>
      <c r="Y275" s="7" t="s">
        <v>475</v>
      </c>
      <c r="Z275" s="7" t="s">
        <v>684</v>
      </c>
      <c r="AA275" s="7" t="s">
        <v>223</v>
      </c>
      <c r="AB275" s="18" t="n">
        <v>475</v>
      </c>
      <c r="AC275" s="7"/>
      <c r="AD275" s="7"/>
      <c r="AE275" s="7" t="s">
        <v>155</v>
      </c>
    </row>
    <row r="276" customFormat="false" ht="21.75" hidden="false" customHeight="true" outlineLevel="0" collapsed="false">
      <c r="B276" s="15" t="n">
        <v>272</v>
      </c>
      <c r="C276" s="9" t="s">
        <v>44</v>
      </c>
      <c r="D276" s="9" t="s">
        <v>18</v>
      </c>
      <c r="E276" s="9" t="s">
        <v>87</v>
      </c>
      <c r="F276" s="9" t="s">
        <v>67</v>
      </c>
      <c r="G276" s="9" t="s">
        <v>726</v>
      </c>
      <c r="H276" s="9" t="s">
        <v>230</v>
      </c>
      <c r="I276" s="9" t="s">
        <v>231</v>
      </c>
      <c r="J276" s="9" t="s">
        <v>724</v>
      </c>
      <c r="K276" s="9" t="s">
        <v>233</v>
      </c>
      <c r="L276" s="9" t="s">
        <v>281</v>
      </c>
      <c r="M276" s="9" t="s">
        <v>116</v>
      </c>
      <c r="N276" s="9" t="s">
        <v>529</v>
      </c>
      <c r="O276" s="9" t="s">
        <v>681</v>
      </c>
      <c r="P276" s="9" t="s">
        <v>144</v>
      </c>
      <c r="Q276" s="9" t="s">
        <v>329</v>
      </c>
      <c r="R276" s="9" t="s">
        <v>330</v>
      </c>
      <c r="S276" s="9" t="s">
        <v>472</v>
      </c>
      <c r="T276" s="9" t="s">
        <v>223</v>
      </c>
      <c r="U276" s="9" t="s">
        <v>148</v>
      </c>
      <c r="V276" s="9" t="s">
        <v>344</v>
      </c>
      <c r="W276" s="9" t="s">
        <v>682</v>
      </c>
      <c r="X276" s="9" t="s">
        <v>725</v>
      </c>
      <c r="Y276" s="9" t="s">
        <v>475</v>
      </c>
      <c r="Z276" s="9" t="s">
        <v>684</v>
      </c>
      <c r="AA276" s="9" t="s">
        <v>223</v>
      </c>
      <c r="AB276" s="19" t="n">
        <v>710</v>
      </c>
      <c r="AC276" s="9"/>
      <c r="AD276" s="9"/>
      <c r="AE276" s="9" t="s">
        <v>159</v>
      </c>
    </row>
    <row r="277" customFormat="false" ht="21.75" hidden="false" customHeight="true" outlineLevel="0" collapsed="false">
      <c r="B277" s="14" t="n">
        <v>273</v>
      </c>
      <c r="C277" s="7" t="s">
        <v>44</v>
      </c>
      <c r="D277" s="7" t="s">
        <v>18</v>
      </c>
      <c r="E277" s="7" t="s">
        <v>87</v>
      </c>
      <c r="F277" s="7" t="s">
        <v>67</v>
      </c>
      <c r="G277" s="7" t="s">
        <v>727</v>
      </c>
      <c r="H277" s="7" t="s">
        <v>240</v>
      </c>
      <c r="I277" s="7" t="s">
        <v>241</v>
      </c>
      <c r="J277" s="7" t="s">
        <v>724</v>
      </c>
      <c r="K277" s="7" t="s">
        <v>233</v>
      </c>
      <c r="L277" s="7" t="s">
        <v>281</v>
      </c>
      <c r="M277" s="7" t="s">
        <v>116</v>
      </c>
      <c r="N277" s="7" t="s">
        <v>529</v>
      </c>
      <c r="O277" s="7" t="s">
        <v>681</v>
      </c>
      <c r="P277" s="7" t="s">
        <v>144</v>
      </c>
      <c r="Q277" s="7" t="s">
        <v>329</v>
      </c>
      <c r="R277" s="7" t="s">
        <v>330</v>
      </c>
      <c r="S277" s="7" t="s">
        <v>472</v>
      </c>
      <c r="T277" s="7" t="s">
        <v>223</v>
      </c>
      <c r="U277" s="7" t="s">
        <v>148</v>
      </c>
      <c r="V277" s="7" t="s">
        <v>344</v>
      </c>
      <c r="W277" s="7" t="s">
        <v>682</v>
      </c>
      <c r="X277" s="7" t="s">
        <v>725</v>
      </c>
      <c r="Y277" s="7" t="s">
        <v>475</v>
      </c>
      <c r="Z277" s="7" t="s">
        <v>684</v>
      </c>
      <c r="AA277" s="7" t="s">
        <v>223</v>
      </c>
      <c r="AB277" s="18" t="n">
        <v>950</v>
      </c>
      <c r="AC277" s="7"/>
      <c r="AD277" s="7"/>
      <c r="AE277" s="7" t="s">
        <v>728</v>
      </c>
    </row>
    <row r="278" customFormat="false" ht="21.75" hidden="false" customHeight="true" outlineLevel="0" collapsed="false">
      <c r="B278" s="15" t="n">
        <v>274</v>
      </c>
      <c r="C278" s="9" t="s">
        <v>44</v>
      </c>
      <c r="D278" s="9" t="s">
        <v>18</v>
      </c>
      <c r="E278" s="9" t="s">
        <v>87</v>
      </c>
      <c r="F278" s="9" t="s">
        <v>67</v>
      </c>
      <c r="G278" s="9" t="s">
        <v>729</v>
      </c>
      <c r="H278" s="9" t="s">
        <v>240</v>
      </c>
      <c r="I278" s="9" t="s">
        <v>241</v>
      </c>
      <c r="J278" s="9" t="s">
        <v>724</v>
      </c>
      <c r="K278" s="9" t="s">
        <v>233</v>
      </c>
      <c r="L278" s="9" t="s">
        <v>281</v>
      </c>
      <c r="M278" s="9" t="s">
        <v>116</v>
      </c>
      <c r="N278" s="9" t="s">
        <v>529</v>
      </c>
      <c r="O278" s="9" t="s">
        <v>681</v>
      </c>
      <c r="P278" s="9" t="s">
        <v>144</v>
      </c>
      <c r="Q278" s="9" t="s">
        <v>329</v>
      </c>
      <c r="R278" s="9" t="s">
        <v>330</v>
      </c>
      <c r="S278" s="9" t="s">
        <v>472</v>
      </c>
      <c r="T278" s="9" t="s">
        <v>223</v>
      </c>
      <c r="U278" s="9" t="s">
        <v>148</v>
      </c>
      <c r="V278" s="9" t="s">
        <v>344</v>
      </c>
      <c r="W278" s="9" t="s">
        <v>682</v>
      </c>
      <c r="X278" s="9" t="s">
        <v>725</v>
      </c>
      <c r="Y278" s="9" t="s">
        <v>475</v>
      </c>
      <c r="Z278" s="9" t="s">
        <v>684</v>
      </c>
      <c r="AA278" s="9" t="s">
        <v>223</v>
      </c>
      <c r="AB278" s="19" t="n">
        <v>1425</v>
      </c>
      <c r="AC278" s="9"/>
      <c r="AD278" s="9"/>
      <c r="AE278" s="9" t="s">
        <v>165</v>
      </c>
    </row>
    <row r="279" customFormat="false" ht="21.75" hidden="false" customHeight="true" outlineLevel="0" collapsed="false">
      <c r="B279" s="14" t="n">
        <v>275</v>
      </c>
      <c r="C279" s="7" t="s">
        <v>44</v>
      </c>
      <c r="D279" s="7" t="s">
        <v>18</v>
      </c>
      <c r="E279" s="7" t="s">
        <v>87</v>
      </c>
      <c r="F279" s="7" t="s">
        <v>67</v>
      </c>
      <c r="G279" s="7" t="s">
        <v>730</v>
      </c>
      <c r="H279" s="7" t="s">
        <v>240</v>
      </c>
      <c r="I279" s="7" t="s">
        <v>241</v>
      </c>
      <c r="J279" s="7" t="s">
        <v>724</v>
      </c>
      <c r="K279" s="7" t="s">
        <v>233</v>
      </c>
      <c r="L279" s="7" t="s">
        <v>281</v>
      </c>
      <c r="M279" s="7" t="s">
        <v>116</v>
      </c>
      <c r="N279" s="7" t="s">
        <v>529</v>
      </c>
      <c r="O279" s="7" t="s">
        <v>681</v>
      </c>
      <c r="P279" s="7" t="s">
        <v>144</v>
      </c>
      <c r="Q279" s="7" t="s">
        <v>329</v>
      </c>
      <c r="R279" s="7" t="s">
        <v>330</v>
      </c>
      <c r="S279" s="7" t="s">
        <v>472</v>
      </c>
      <c r="T279" s="7" t="s">
        <v>223</v>
      </c>
      <c r="U279" s="7" t="s">
        <v>148</v>
      </c>
      <c r="V279" s="7" t="s">
        <v>344</v>
      </c>
      <c r="W279" s="7" t="s">
        <v>682</v>
      </c>
      <c r="X279" s="7" t="s">
        <v>725</v>
      </c>
      <c r="Y279" s="7" t="s">
        <v>475</v>
      </c>
      <c r="Z279" s="7" t="s">
        <v>684</v>
      </c>
      <c r="AA279" s="7" t="s">
        <v>223</v>
      </c>
      <c r="AB279" s="18" t="n">
        <v>2090</v>
      </c>
      <c r="AC279" s="7"/>
      <c r="AD279" s="7"/>
      <c r="AE279" s="7" t="s">
        <v>167</v>
      </c>
    </row>
    <row r="280" customFormat="false" ht="21.75" hidden="false" customHeight="true" outlineLevel="0" collapsed="false">
      <c r="B280" s="15" t="n">
        <v>276</v>
      </c>
      <c r="C280" s="9" t="s">
        <v>44</v>
      </c>
      <c r="D280" s="9" t="s">
        <v>18</v>
      </c>
      <c r="E280" s="9" t="s">
        <v>87</v>
      </c>
      <c r="F280" s="9" t="s">
        <v>68</v>
      </c>
      <c r="G280" s="9" t="s">
        <v>731</v>
      </c>
      <c r="H280" s="9" t="s">
        <v>246</v>
      </c>
      <c r="I280" s="9" t="s">
        <v>247</v>
      </c>
      <c r="J280" s="9" t="s">
        <v>732</v>
      </c>
      <c r="K280" s="9" t="s">
        <v>733</v>
      </c>
      <c r="L280" s="9" t="s">
        <v>281</v>
      </c>
      <c r="M280" s="9" t="s">
        <v>116</v>
      </c>
      <c r="N280" s="9" t="s">
        <v>734</v>
      </c>
      <c r="O280" s="9" t="s">
        <v>681</v>
      </c>
      <c r="P280" s="9" t="s">
        <v>144</v>
      </c>
      <c r="Q280" s="9" t="s">
        <v>329</v>
      </c>
      <c r="R280" s="9" t="s">
        <v>330</v>
      </c>
      <c r="S280" s="9" t="s">
        <v>472</v>
      </c>
      <c r="T280" s="9" t="s">
        <v>356</v>
      </c>
      <c r="U280" s="9" t="s">
        <v>194</v>
      </c>
      <c r="V280" s="9" t="s">
        <v>296</v>
      </c>
      <c r="W280" s="9" t="s">
        <v>682</v>
      </c>
      <c r="X280" s="9" t="s">
        <v>735</v>
      </c>
      <c r="Y280" s="9" t="s">
        <v>513</v>
      </c>
      <c r="Z280" s="9" t="s">
        <v>684</v>
      </c>
      <c r="AA280" s="9" t="s">
        <v>183</v>
      </c>
      <c r="AB280" s="19" t="n">
        <v>2100</v>
      </c>
      <c r="AC280" s="9"/>
      <c r="AD280" s="9"/>
      <c r="AE280" s="9" t="s">
        <v>155</v>
      </c>
    </row>
    <row r="281" customFormat="false" ht="21.75" hidden="false" customHeight="true" outlineLevel="0" collapsed="false">
      <c r="B281" s="14" t="n">
        <v>277</v>
      </c>
      <c r="C281" s="7" t="s">
        <v>44</v>
      </c>
      <c r="D281" s="7" t="s">
        <v>18</v>
      </c>
      <c r="E281" s="7" t="s">
        <v>87</v>
      </c>
      <c r="F281" s="7" t="s">
        <v>68</v>
      </c>
      <c r="G281" s="7" t="s">
        <v>736</v>
      </c>
      <c r="H281" s="7" t="s">
        <v>254</v>
      </c>
      <c r="I281" s="7" t="s">
        <v>255</v>
      </c>
      <c r="J281" s="7" t="s">
        <v>732</v>
      </c>
      <c r="K281" s="7" t="s">
        <v>733</v>
      </c>
      <c r="L281" s="7" t="s">
        <v>281</v>
      </c>
      <c r="M281" s="7" t="s">
        <v>116</v>
      </c>
      <c r="N281" s="7" t="s">
        <v>734</v>
      </c>
      <c r="O281" s="7" t="s">
        <v>681</v>
      </c>
      <c r="P281" s="7" t="s">
        <v>144</v>
      </c>
      <c r="Q281" s="7" t="s">
        <v>329</v>
      </c>
      <c r="R281" s="7" t="s">
        <v>330</v>
      </c>
      <c r="S281" s="7" t="s">
        <v>472</v>
      </c>
      <c r="T281" s="7" t="s">
        <v>356</v>
      </c>
      <c r="U281" s="7" t="s">
        <v>194</v>
      </c>
      <c r="V281" s="7" t="s">
        <v>296</v>
      </c>
      <c r="W281" s="7" t="s">
        <v>682</v>
      </c>
      <c r="X281" s="7" t="s">
        <v>735</v>
      </c>
      <c r="Y281" s="7" t="s">
        <v>513</v>
      </c>
      <c r="Z281" s="7" t="s">
        <v>684</v>
      </c>
      <c r="AA281" s="7" t="s">
        <v>183</v>
      </c>
      <c r="AB281" s="18" t="n">
        <v>3150</v>
      </c>
      <c r="AC281" s="7"/>
      <c r="AD281" s="7"/>
      <c r="AE281" s="7" t="s">
        <v>159</v>
      </c>
    </row>
    <row r="282" customFormat="false" ht="21.75" hidden="false" customHeight="true" outlineLevel="0" collapsed="false">
      <c r="B282" s="15" t="n">
        <v>278</v>
      </c>
      <c r="C282" s="9" t="s">
        <v>44</v>
      </c>
      <c r="D282" s="9" t="s">
        <v>18</v>
      </c>
      <c r="E282" s="9" t="s">
        <v>87</v>
      </c>
      <c r="F282" s="9" t="s">
        <v>68</v>
      </c>
      <c r="G282" s="9" t="s">
        <v>737</v>
      </c>
      <c r="H282" s="9" t="s">
        <v>257</v>
      </c>
      <c r="I282" s="9" t="s">
        <v>258</v>
      </c>
      <c r="J282" s="9" t="s">
        <v>732</v>
      </c>
      <c r="K282" s="9" t="s">
        <v>733</v>
      </c>
      <c r="L282" s="9" t="s">
        <v>281</v>
      </c>
      <c r="M282" s="9" t="s">
        <v>116</v>
      </c>
      <c r="N282" s="9" t="s">
        <v>734</v>
      </c>
      <c r="O282" s="9" t="s">
        <v>681</v>
      </c>
      <c r="P282" s="9" t="s">
        <v>144</v>
      </c>
      <c r="Q282" s="9" t="s">
        <v>329</v>
      </c>
      <c r="R282" s="9" t="s">
        <v>330</v>
      </c>
      <c r="S282" s="9" t="s">
        <v>472</v>
      </c>
      <c r="T282" s="9" t="s">
        <v>356</v>
      </c>
      <c r="U282" s="9" t="s">
        <v>194</v>
      </c>
      <c r="V282" s="9" t="s">
        <v>296</v>
      </c>
      <c r="W282" s="9" t="s">
        <v>682</v>
      </c>
      <c r="X282" s="9" t="s">
        <v>735</v>
      </c>
      <c r="Y282" s="9" t="s">
        <v>513</v>
      </c>
      <c r="Z282" s="9" t="s">
        <v>684</v>
      </c>
      <c r="AA282" s="9" t="s">
        <v>183</v>
      </c>
      <c r="AB282" s="19" t="n">
        <v>4200</v>
      </c>
      <c r="AC282" s="9"/>
      <c r="AD282" s="9"/>
      <c r="AE282" s="9" t="s">
        <v>738</v>
      </c>
    </row>
    <row r="283" customFormat="false" ht="21.75" hidden="false" customHeight="true" outlineLevel="0" collapsed="false">
      <c r="B283" s="14" t="n">
        <v>279</v>
      </c>
      <c r="C283" s="7" t="s">
        <v>44</v>
      </c>
      <c r="D283" s="7" t="s">
        <v>18</v>
      </c>
      <c r="E283" s="7" t="s">
        <v>87</v>
      </c>
      <c r="F283" s="7" t="s">
        <v>68</v>
      </c>
      <c r="G283" s="7" t="s">
        <v>739</v>
      </c>
      <c r="H283" s="7" t="s">
        <v>257</v>
      </c>
      <c r="I283" s="7" t="s">
        <v>258</v>
      </c>
      <c r="J283" s="7" t="s">
        <v>732</v>
      </c>
      <c r="K283" s="7" t="s">
        <v>733</v>
      </c>
      <c r="L283" s="7" t="s">
        <v>281</v>
      </c>
      <c r="M283" s="7" t="s">
        <v>116</v>
      </c>
      <c r="N283" s="7" t="s">
        <v>734</v>
      </c>
      <c r="O283" s="7" t="s">
        <v>681</v>
      </c>
      <c r="P283" s="7" t="s">
        <v>144</v>
      </c>
      <c r="Q283" s="7" t="s">
        <v>329</v>
      </c>
      <c r="R283" s="7" t="s">
        <v>330</v>
      </c>
      <c r="S283" s="7" t="s">
        <v>472</v>
      </c>
      <c r="T283" s="7" t="s">
        <v>356</v>
      </c>
      <c r="U283" s="7" t="s">
        <v>194</v>
      </c>
      <c r="V283" s="7" t="s">
        <v>296</v>
      </c>
      <c r="W283" s="7" t="s">
        <v>682</v>
      </c>
      <c r="X283" s="7" t="s">
        <v>735</v>
      </c>
      <c r="Y283" s="7" t="s">
        <v>513</v>
      </c>
      <c r="Z283" s="7" t="s">
        <v>684</v>
      </c>
      <c r="AA283" s="7" t="s">
        <v>183</v>
      </c>
      <c r="AB283" s="18" t="n">
        <v>6300</v>
      </c>
      <c r="AC283" s="7"/>
      <c r="AD283" s="7"/>
      <c r="AE283" s="7" t="s">
        <v>165</v>
      </c>
    </row>
    <row r="284" customFormat="false" ht="21.75" hidden="false" customHeight="true" outlineLevel="0" collapsed="false">
      <c r="B284" s="15" t="n">
        <v>280</v>
      </c>
      <c r="C284" s="9" t="s">
        <v>44</v>
      </c>
      <c r="D284" s="9" t="s">
        <v>18</v>
      </c>
      <c r="E284" s="9" t="s">
        <v>87</v>
      </c>
      <c r="F284" s="9" t="s">
        <v>68</v>
      </c>
      <c r="G284" s="9" t="s">
        <v>740</v>
      </c>
      <c r="H284" s="9" t="s">
        <v>262</v>
      </c>
      <c r="I284" s="9" t="s">
        <v>263</v>
      </c>
      <c r="J284" s="9" t="s">
        <v>732</v>
      </c>
      <c r="K284" s="9" t="s">
        <v>733</v>
      </c>
      <c r="L284" s="9" t="s">
        <v>281</v>
      </c>
      <c r="M284" s="9" t="s">
        <v>116</v>
      </c>
      <c r="N284" s="9" t="s">
        <v>734</v>
      </c>
      <c r="O284" s="9" t="s">
        <v>681</v>
      </c>
      <c r="P284" s="9" t="s">
        <v>144</v>
      </c>
      <c r="Q284" s="9" t="s">
        <v>329</v>
      </c>
      <c r="R284" s="9" t="s">
        <v>330</v>
      </c>
      <c r="S284" s="9" t="s">
        <v>472</v>
      </c>
      <c r="T284" s="9" t="s">
        <v>356</v>
      </c>
      <c r="U284" s="9" t="s">
        <v>194</v>
      </c>
      <c r="V284" s="9" t="s">
        <v>296</v>
      </c>
      <c r="W284" s="9" t="s">
        <v>682</v>
      </c>
      <c r="X284" s="9" t="s">
        <v>735</v>
      </c>
      <c r="Y284" s="9" t="s">
        <v>513</v>
      </c>
      <c r="Z284" s="9" t="s">
        <v>684</v>
      </c>
      <c r="AA284" s="9" t="s">
        <v>183</v>
      </c>
      <c r="AB284" s="19" t="n">
        <v>9240</v>
      </c>
      <c r="AC284" s="9"/>
      <c r="AD284" s="9"/>
      <c r="AE284" s="9" t="s">
        <v>167</v>
      </c>
    </row>
    <row r="285" customFormat="false" ht="21.75" hidden="false" customHeight="true" outlineLevel="0" collapsed="false">
      <c r="B285" s="14" t="n">
        <v>281</v>
      </c>
      <c r="C285" s="7" t="s">
        <v>44</v>
      </c>
      <c r="D285" s="7" t="s">
        <v>18</v>
      </c>
      <c r="E285" s="7" t="s">
        <v>87</v>
      </c>
      <c r="F285" s="7" t="s">
        <v>69</v>
      </c>
      <c r="G285" s="7" t="s">
        <v>321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18"/>
      <c r="AC285" s="7"/>
      <c r="AD285" s="7"/>
      <c r="AE285" s="7" t="s">
        <v>741</v>
      </c>
    </row>
    <row r="286" customFormat="false" ht="21.75" hidden="false" customHeight="true" outlineLevel="0" collapsed="false">
      <c r="B286" s="15" t="n">
        <v>282</v>
      </c>
      <c r="C286" s="9" t="s">
        <v>44</v>
      </c>
      <c r="D286" s="9" t="s">
        <v>18</v>
      </c>
      <c r="E286" s="9" t="s">
        <v>87</v>
      </c>
      <c r="F286" s="9" t="s">
        <v>70</v>
      </c>
      <c r="G286" s="9" t="s">
        <v>742</v>
      </c>
      <c r="H286" s="9" t="s">
        <v>276</v>
      </c>
      <c r="I286" s="9" t="s">
        <v>277</v>
      </c>
      <c r="J286" s="9" t="s">
        <v>278</v>
      </c>
      <c r="K286" s="9" t="s">
        <v>550</v>
      </c>
      <c r="L286" s="9" t="s">
        <v>743</v>
      </c>
      <c r="M286" s="9" t="s">
        <v>281</v>
      </c>
      <c r="N286" s="9" t="s">
        <v>744</v>
      </c>
      <c r="O286" s="9" t="s">
        <v>681</v>
      </c>
      <c r="P286" s="9" t="s">
        <v>144</v>
      </c>
      <c r="Q286" s="9" t="s">
        <v>329</v>
      </c>
      <c r="R286" s="9" t="s">
        <v>330</v>
      </c>
      <c r="S286" s="9" t="s">
        <v>472</v>
      </c>
      <c r="T286" s="9" t="s">
        <v>356</v>
      </c>
      <c r="U286" s="9" t="s">
        <v>194</v>
      </c>
      <c r="V286" s="9" t="s">
        <v>208</v>
      </c>
      <c r="W286" s="9" t="s">
        <v>682</v>
      </c>
      <c r="X286" s="9" t="s">
        <v>745</v>
      </c>
      <c r="Y286" s="9" t="s">
        <v>746</v>
      </c>
      <c r="Z286" s="9" t="s">
        <v>684</v>
      </c>
      <c r="AA286" s="9" t="s">
        <v>183</v>
      </c>
      <c r="AB286" s="19" t="n">
        <v>2900</v>
      </c>
      <c r="AC286" s="9"/>
      <c r="AD286" s="9"/>
      <c r="AE286" s="9" t="s">
        <v>155</v>
      </c>
    </row>
    <row r="287" customFormat="false" ht="21.75" hidden="false" customHeight="true" outlineLevel="0" collapsed="false">
      <c r="B287" s="14" t="n">
        <v>283</v>
      </c>
      <c r="C287" s="7" t="s">
        <v>44</v>
      </c>
      <c r="D287" s="7" t="s">
        <v>18</v>
      </c>
      <c r="E287" s="7" t="s">
        <v>87</v>
      </c>
      <c r="F287" s="7" t="s">
        <v>70</v>
      </c>
      <c r="G287" s="7" t="s">
        <v>747</v>
      </c>
      <c r="H287" s="7" t="s">
        <v>276</v>
      </c>
      <c r="I287" s="7" t="s">
        <v>277</v>
      </c>
      <c r="J287" s="7" t="s">
        <v>278</v>
      </c>
      <c r="K287" s="7" t="s">
        <v>550</v>
      </c>
      <c r="L287" s="7" t="s">
        <v>743</v>
      </c>
      <c r="M287" s="7" t="s">
        <v>281</v>
      </c>
      <c r="N287" s="7" t="s">
        <v>744</v>
      </c>
      <c r="O287" s="7" t="s">
        <v>681</v>
      </c>
      <c r="P287" s="7" t="s">
        <v>144</v>
      </c>
      <c r="Q287" s="7" t="s">
        <v>329</v>
      </c>
      <c r="R287" s="7" t="s">
        <v>330</v>
      </c>
      <c r="S287" s="7" t="s">
        <v>472</v>
      </c>
      <c r="T287" s="7" t="s">
        <v>356</v>
      </c>
      <c r="U287" s="7" t="s">
        <v>194</v>
      </c>
      <c r="V287" s="7" t="s">
        <v>208</v>
      </c>
      <c r="W287" s="7" t="s">
        <v>682</v>
      </c>
      <c r="X287" s="7" t="s">
        <v>745</v>
      </c>
      <c r="Y287" s="7" t="s">
        <v>746</v>
      </c>
      <c r="Z287" s="7" t="s">
        <v>684</v>
      </c>
      <c r="AA287" s="7" t="s">
        <v>183</v>
      </c>
      <c r="AB287" s="18" t="n">
        <v>4350</v>
      </c>
      <c r="AC287" s="7"/>
      <c r="AD287" s="7"/>
      <c r="AE287" s="7" t="s">
        <v>159</v>
      </c>
    </row>
    <row r="288" customFormat="false" ht="21.75" hidden="false" customHeight="true" outlineLevel="0" collapsed="false">
      <c r="B288" s="15" t="n">
        <v>284</v>
      </c>
      <c r="C288" s="9" t="s">
        <v>44</v>
      </c>
      <c r="D288" s="9" t="s">
        <v>18</v>
      </c>
      <c r="E288" s="9" t="s">
        <v>87</v>
      </c>
      <c r="F288" s="9" t="s">
        <v>70</v>
      </c>
      <c r="G288" s="9" t="s">
        <v>748</v>
      </c>
      <c r="H288" s="9" t="s">
        <v>287</v>
      </c>
      <c r="I288" s="9" t="s">
        <v>288</v>
      </c>
      <c r="J288" s="9" t="s">
        <v>278</v>
      </c>
      <c r="K288" s="9" t="s">
        <v>550</v>
      </c>
      <c r="L288" s="9" t="s">
        <v>743</v>
      </c>
      <c r="M288" s="9" t="s">
        <v>281</v>
      </c>
      <c r="N288" s="9" t="s">
        <v>744</v>
      </c>
      <c r="O288" s="9" t="s">
        <v>681</v>
      </c>
      <c r="P288" s="9" t="s">
        <v>144</v>
      </c>
      <c r="Q288" s="9" t="s">
        <v>329</v>
      </c>
      <c r="R288" s="9" t="s">
        <v>330</v>
      </c>
      <c r="S288" s="9" t="s">
        <v>472</v>
      </c>
      <c r="T288" s="9" t="s">
        <v>356</v>
      </c>
      <c r="U288" s="9" t="s">
        <v>194</v>
      </c>
      <c r="V288" s="9" t="s">
        <v>208</v>
      </c>
      <c r="W288" s="9" t="s">
        <v>682</v>
      </c>
      <c r="X288" s="9" t="s">
        <v>745</v>
      </c>
      <c r="Y288" s="9" t="s">
        <v>746</v>
      </c>
      <c r="Z288" s="9" t="s">
        <v>684</v>
      </c>
      <c r="AA288" s="9" t="s">
        <v>183</v>
      </c>
      <c r="AB288" s="19" t="n">
        <v>5800</v>
      </c>
      <c r="AC288" s="9"/>
      <c r="AD288" s="9"/>
      <c r="AE288" s="9" t="s">
        <v>749</v>
      </c>
    </row>
    <row r="289" customFormat="false" ht="21.75" hidden="false" customHeight="true" outlineLevel="0" collapsed="false">
      <c r="B289" s="14" t="n">
        <v>285</v>
      </c>
      <c r="C289" s="7" t="s">
        <v>44</v>
      </c>
      <c r="D289" s="7" t="s">
        <v>18</v>
      </c>
      <c r="E289" s="7" t="s">
        <v>87</v>
      </c>
      <c r="F289" s="7" t="s">
        <v>70</v>
      </c>
      <c r="G289" s="7" t="s">
        <v>750</v>
      </c>
      <c r="H289" s="7" t="s">
        <v>287</v>
      </c>
      <c r="I289" s="7" t="s">
        <v>288</v>
      </c>
      <c r="J289" s="7" t="s">
        <v>278</v>
      </c>
      <c r="K289" s="7" t="s">
        <v>550</v>
      </c>
      <c r="L289" s="7" t="s">
        <v>743</v>
      </c>
      <c r="M289" s="7" t="s">
        <v>281</v>
      </c>
      <c r="N289" s="7" t="s">
        <v>744</v>
      </c>
      <c r="O289" s="7" t="s">
        <v>681</v>
      </c>
      <c r="P289" s="7" t="s">
        <v>144</v>
      </c>
      <c r="Q289" s="7" t="s">
        <v>329</v>
      </c>
      <c r="R289" s="7" t="s">
        <v>330</v>
      </c>
      <c r="S289" s="7" t="s">
        <v>472</v>
      </c>
      <c r="T289" s="7" t="s">
        <v>356</v>
      </c>
      <c r="U289" s="7" t="s">
        <v>194</v>
      </c>
      <c r="V289" s="7" t="s">
        <v>208</v>
      </c>
      <c r="W289" s="7" t="s">
        <v>682</v>
      </c>
      <c r="X289" s="7" t="s">
        <v>745</v>
      </c>
      <c r="Y289" s="7" t="s">
        <v>746</v>
      </c>
      <c r="Z289" s="7" t="s">
        <v>684</v>
      </c>
      <c r="AA289" s="7" t="s">
        <v>183</v>
      </c>
      <c r="AB289" s="18" t="n">
        <v>8700</v>
      </c>
      <c r="AC289" s="7"/>
      <c r="AD289" s="7"/>
      <c r="AE289" s="7" t="s">
        <v>165</v>
      </c>
    </row>
    <row r="290" customFormat="false" ht="21.75" hidden="false" customHeight="true" outlineLevel="0" collapsed="false">
      <c r="B290" s="15" t="n">
        <v>286</v>
      </c>
      <c r="C290" s="9" t="s">
        <v>44</v>
      </c>
      <c r="D290" s="9" t="s">
        <v>18</v>
      </c>
      <c r="E290" s="9" t="s">
        <v>87</v>
      </c>
      <c r="F290" s="9" t="s">
        <v>70</v>
      </c>
      <c r="G290" s="9" t="s">
        <v>751</v>
      </c>
      <c r="H290" s="9" t="s">
        <v>287</v>
      </c>
      <c r="I290" s="9" t="s">
        <v>288</v>
      </c>
      <c r="J290" s="9" t="s">
        <v>278</v>
      </c>
      <c r="K290" s="9" t="s">
        <v>550</v>
      </c>
      <c r="L290" s="9" t="s">
        <v>743</v>
      </c>
      <c r="M290" s="9" t="s">
        <v>281</v>
      </c>
      <c r="N290" s="9" t="s">
        <v>744</v>
      </c>
      <c r="O290" s="9" t="s">
        <v>681</v>
      </c>
      <c r="P290" s="9" t="s">
        <v>144</v>
      </c>
      <c r="Q290" s="9" t="s">
        <v>329</v>
      </c>
      <c r="R290" s="9" t="s">
        <v>330</v>
      </c>
      <c r="S290" s="9" t="s">
        <v>472</v>
      </c>
      <c r="T290" s="9" t="s">
        <v>356</v>
      </c>
      <c r="U290" s="9" t="s">
        <v>194</v>
      </c>
      <c r="V290" s="9" t="s">
        <v>208</v>
      </c>
      <c r="W290" s="9" t="s">
        <v>682</v>
      </c>
      <c r="X290" s="9" t="s">
        <v>745</v>
      </c>
      <c r="Y290" s="9" t="s">
        <v>746</v>
      </c>
      <c r="Z290" s="9" t="s">
        <v>684</v>
      </c>
      <c r="AA290" s="9" t="s">
        <v>183</v>
      </c>
      <c r="AB290" s="19" t="n">
        <v>12760</v>
      </c>
      <c r="AC290" s="9"/>
      <c r="AD290" s="9"/>
      <c r="AE290" s="9" t="s">
        <v>167</v>
      </c>
    </row>
    <row r="291" customFormat="false" ht="21.75" hidden="false" customHeight="true" outlineLevel="0" collapsed="false">
      <c r="B291" s="14" t="n">
        <v>287</v>
      </c>
      <c r="C291" s="7" t="s">
        <v>44</v>
      </c>
      <c r="D291" s="7" t="s">
        <v>18</v>
      </c>
      <c r="E291" s="7" t="s">
        <v>87</v>
      </c>
      <c r="F291" s="7" t="s">
        <v>71</v>
      </c>
      <c r="G291" s="7" t="s">
        <v>321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18"/>
      <c r="AC291" s="7"/>
      <c r="AD291" s="7"/>
      <c r="AE291" s="7" t="s">
        <v>752</v>
      </c>
    </row>
    <row r="292" customFormat="false" ht="21.75" hidden="false" customHeight="true" outlineLevel="0" collapsed="false">
      <c r="B292" s="15" t="n">
        <v>288</v>
      </c>
      <c r="C292" s="9" t="s">
        <v>44</v>
      </c>
      <c r="D292" s="9" t="s">
        <v>18</v>
      </c>
      <c r="E292" s="9" t="s">
        <v>87</v>
      </c>
      <c r="F292" s="9" t="s">
        <v>72</v>
      </c>
      <c r="G292" s="9" t="s">
        <v>321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9"/>
      <c r="AC292" s="9"/>
      <c r="AD292" s="9"/>
      <c r="AE292" s="9" t="s">
        <v>753</v>
      </c>
    </row>
    <row r="293" customFormat="false" ht="21.75" hidden="false" customHeight="true" outlineLevel="0" collapsed="false">
      <c r="B293" s="14" t="n">
        <v>289</v>
      </c>
      <c r="C293" s="7" t="s">
        <v>44</v>
      </c>
      <c r="D293" s="7" t="s">
        <v>18</v>
      </c>
      <c r="E293" s="7" t="s">
        <v>87</v>
      </c>
      <c r="F293" s="7" t="s">
        <v>73</v>
      </c>
      <c r="G293" s="7" t="s">
        <v>754</v>
      </c>
      <c r="H293" s="7" t="s">
        <v>136</v>
      </c>
      <c r="I293" s="7" t="s">
        <v>137</v>
      </c>
      <c r="J293" s="7" t="s">
        <v>468</v>
      </c>
      <c r="K293" s="7" t="s">
        <v>168</v>
      </c>
      <c r="L293" s="7" t="s">
        <v>205</v>
      </c>
      <c r="M293" s="7" t="s">
        <v>116</v>
      </c>
      <c r="N293" s="7" t="s">
        <v>755</v>
      </c>
      <c r="O293" s="7" t="s">
        <v>681</v>
      </c>
      <c r="P293" s="7" t="s">
        <v>144</v>
      </c>
      <c r="Q293" s="7" t="s">
        <v>329</v>
      </c>
      <c r="R293" s="7" t="s">
        <v>330</v>
      </c>
      <c r="S293" s="7" t="s">
        <v>472</v>
      </c>
      <c r="T293" s="7" t="s">
        <v>398</v>
      </c>
      <c r="U293" s="7" t="s">
        <v>148</v>
      </c>
      <c r="V293" s="7" t="s">
        <v>380</v>
      </c>
      <c r="W293" s="7" t="s">
        <v>682</v>
      </c>
      <c r="X293" s="7" t="s">
        <v>683</v>
      </c>
      <c r="Y293" s="7" t="s">
        <v>491</v>
      </c>
      <c r="Z293" s="7" t="s">
        <v>684</v>
      </c>
      <c r="AA293" s="7" t="s">
        <v>154</v>
      </c>
      <c r="AB293" s="18" t="n">
        <v>360</v>
      </c>
      <c r="AC293" s="7"/>
      <c r="AD293" s="7"/>
      <c r="AE293" s="7" t="s">
        <v>155</v>
      </c>
    </row>
    <row r="294" customFormat="false" ht="21.75" hidden="false" customHeight="true" outlineLevel="0" collapsed="false">
      <c r="B294" s="15" t="n">
        <v>290</v>
      </c>
      <c r="C294" s="9" t="s">
        <v>44</v>
      </c>
      <c r="D294" s="9" t="s">
        <v>18</v>
      </c>
      <c r="E294" s="9" t="s">
        <v>87</v>
      </c>
      <c r="F294" s="9" t="s">
        <v>73</v>
      </c>
      <c r="G294" s="9" t="s">
        <v>756</v>
      </c>
      <c r="H294" s="9" t="s">
        <v>157</v>
      </c>
      <c r="I294" s="9" t="s">
        <v>158</v>
      </c>
      <c r="J294" s="9" t="s">
        <v>468</v>
      </c>
      <c r="K294" s="9" t="s">
        <v>168</v>
      </c>
      <c r="L294" s="9" t="s">
        <v>205</v>
      </c>
      <c r="M294" s="9" t="s">
        <v>116</v>
      </c>
      <c r="N294" s="9" t="s">
        <v>755</v>
      </c>
      <c r="O294" s="9" t="s">
        <v>681</v>
      </c>
      <c r="P294" s="9" t="s">
        <v>144</v>
      </c>
      <c r="Q294" s="9" t="s">
        <v>329</v>
      </c>
      <c r="R294" s="9" t="s">
        <v>330</v>
      </c>
      <c r="S294" s="9" t="s">
        <v>472</v>
      </c>
      <c r="T294" s="9" t="s">
        <v>398</v>
      </c>
      <c r="U294" s="9" t="s">
        <v>148</v>
      </c>
      <c r="V294" s="9" t="s">
        <v>380</v>
      </c>
      <c r="W294" s="9" t="s">
        <v>682</v>
      </c>
      <c r="X294" s="9" t="s">
        <v>683</v>
      </c>
      <c r="Y294" s="9" t="s">
        <v>491</v>
      </c>
      <c r="Z294" s="9" t="s">
        <v>684</v>
      </c>
      <c r="AA294" s="9" t="s">
        <v>154</v>
      </c>
      <c r="AB294" s="19" t="n">
        <v>540</v>
      </c>
      <c r="AC294" s="9"/>
      <c r="AD294" s="9"/>
      <c r="AE294" s="9" t="s">
        <v>159</v>
      </c>
    </row>
    <row r="295" customFormat="false" ht="21.75" hidden="false" customHeight="true" outlineLevel="0" collapsed="false">
      <c r="B295" s="14" t="n">
        <v>291</v>
      </c>
      <c r="C295" s="7" t="s">
        <v>44</v>
      </c>
      <c r="D295" s="7" t="s">
        <v>18</v>
      </c>
      <c r="E295" s="7" t="s">
        <v>87</v>
      </c>
      <c r="F295" s="7" t="s">
        <v>73</v>
      </c>
      <c r="G295" s="7" t="s">
        <v>757</v>
      </c>
      <c r="H295" s="7" t="s">
        <v>157</v>
      </c>
      <c r="I295" s="7" t="s">
        <v>158</v>
      </c>
      <c r="J295" s="7" t="s">
        <v>468</v>
      </c>
      <c r="K295" s="7" t="s">
        <v>168</v>
      </c>
      <c r="L295" s="7" t="s">
        <v>205</v>
      </c>
      <c r="M295" s="7" t="s">
        <v>116</v>
      </c>
      <c r="N295" s="7" t="s">
        <v>755</v>
      </c>
      <c r="O295" s="7" t="s">
        <v>681</v>
      </c>
      <c r="P295" s="7" t="s">
        <v>144</v>
      </c>
      <c r="Q295" s="7" t="s">
        <v>329</v>
      </c>
      <c r="R295" s="7" t="s">
        <v>330</v>
      </c>
      <c r="S295" s="7" t="s">
        <v>472</v>
      </c>
      <c r="T295" s="7" t="s">
        <v>398</v>
      </c>
      <c r="U295" s="7" t="s">
        <v>148</v>
      </c>
      <c r="V295" s="7" t="s">
        <v>380</v>
      </c>
      <c r="W295" s="7" t="s">
        <v>682</v>
      </c>
      <c r="X295" s="7" t="s">
        <v>683</v>
      </c>
      <c r="Y295" s="7" t="s">
        <v>491</v>
      </c>
      <c r="Z295" s="7" t="s">
        <v>684</v>
      </c>
      <c r="AA295" s="7" t="s">
        <v>154</v>
      </c>
      <c r="AB295" s="18" t="n">
        <v>720</v>
      </c>
      <c r="AC295" s="7"/>
      <c r="AD295" s="7"/>
      <c r="AE295" s="7" t="s">
        <v>758</v>
      </c>
    </row>
    <row r="296" customFormat="false" ht="21.75" hidden="false" customHeight="true" outlineLevel="0" collapsed="false">
      <c r="B296" s="15" t="n">
        <v>292</v>
      </c>
      <c r="C296" s="9" t="s">
        <v>44</v>
      </c>
      <c r="D296" s="9" t="s">
        <v>18</v>
      </c>
      <c r="E296" s="9" t="s">
        <v>87</v>
      </c>
      <c r="F296" s="9" t="s">
        <v>73</v>
      </c>
      <c r="G296" s="9" t="s">
        <v>759</v>
      </c>
      <c r="H296" s="9" t="s">
        <v>163</v>
      </c>
      <c r="I296" s="9" t="s">
        <v>164</v>
      </c>
      <c r="J296" s="9" t="s">
        <v>468</v>
      </c>
      <c r="K296" s="9" t="s">
        <v>168</v>
      </c>
      <c r="L296" s="9" t="s">
        <v>205</v>
      </c>
      <c r="M296" s="9" t="s">
        <v>116</v>
      </c>
      <c r="N296" s="9" t="s">
        <v>755</v>
      </c>
      <c r="O296" s="9" t="s">
        <v>681</v>
      </c>
      <c r="P296" s="9" t="s">
        <v>144</v>
      </c>
      <c r="Q296" s="9" t="s">
        <v>329</v>
      </c>
      <c r="R296" s="9" t="s">
        <v>330</v>
      </c>
      <c r="S296" s="9" t="s">
        <v>472</v>
      </c>
      <c r="T296" s="9" t="s">
        <v>398</v>
      </c>
      <c r="U296" s="9" t="s">
        <v>148</v>
      </c>
      <c r="V296" s="9" t="s">
        <v>380</v>
      </c>
      <c r="W296" s="9" t="s">
        <v>682</v>
      </c>
      <c r="X296" s="9" t="s">
        <v>683</v>
      </c>
      <c r="Y296" s="9" t="s">
        <v>491</v>
      </c>
      <c r="Z296" s="9" t="s">
        <v>684</v>
      </c>
      <c r="AA296" s="9" t="s">
        <v>154</v>
      </c>
      <c r="AB296" s="19" t="n">
        <v>1080</v>
      </c>
      <c r="AC296" s="9"/>
      <c r="AD296" s="9"/>
      <c r="AE296" s="9" t="s">
        <v>165</v>
      </c>
    </row>
    <row r="297" customFormat="false" ht="21.75" hidden="false" customHeight="true" outlineLevel="0" collapsed="false">
      <c r="B297" s="14" t="n">
        <v>293</v>
      </c>
      <c r="C297" s="7" t="s">
        <v>44</v>
      </c>
      <c r="D297" s="7" t="s">
        <v>18</v>
      </c>
      <c r="E297" s="7" t="s">
        <v>87</v>
      </c>
      <c r="F297" s="7" t="s">
        <v>73</v>
      </c>
      <c r="G297" s="7" t="s">
        <v>760</v>
      </c>
      <c r="H297" s="7" t="s">
        <v>163</v>
      </c>
      <c r="I297" s="7" t="s">
        <v>164</v>
      </c>
      <c r="J297" s="7" t="s">
        <v>468</v>
      </c>
      <c r="K297" s="7" t="s">
        <v>168</v>
      </c>
      <c r="L297" s="7" t="s">
        <v>205</v>
      </c>
      <c r="M297" s="7" t="s">
        <v>116</v>
      </c>
      <c r="N297" s="7" t="s">
        <v>755</v>
      </c>
      <c r="O297" s="7" t="s">
        <v>681</v>
      </c>
      <c r="P297" s="7" t="s">
        <v>144</v>
      </c>
      <c r="Q297" s="7" t="s">
        <v>329</v>
      </c>
      <c r="R297" s="7" t="s">
        <v>330</v>
      </c>
      <c r="S297" s="7" t="s">
        <v>472</v>
      </c>
      <c r="T297" s="7" t="s">
        <v>398</v>
      </c>
      <c r="U297" s="7" t="s">
        <v>148</v>
      </c>
      <c r="V297" s="7" t="s">
        <v>380</v>
      </c>
      <c r="W297" s="7" t="s">
        <v>682</v>
      </c>
      <c r="X297" s="7" t="s">
        <v>683</v>
      </c>
      <c r="Y297" s="7" t="s">
        <v>491</v>
      </c>
      <c r="Z297" s="7" t="s">
        <v>684</v>
      </c>
      <c r="AA297" s="7" t="s">
        <v>154</v>
      </c>
      <c r="AB297" s="18" t="n">
        <v>1585</v>
      </c>
      <c r="AC297" s="7"/>
      <c r="AD297" s="7"/>
      <c r="AE297" s="7" t="s">
        <v>167</v>
      </c>
    </row>
    <row r="298" customFormat="false" ht="21.75" hidden="false" customHeight="true" outlineLevel="0" collapsed="false">
      <c r="B298" s="15" t="n">
        <v>294</v>
      </c>
      <c r="C298" s="9" t="s">
        <v>44</v>
      </c>
      <c r="D298" s="9" t="s">
        <v>18</v>
      </c>
      <c r="E298" s="9" t="s">
        <v>87</v>
      </c>
      <c r="F298" s="9" t="s">
        <v>74</v>
      </c>
      <c r="G298" s="9" t="s">
        <v>321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9"/>
      <c r="AC298" s="9"/>
      <c r="AD298" s="9"/>
      <c r="AE298" s="9" t="s">
        <v>761</v>
      </c>
    </row>
    <row r="299" customFormat="false" ht="21.75" hidden="false" customHeight="true" outlineLevel="0" collapsed="false">
      <c r="B299" s="14" t="n">
        <v>295</v>
      </c>
      <c r="C299" s="7" t="s">
        <v>45</v>
      </c>
      <c r="D299" s="7" t="s">
        <v>18</v>
      </c>
      <c r="E299" s="7" t="s">
        <v>87</v>
      </c>
      <c r="F299" s="7" t="s">
        <v>61</v>
      </c>
      <c r="G299" s="7" t="s">
        <v>762</v>
      </c>
      <c r="H299" s="7" t="s">
        <v>136</v>
      </c>
      <c r="I299" s="7" t="s">
        <v>137</v>
      </c>
      <c r="J299" s="7" t="s">
        <v>203</v>
      </c>
      <c r="K299" s="7" t="s">
        <v>481</v>
      </c>
      <c r="L299" s="7" t="s">
        <v>205</v>
      </c>
      <c r="M299" s="7" t="s">
        <v>326</v>
      </c>
      <c r="N299" s="7" t="s">
        <v>763</v>
      </c>
      <c r="O299" s="7" t="s">
        <v>764</v>
      </c>
      <c r="P299" s="7" t="s">
        <v>144</v>
      </c>
      <c r="Q299" s="7" t="s">
        <v>329</v>
      </c>
      <c r="R299" s="7" t="s">
        <v>330</v>
      </c>
      <c r="S299" s="7" t="s">
        <v>472</v>
      </c>
      <c r="T299" s="7" t="s">
        <v>147</v>
      </c>
      <c r="U299" s="7" t="s">
        <v>148</v>
      </c>
      <c r="V299" s="7" t="s">
        <v>344</v>
      </c>
      <c r="W299" s="7" t="s">
        <v>334</v>
      </c>
      <c r="X299" s="7" t="s">
        <v>765</v>
      </c>
      <c r="Y299" s="7" t="s">
        <v>336</v>
      </c>
      <c r="Z299" s="7" t="s">
        <v>602</v>
      </c>
      <c r="AA299" s="7" t="s">
        <v>154</v>
      </c>
      <c r="AB299" s="18" t="n">
        <v>160</v>
      </c>
      <c r="AC299" s="7"/>
      <c r="AD299" s="7"/>
      <c r="AE299" s="7" t="s">
        <v>155</v>
      </c>
    </row>
    <row r="300" customFormat="false" ht="21.75" hidden="false" customHeight="true" outlineLevel="0" collapsed="false">
      <c r="B300" s="15" t="n">
        <v>296</v>
      </c>
      <c r="C300" s="9" t="s">
        <v>45</v>
      </c>
      <c r="D300" s="9" t="s">
        <v>18</v>
      </c>
      <c r="E300" s="9" t="s">
        <v>87</v>
      </c>
      <c r="F300" s="9" t="s">
        <v>61</v>
      </c>
      <c r="G300" s="9" t="s">
        <v>766</v>
      </c>
      <c r="H300" s="9" t="s">
        <v>157</v>
      </c>
      <c r="I300" s="9" t="s">
        <v>158</v>
      </c>
      <c r="J300" s="9" t="s">
        <v>203</v>
      </c>
      <c r="K300" s="9" t="s">
        <v>481</v>
      </c>
      <c r="L300" s="9" t="s">
        <v>205</v>
      </c>
      <c r="M300" s="9" t="s">
        <v>326</v>
      </c>
      <c r="N300" s="9" t="s">
        <v>763</v>
      </c>
      <c r="O300" s="9" t="s">
        <v>764</v>
      </c>
      <c r="P300" s="9" t="s">
        <v>144</v>
      </c>
      <c r="Q300" s="9" t="s">
        <v>329</v>
      </c>
      <c r="R300" s="9" t="s">
        <v>330</v>
      </c>
      <c r="S300" s="9" t="s">
        <v>472</v>
      </c>
      <c r="T300" s="9" t="s">
        <v>147</v>
      </c>
      <c r="U300" s="9" t="s">
        <v>148</v>
      </c>
      <c r="V300" s="9" t="s">
        <v>344</v>
      </c>
      <c r="W300" s="9" t="s">
        <v>334</v>
      </c>
      <c r="X300" s="9" t="s">
        <v>765</v>
      </c>
      <c r="Y300" s="9" t="s">
        <v>336</v>
      </c>
      <c r="Z300" s="9" t="s">
        <v>602</v>
      </c>
      <c r="AA300" s="9" t="s">
        <v>154</v>
      </c>
      <c r="AB300" s="19" t="n">
        <v>240</v>
      </c>
      <c r="AC300" s="9"/>
      <c r="AD300" s="9"/>
      <c r="AE300" s="9" t="s">
        <v>159</v>
      </c>
    </row>
    <row r="301" customFormat="false" ht="21.75" hidden="false" customHeight="true" outlineLevel="0" collapsed="false">
      <c r="B301" s="14" t="n">
        <v>297</v>
      </c>
      <c r="C301" s="7" t="s">
        <v>45</v>
      </c>
      <c r="D301" s="7" t="s">
        <v>18</v>
      </c>
      <c r="E301" s="7" t="s">
        <v>87</v>
      </c>
      <c r="F301" s="7" t="s">
        <v>61</v>
      </c>
      <c r="G301" s="7" t="s">
        <v>767</v>
      </c>
      <c r="H301" s="7" t="s">
        <v>157</v>
      </c>
      <c r="I301" s="7" t="s">
        <v>158</v>
      </c>
      <c r="J301" s="7" t="s">
        <v>203</v>
      </c>
      <c r="K301" s="7" t="s">
        <v>481</v>
      </c>
      <c r="L301" s="7" t="s">
        <v>205</v>
      </c>
      <c r="M301" s="7" t="s">
        <v>326</v>
      </c>
      <c r="N301" s="7" t="s">
        <v>763</v>
      </c>
      <c r="O301" s="7" t="s">
        <v>764</v>
      </c>
      <c r="P301" s="7" t="s">
        <v>144</v>
      </c>
      <c r="Q301" s="7" t="s">
        <v>329</v>
      </c>
      <c r="R301" s="7" t="s">
        <v>330</v>
      </c>
      <c r="S301" s="7" t="s">
        <v>472</v>
      </c>
      <c r="T301" s="7" t="s">
        <v>147</v>
      </c>
      <c r="U301" s="7" t="s">
        <v>148</v>
      </c>
      <c r="V301" s="7" t="s">
        <v>344</v>
      </c>
      <c r="W301" s="7" t="s">
        <v>334</v>
      </c>
      <c r="X301" s="7" t="s">
        <v>765</v>
      </c>
      <c r="Y301" s="7" t="s">
        <v>336</v>
      </c>
      <c r="Z301" s="7" t="s">
        <v>602</v>
      </c>
      <c r="AA301" s="7" t="s">
        <v>154</v>
      </c>
      <c r="AB301" s="18" t="n">
        <v>320</v>
      </c>
      <c r="AC301" s="7"/>
      <c r="AD301" s="7"/>
      <c r="AE301" s="7" t="s">
        <v>768</v>
      </c>
    </row>
    <row r="302" customFormat="false" ht="21.75" hidden="false" customHeight="true" outlineLevel="0" collapsed="false">
      <c r="B302" s="15" t="n">
        <v>298</v>
      </c>
      <c r="C302" s="9" t="s">
        <v>45</v>
      </c>
      <c r="D302" s="9" t="s">
        <v>18</v>
      </c>
      <c r="E302" s="9" t="s">
        <v>87</v>
      </c>
      <c r="F302" s="9" t="s">
        <v>61</v>
      </c>
      <c r="G302" s="9" t="s">
        <v>769</v>
      </c>
      <c r="H302" s="9" t="s">
        <v>163</v>
      </c>
      <c r="I302" s="9" t="s">
        <v>164</v>
      </c>
      <c r="J302" s="9" t="s">
        <v>203</v>
      </c>
      <c r="K302" s="9" t="s">
        <v>481</v>
      </c>
      <c r="L302" s="9" t="s">
        <v>205</v>
      </c>
      <c r="M302" s="9" t="s">
        <v>326</v>
      </c>
      <c r="N302" s="9" t="s">
        <v>763</v>
      </c>
      <c r="O302" s="9" t="s">
        <v>764</v>
      </c>
      <c r="P302" s="9" t="s">
        <v>144</v>
      </c>
      <c r="Q302" s="9" t="s">
        <v>329</v>
      </c>
      <c r="R302" s="9" t="s">
        <v>330</v>
      </c>
      <c r="S302" s="9" t="s">
        <v>472</v>
      </c>
      <c r="T302" s="9" t="s">
        <v>147</v>
      </c>
      <c r="U302" s="9" t="s">
        <v>148</v>
      </c>
      <c r="V302" s="9" t="s">
        <v>344</v>
      </c>
      <c r="W302" s="9" t="s">
        <v>334</v>
      </c>
      <c r="X302" s="9" t="s">
        <v>765</v>
      </c>
      <c r="Y302" s="9" t="s">
        <v>336</v>
      </c>
      <c r="Z302" s="9" t="s">
        <v>602</v>
      </c>
      <c r="AA302" s="9" t="s">
        <v>154</v>
      </c>
      <c r="AB302" s="19" t="n">
        <v>480</v>
      </c>
      <c r="AC302" s="9"/>
      <c r="AD302" s="9"/>
      <c r="AE302" s="9" t="s">
        <v>165</v>
      </c>
    </row>
    <row r="303" customFormat="false" ht="21.75" hidden="false" customHeight="true" outlineLevel="0" collapsed="false">
      <c r="B303" s="14" t="n">
        <v>299</v>
      </c>
      <c r="C303" s="7" t="s">
        <v>45</v>
      </c>
      <c r="D303" s="7" t="s">
        <v>18</v>
      </c>
      <c r="E303" s="7" t="s">
        <v>87</v>
      </c>
      <c r="F303" s="7" t="s">
        <v>61</v>
      </c>
      <c r="G303" s="7" t="s">
        <v>770</v>
      </c>
      <c r="H303" s="7" t="s">
        <v>163</v>
      </c>
      <c r="I303" s="7" t="s">
        <v>164</v>
      </c>
      <c r="J303" s="7" t="s">
        <v>203</v>
      </c>
      <c r="K303" s="7" t="s">
        <v>481</v>
      </c>
      <c r="L303" s="7" t="s">
        <v>205</v>
      </c>
      <c r="M303" s="7" t="s">
        <v>326</v>
      </c>
      <c r="N303" s="7" t="s">
        <v>763</v>
      </c>
      <c r="O303" s="7" t="s">
        <v>764</v>
      </c>
      <c r="P303" s="7" t="s">
        <v>144</v>
      </c>
      <c r="Q303" s="7" t="s">
        <v>329</v>
      </c>
      <c r="R303" s="7" t="s">
        <v>330</v>
      </c>
      <c r="S303" s="7" t="s">
        <v>472</v>
      </c>
      <c r="T303" s="7" t="s">
        <v>147</v>
      </c>
      <c r="U303" s="7" t="s">
        <v>148</v>
      </c>
      <c r="V303" s="7" t="s">
        <v>344</v>
      </c>
      <c r="W303" s="7" t="s">
        <v>334</v>
      </c>
      <c r="X303" s="7" t="s">
        <v>765</v>
      </c>
      <c r="Y303" s="7" t="s">
        <v>336</v>
      </c>
      <c r="Z303" s="7" t="s">
        <v>602</v>
      </c>
      <c r="AA303" s="7" t="s">
        <v>154</v>
      </c>
      <c r="AB303" s="18" t="n">
        <v>705</v>
      </c>
      <c r="AC303" s="7"/>
      <c r="AD303" s="7"/>
      <c r="AE303" s="7" t="s">
        <v>167</v>
      </c>
    </row>
    <row r="304" customFormat="false" ht="21.75" hidden="false" customHeight="true" outlineLevel="0" collapsed="false">
      <c r="B304" s="15" t="n">
        <v>300</v>
      </c>
      <c r="C304" s="9" t="s">
        <v>45</v>
      </c>
      <c r="D304" s="9" t="s">
        <v>18</v>
      </c>
      <c r="E304" s="9" t="s">
        <v>87</v>
      </c>
      <c r="F304" s="9" t="s">
        <v>62</v>
      </c>
      <c r="G304" s="9" t="s">
        <v>771</v>
      </c>
      <c r="H304" s="9" t="s">
        <v>136</v>
      </c>
      <c r="I304" s="9" t="s">
        <v>137</v>
      </c>
      <c r="J304" s="9" t="s">
        <v>203</v>
      </c>
      <c r="K304" s="9" t="s">
        <v>488</v>
      </c>
      <c r="L304" s="9" t="s">
        <v>169</v>
      </c>
      <c r="M304" s="9" t="s">
        <v>326</v>
      </c>
      <c r="N304" s="9" t="s">
        <v>772</v>
      </c>
      <c r="O304" s="9" t="s">
        <v>764</v>
      </c>
      <c r="P304" s="9" t="s">
        <v>144</v>
      </c>
      <c r="Q304" s="9" t="s">
        <v>329</v>
      </c>
      <c r="R304" s="9" t="s">
        <v>330</v>
      </c>
      <c r="S304" s="9" t="s">
        <v>472</v>
      </c>
      <c r="T304" s="9" t="s">
        <v>398</v>
      </c>
      <c r="U304" s="9" t="s">
        <v>148</v>
      </c>
      <c r="V304" s="9" t="s">
        <v>333</v>
      </c>
      <c r="W304" s="9" t="s">
        <v>334</v>
      </c>
      <c r="X304" s="9" t="s">
        <v>773</v>
      </c>
      <c r="Y304" s="9" t="s">
        <v>475</v>
      </c>
      <c r="Z304" s="9" t="s">
        <v>602</v>
      </c>
      <c r="AA304" s="9" t="s">
        <v>223</v>
      </c>
      <c r="AB304" s="19" t="n">
        <v>120</v>
      </c>
      <c r="AC304" s="9"/>
      <c r="AD304" s="9"/>
      <c r="AE304" s="9" t="s">
        <v>155</v>
      </c>
    </row>
    <row r="305" customFormat="false" ht="21.75" hidden="false" customHeight="true" outlineLevel="0" collapsed="false">
      <c r="B305" s="14" t="n">
        <v>301</v>
      </c>
      <c r="C305" s="7" t="s">
        <v>45</v>
      </c>
      <c r="D305" s="7" t="s">
        <v>18</v>
      </c>
      <c r="E305" s="7" t="s">
        <v>87</v>
      </c>
      <c r="F305" s="7" t="s">
        <v>62</v>
      </c>
      <c r="G305" s="7" t="s">
        <v>774</v>
      </c>
      <c r="H305" s="7" t="s">
        <v>157</v>
      </c>
      <c r="I305" s="7" t="s">
        <v>158</v>
      </c>
      <c r="J305" s="7" t="s">
        <v>203</v>
      </c>
      <c r="K305" s="7" t="s">
        <v>488</v>
      </c>
      <c r="L305" s="7" t="s">
        <v>169</v>
      </c>
      <c r="M305" s="7" t="s">
        <v>326</v>
      </c>
      <c r="N305" s="7" t="s">
        <v>772</v>
      </c>
      <c r="O305" s="7" t="s">
        <v>764</v>
      </c>
      <c r="P305" s="7" t="s">
        <v>144</v>
      </c>
      <c r="Q305" s="7" t="s">
        <v>329</v>
      </c>
      <c r="R305" s="7" t="s">
        <v>330</v>
      </c>
      <c r="S305" s="7" t="s">
        <v>472</v>
      </c>
      <c r="T305" s="7" t="s">
        <v>398</v>
      </c>
      <c r="U305" s="7" t="s">
        <v>148</v>
      </c>
      <c r="V305" s="7" t="s">
        <v>333</v>
      </c>
      <c r="W305" s="7" t="s">
        <v>334</v>
      </c>
      <c r="X305" s="7" t="s">
        <v>773</v>
      </c>
      <c r="Y305" s="7" t="s">
        <v>475</v>
      </c>
      <c r="Z305" s="7" t="s">
        <v>602</v>
      </c>
      <c r="AA305" s="7" t="s">
        <v>223</v>
      </c>
      <c r="AB305" s="18" t="n">
        <v>180</v>
      </c>
      <c r="AC305" s="7"/>
      <c r="AD305" s="7"/>
      <c r="AE305" s="7" t="s">
        <v>159</v>
      </c>
    </row>
    <row r="306" customFormat="false" ht="21.75" hidden="false" customHeight="true" outlineLevel="0" collapsed="false">
      <c r="B306" s="15" t="n">
        <v>302</v>
      </c>
      <c r="C306" s="9" t="s">
        <v>45</v>
      </c>
      <c r="D306" s="9" t="s">
        <v>18</v>
      </c>
      <c r="E306" s="9" t="s">
        <v>87</v>
      </c>
      <c r="F306" s="9" t="s">
        <v>62</v>
      </c>
      <c r="G306" s="9" t="s">
        <v>767</v>
      </c>
      <c r="H306" s="9" t="s">
        <v>157</v>
      </c>
      <c r="I306" s="9" t="s">
        <v>158</v>
      </c>
      <c r="J306" s="9" t="s">
        <v>203</v>
      </c>
      <c r="K306" s="9" t="s">
        <v>488</v>
      </c>
      <c r="L306" s="9" t="s">
        <v>169</v>
      </c>
      <c r="M306" s="9" t="s">
        <v>326</v>
      </c>
      <c r="N306" s="9" t="s">
        <v>772</v>
      </c>
      <c r="O306" s="9" t="s">
        <v>764</v>
      </c>
      <c r="P306" s="9" t="s">
        <v>144</v>
      </c>
      <c r="Q306" s="9" t="s">
        <v>329</v>
      </c>
      <c r="R306" s="9" t="s">
        <v>330</v>
      </c>
      <c r="S306" s="9" t="s">
        <v>472</v>
      </c>
      <c r="T306" s="9" t="s">
        <v>398</v>
      </c>
      <c r="U306" s="9" t="s">
        <v>148</v>
      </c>
      <c r="V306" s="9" t="s">
        <v>333</v>
      </c>
      <c r="W306" s="9" t="s">
        <v>334</v>
      </c>
      <c r="X306" s="9" t="s">
        <v>773</v>
      </c>
      <c r="Y306" s="9" t="s">
        <v>475</v>
      </c>
      <c r="Z306" s="9" t="s">
        <v>602</v>
      </c>
      <c r="AA306" s="9" t="s">
        <v>223</v>
      </c>
      <c r="AB306" s="19" t="n">
        <v>240</v>
      </c>
      <c r="AC306" s="9"/>
      <c r="AD306" s="9"/>
      <c r="AE306" s="9" t="s">
        <v>775</v>
      </c>
    </row>
    <row r="307" customFormat="false" ht="21.75" hidden="false" customHeight="true" outlineLevel="0" collapsed="false">
      <c r="B307" s="14" t="n">
        <v>303</v>
      </c>
      <c r="C307" s="7" t="s">
        <v>45</v>
      </c>
      <c r="D307" s="7" t="s">
        <v>18</v>
      </c>
      <c r="E307" s="7" t="s">
        <v>87</v>
      </c>
      <c r="F307" s="7" t="s">
        <v>62</v>
      </c>
      <c r="G307" s="7" t="s">
        <v>776</v>
      </c>
      <c r="H307" s="7" t="s">
        <v>163</v>
      </c>
      <c r="I307" s="7" t="s">
        <v>164</v>
      </c>
      <c r="J307" s="7" t="s">
        <v>203</v>
      </c>
      <c r="K307" s="7" t="s">
        <v>488</v>
      </c>
      <c r="L307" s="7" t="s">
        <v>169</v>
      </c>
      <c r="M307" s="7" t="s">
        <v>326</v>
      </c>
      <c r="N307" s="7" t="s">
        <v>772</v>
      </c>
      <c r="O307" s="7" t="s">
        <v>764</v>
      </c>
      <c r="P307" s="7" t="s">
        <v>144</v>
      </c>
      <c r="Q307" s="7" t="s">
        <v>329</v>
      </c>
      <c r="R307" s="7" t="s">
        <v>330</v>
      </c>
      <c r="S307" s="7" t="s">
        <v>472</v>
      </c>
      <c r="T307" s="7" t="s">
        <v>398</v>
      </c>
      <c r="U307" s="7" t="s">
        <v>148</v>
      </c>
      <c r="V307" s="7" t="s">
        <v>333</v>
      </c>
      <c r="W307" s="7" t="s">
        <v>334</v>
      </c>
      <c r="X307" s="7" t="s">
        <v>773</v>
      </c>
      <c r="Y307" s="7" t="s">
        <v>475</v>
      </c>
      <c r="Z307" s="7" t="s">
        <v>602</v>
      </c>
      <c r="AA307" s="7" t="s">
        <v>223</v>
      </c>
      <c r="AB307" s="18" t="n">
        <v>360</v>
      </c>
      <c r="AC307" s="7"/>
      <c r="AD307" s="7"/>
      <c r="AE307" s="7" t="s">
        <v>165</v>
      </c>
    </row>
    <row r="308" customFormat="false" ht="21.75" hidden="false" customHeight="true" outlineLevel="0" collapsed="false">
      <c r="B308" s="15" t="n">
        <v>304</v>
      </c>
      <c r="C308" s="9" t="s">
        <v>45</v>
      </c>
      <c r="D308" s="9" t="s">
        <v>18</v>
      </c>
      <c r="E308" s="9" t="s">
        <v>87</v>
      </c>
      <c r="F308" s="9" t="s">
        <v>62</v>
      </c>
      <c r="G308" s="9" t="s">
        <v>770</v>
      </c>
      <c r="H308" s="9" t="s">
        <v>163</v>
      </c>
      <c r="I308" s="9" t="s">
        <v>164</v>
      </c>
      <c r="J308" s="9" t="s">
        <v>203</v>
      </c>
      <c r="K308" s="9" t="s">
        <v>488</v>
      </c>
      <c r="L308" s="9" t="s">
        <v>169</v>
      </c>
      <c r="M308" s="9" t="s">
        <v>326</v>
      </c>
      <c r="N308" s="9" t="s">
        <v>772</v>
      </c>
      <c r="O308" s="9" t="s">
        <v>764</v>
      </c>
      <c r="P308" s="9" t="s">
        <v>144</v>
      </c>
      <c r="Q308" s="9" t="s">
        <v>329</v>
      </c>
      <c r="R308" s="9" t="s">
        <v>330</v>
      </c>
      <c r="S308" s="9" t="s">
        <v>472</v>
      </c>
      <c r="T308" s="9" t="s">
        <v>398</v>
      </c>
      <c r="U308" s="9" t="s">
        <v>148</v>
      </c>
      <c r="V308" s="9" t="s">
        <v>333</v>
      </c>
      <c r="W308" s="9" t="s">
        <v>334</v>
      </c>
      <c r="X308" s="9" t="s">
        <v>773</v>
      </c>
      <c r="Y308" s="9" t="s">
        <v>475</v>
      </c>
      <c r="Z308" s="9" t="s">
        <v>602</v>
      </c>
      <c r="AA308" s="9" t="s">
        <v>223</v>
      </c>
      <c r="AB308" s="19" t="n">
        <v>530</v>
      </c>
      <c r="AC308" s="9"/>
      <c r="AD308" s="9"/>
      <c r="AE308" s="9" t="s">
        <v>167</v>
      </c>
    </row>
    <row r="309" customFormat="false" ht="21.75" hidden="false" customHeight="true" outlineLevel="0" collapsed="false">
      <c r="B309" s="14" t="n">
        <v>305</v>
      </c>
      <c r="C309" s="7" t="s">
        <v>45</v>
      </c>
      <c r="D309" s="7" t="s">
        <v>18</v>
      </c>
      <c r="E309" s="7" t="s">
        <v>87</v>
      </c>
      <c r="F309" s="7" t="s">
        <v>63</v>
      </c>
      <c r="G309" s="7" t="s">
        <v>777</v>
      </c>
      <c r="H309" s="7" t="s">
        <v>136</v>
      </c>
      <c r="I309" s="7" t="s">
        <v>137</v>
      </c>
      <c r="J309" s="7" t="s">
        <v>203</v>
      </c>
      <c r="K309" s="7" t="s">
        <v>481</v>
      </c>
      <c r="L309" s="7" t="s">
        <v>354</v>
      </c>
      <c r="M309" s="7" t="s">
        <v>326</v>
      </c>
      <c r="N309" s="7" t="s">
        <v>763</v>
      </c>
      <c r="O309" s="7" t="s">
        <v>764</v>
      </c>
      <c r="P309" s="7" t="s">
        <v>144</v>
      </c>
      <c r="Q309" s="7" t="s">
        <v>329</v>
      </c>
      <c r="R309" s="7" t="s">
        <v>330</v>
      </c>
      <c r="S309" s="7" t="s">
        <v>472</v>
      </c>
      <c r="T309" s="7" t="s">
        <v>356</v>
      </c>
      <c r="U309" s="7" t="s">
        <v>148</v>
      </c>
      <c r="V309" s="7" t="s">
        <v>344</v>
      </c>
      <c r="W309" s="7" t="s">
        <v>334</v>
      </c>
      <c r="X309" s="7" t="s">
        <v>778</v>
      </c>
      <c r="Y309" s="7" t="s">
        <v>237</v>
      </c>
      <c r="Z309" s="7" t="s">
        <v>602</v>
      </c>
      <c r="AA309" s="7" t="s">
        <v>183</v>
      </c>
      <c r="AB309" s="18" t="n">
        <v>150</v>
      </c>
      <c r="AC309" s="7"/>
      <c r="AD309" s="7"/>
      <c r="AE309" s="7" t="s">
        <v>155</v>
      </c>
    </row>
    <row r="310" customFormat="false" ht="21.75" hidden="false" customHeight="true" outlineLevel="0" collapsed="false">
      <c r="B310" s="15" t="n">
        <v>306</v>
      </c>
      <c r="C310" s="9" t="s">
        <v>45</v>
      </c>
      <c r="D310" s="9" t="s">
        <v>18</v>
      </c>
      <c r="E310" s="9" t="s">
        <v>87</v>
      </c>
      <c r="F310" s="9" t="s">
        <v>63</v>
      </c>
      <c r="G310" s="9" t="s">
        <v>779</v>
      </c>
      <c r="H310" s="9" t="s">
        <v>157</v>
      </c>
      <c r="I310" s="9" t="s">
        <v>158</v>
      </c>
      <c r="J310" s="9" t="s">
        <v>203</v>
      </c>
      <c r="K310" s="9" t="s">
        <v>481</v>
      </c>
      <c r="L310" s="9" t="s">
        <v>354</v>
      </c>
      <c r="M310" s="9" t="s">
        <v>326</v>
      </c>
      <c r="N310" s="9" t="s">
        <v>763</v>
      </c>
      <c r="O310" s="9" t="s">
        <v>764</v>
      </c>
      <c r="P310" s="9" t="s">
        <v>144</v>
      </c>
      <c r="Q310" s="9" t="s">
        <v>329</v>
      </c>
      <c r="R310" s="9" t="s">
        <v>330</v>
      </c>
      <c r="S310" s="9" t="s">
        <v>472</v>
      </c>
      <c r="T310" s="9" t="s">
        <v>356</v>
      </c>
      <c r="U310" s="9" t="s">
        <v>148</v>
      </c>
      <c r="V310" s="9" t="s">
        <v>344</v>
      </c>
      <c r="W310" s="9" t="s">
        <v>334</v>
      </c>
      <c r="X310" s="9" t="s">
        <v>778</v>
      </c>
      <c r="Y310" s="9" t="s">
        <v>237</v>
      </c>
      <c r="Z310" s="9" t="s">
        <v>602</v>
      </c>
      <c r="AA310" s="9" t="s">
        <v>183</v>
      </c>
      <c r="AB310" s="19" t="n">
        <v>225</v>
      </c>
      <c r="AC310" s="9"/>
      <c r="AD310" s="9"/>
      <c r="AE310" s="9" t="s">
        <v>159</v>
      </c>
    </row>
    <row r="311" customFormat="false" ht="21.75" hidden="false" customHeight="true" outlineLevel="0" collapsed="false">
      <c r="B311" s="14" t="n">
        <v>307</v>
      </c>
      <c r="C311" s="7" t="s">
        <v>45</v>
      </c>
      <c r="D311" s="7" t="s">
        <v>18</v>
      </c>
      <c r="E311" s="7" t="s">
        <v>87</v>
      </c>
      <c r="F311" s="7" t="s">
        <v>63</v>
      </c>
      <c r="G311" s="7" t="s">
        <v>769</v>
      </c>
      <c r="H311" s="7" t="s">
        <v>157</v>
      </c>
      <c r="I311" s="7" t="s">
        <v>158</v>
      </c>
      <c r="J311" s="7" t="s">
        <v>203</v>
      </c>
      <c r="K311" s="7" t="s">
        <v>481</v>
      </c>
      <c r="L311" s="7" t="s">
        <v>354</v>
      </c>
      <c r="M311" s="7" t="s">
        <v>326</v>
      </c>
      <c r="N311" s="7" t="s">
        <v>763</v>
      </c>
      <c r="O311" s="7" t="s">
        <v>764</v>
      </c>
      <c r="P311" s="7" t="s">
        <v>144</v>
      </c>
      <c r="Q311" s="7" t="s">
        <v>329</v>
      </c>
      <c r="R311" s="7" t="s">
        <v>330</v>
      </c>
      <c r="S311" s="7" t="s">
        <v>472</v>
      </c>
      <c r="T311" s="7" t="s">
        <v>356</v>
      </c>
      <c r="U311" s="7" t="s">
        <v>148</v>
      </c>
      <c r="V311" s="7" t="s">
        <v>344</v>
      </c>
      <c r="W311" s="7" t="s">
        <v>334</v>
      </c>
      <c r="X311" s="7" t="s">
        <v>778</v>
      </c>
      <c r="Y311" s="7" t="s">
        <v>237</v>
      </c>
      <c r="Z311" s="7" t="s">
        <v>602</v>
      </c>
      <c r="AA311" s="7" t="s">
        <v>183</v>
      </c>
      <c r="AB311" s="18" t="n">
        <v>300</v>
      </c>
      <c r="AC311" s="7"/>
      <c r="AD311" s="7"/>
      <c r="AE311" s="7" t="s">
        <v>494</v>
      </c>
    </row>
    <row r="312" customFormat="false" ht="21.75" hidden="false" customHeight="true" outlineLevel="0" collapsed="false">
      <c r="B312" s="15" t="n">
        <v>308</v>
      </c>
      <c r="C312" s="9" t="s">
        <v>45</v>
      </c>
      <c r="D312" s="9" t="s">
        <v>18</v>
      </c>
      <c r="E312" s="9" t="s">
        <v>87</v>
      </c>
      <c r="F312" s="9" t="s">
        <v>63</v>
      </c>
      <c r="G312" s="9" t="s">
        <v>780</v>
      </c>
      <c r="H312" s="9" t="s">
        <v>163</v>
      </c>
      <c r="I312" s="9" t="s">
        <v>164</v>
      </c>
      <c r="J312" s="9" t="s">
        <v>203</v>
      </c>
      <c r="K312" s="9" t="s">
        <v>481</v>
      </c>
      <c r="L312" s="9" t="s">
        <v>354</v>
      </c>
      <c r="M312" s="9" t="s">
        <v>326</v>
      </c>
      <c r="N312" s="9" t="s">
        <v>763</v>
      </c>
      <c r="O312" s="9" t="s">
        <v>764</v>
      </c>
      <c r="P312" s="9" t="s">
        <v>144</v>
      </c>
      <c r="Q312" s="9" t="s">
        <v>329</v>
      </c>
      <c r="R312" s="9" t="s">
        <v>330</v>
      </c>
      <c r="S312" s="9" t="s">
        <v>472</v>
      </c>
      <c r="T312" s="9" t="s">
        <v>356</v>
      </c>
      <c r="U312" s="9" t="s">
        <v>148</v>
      </c>
      <c r="V312" s="9" t="s">
        <v>344</v>
      </c>
      <c r="W312" s="9" t="s">
        <v>334</v>
      </c>
      <c r="X312" s="9" t="s">
        <v>778</v>
      </c>
      <c r="Y312" s="9" t="s">
        <v>237</v>
      </c>
      <c r="Z312" s="9" t="s">
        <v>602</v>
      </c>
      <c r="AA312" s="9" t="s">
        <v>183</v>
      </c>
      <c r="AB312" s="19" t="n">
        <v>450</v>
      </c>
      <c r="AC312" s="9"/>
      <c r="AD312" s="9"/>
      <c r="AE312" s="9" t="s">
        <v>165</v>
      </c>
    </row>
    <row r="313" customFormat="false" ht="21.75" hidden="false" customHeight="true" outlineLevel="0" collapsed="false">
      <c r="B313" s="14" t="n">
        <v>309</v>
      </c>
      <c r="C313" s="7" t="s">
        <v>45</v>
      </c>
      <c r="D313" s="7" t="s">
        <v>18</v>
      </c>
      <c r="E313" s="7" t="s">
        <v>87</v>
      </c>
      <c r="F313" s="7" t="s">
        <v>63</v>
      </c>
      <c r="G313" s="7" t="s">
        <v>781</v>
      </c>
      <c r="H313" s="7" t="s">
        <v>163</v>
      </c>
      <c r="I313" s="7" t="s">
        <v>164</v>
      </c>
      <c r="J313" s="7" t="s">
        <v>203</v>
      </c>
      <c r="K313" s="7" t="s">
        <v>481</v>
      </c>
      <c r="L313" s="7" t="s">
        <v>354</v>
      </c>
      <c r="M313" s="7" t="s">
        <v>326</v>
      </c>
      <c r="N313" s="7" t="s">
        <v>763</v>
      </c>
      <c r="O313" s="7" t="s">
        <v>764</v>
      </c>
      <c r="P313" s="7" t="s">
        <v>144</v>
      </c>
      <c r="Q313" s="7" t="s">
        <v>329</v>
      </c>
      <c r="R313" s="7" t="s">
        <v>330</v>
      </c>
      <c r="S313" s="7" t="s">
        <v>472</v>
      </c>
      <c r="T313" s="7" t="s">
        <v>356</v>
      </c>
      <c r="U313" s="7" t="s">
        <v>148</v>
      </c>
      <c r="V313" s="7" t="s">
        <v>344</v>
      </c>
      <c r="W313" s="7" t="s">
        <v>334</v>
      </c>
      <c r="X313" s="7" t="s">
        <v>778</v>
      </c>
      <c r="Y313" s="7" t="s">
        <v>237</v>
      </c>
      <c r="Z313" s="7" t="s">
        <v>602</v>
      </c>
      <c r="AA313" s="7" t="s">
        <v>183</v>
      </c>
      <c r="AB313" s="18" t="n">
        <v>660</v>
      </c>
      <c r="AC313" s="7"/>
      <c r="AD313" s="7"/>
      <c r="AE313" s="7" t="s">
        <v>167</v>
      </c>
    </row>
    <row r="314" customFormat="false" ht="21.75" hidden="false" customHeight="true" outlineLevel="0" collapsed="false">
      <c r="B314" s="15" t="n">
        <v>310</v>
      </c>
      <c r="C314" s="9" t="s">
        <v>45</v>
      </c>
      <c r="D314" s="9" t="s">
        <v>18</v>
      </c>
      <c r="E314" s="9" t="s">
        <v>87</v>
      </c>
      <c r="F314" s="9" t="s">
        <v>64</v>
      </c>
      <c r="G314" s="9" t="s">
        <v>782</v>
      </c>
      <c r="H314" s="9" t="s">
        <v>136</v>
      </c>
      <c r="I314" s="9" t="s">
        <v>137</v>
      </c>
      <c r="J314" s="9" t="s">
        <v>203</v>
      </c>
      <c r="K314" s="9" t="s">
        <v>365</v>
      </c>
      <c r="L314" s="9" t="s">
        <v>623</v>
      </c>
      <c r="M314" s="9" t="s">
        <v>116</v>
      </c>
      <c r="N314" s="9" t="s">
        <v>379</v>
      </c>
      <c r="O314" s="9" t="s">
        <v>764</v>
      </c>
      <c r="P314" s="9" t="s">
        <v>144</v>
      </c>
      <c r="Q314" s="9" t="s">
        <v>329</v>
      </c>
      <c r="R314" s="9" t="s">
        <v>330</v>
      </c>
      <c r="S314" s="9" t="s">
        <v>472</v>
      </c>
      <c r="T314" s="9" t="s">
        <v>356</v>
      </c>
      <c r="U314" s="9" t="s">
        <v>194</v>
      </c>
      <c r="V314" s="9" t="s">
        <v>783</v>
      </c>
      <c r="W314" s="9" t="s">
        <v>334</v>
      </c>
      <c r="X314" s="9" t="s">
        <v>784</v>
      </c>
      <c r="Y314" s="9" t="s">
        <v>785</v>
      </c>
      <c r="Z314" s="9" t="s">
        <v>602</v>
      </c>
      <c r="AA314" s="9" t="s">
        <v>183</v>
      </c>
      <c r="AB314" s="19" t="n">
        <v>700</v>
      </c>
      <c r="AC314" s="9"/>
      <c r="AD314" s="9"/>
      <c r="AE314" s="9" t="s">
        <v>155</v>
      </c>
    </row>
    <row r="315" customFormat="false" ht="21.75" hidden="false" customHeight="true" outlineLevel="0" collapsed="false">
      <c r="B315" s="14" t="n">
        <v>311</v>
      </c>
      <c r="C315" s="7" t="s">
        <v>45</v>
      </c>
      <c r="D315" s="7" t="s">
        <v>18</v>
      </c>
      <c r="E315" s="7" t="s">
        <v>87</v>
      </c>
      <c r="F315" s="7" t="s">
        <v>64</v>
      </c>
      <c r="G315" s="7" t="s">
        <v>786</v>
      </c>
      <c r="H315" s="7" t="s">
        <v>136</v>
      </c>
      <c r="I315" s="7" t="s">
        <v>137</v>
      </c>
      <c r="J315" s="7" t="s">
        <v>203</v>
      </c>
      <c r="K315" s="7" t="s">
        <v>365</v>
      </c>
      <c r="L315" s="7" t="s">
        <v>623</v>
      </c>
      <c r="M315" s="7" t="s">
        <v>116</v>
      </c>
      <c r="N315" s="7" t="s">
        <v>379</v>
      </c>
      <c r="O315" s="7" t="s">
        <v>764</v>
      </c>
      <c r="P315" s="7" t="s">
        <v>144</v>
      </c>
      <c r="Q315" s="7" t="s">
        <v>329</v>
      </c>
      <c r="R315" s="7" t="s">
        <v>330</v>
      </c>
      <c r="S315" s="7" t="s">
        <v>472</v>
      </c>
      <c r="T315" s="7" t="s">
        <v>356</v>
      </c>
      <c r="U315" s="7" t="s">
        <v>194</v>
      </c>
      <c r="V315" s="7" t="s">
        <v>783</v>
      </c>
      <c r="W315" s="7" t="s">
        <v>334</v>
      </c>
      <c r="X315" s="7" t="s">
        <v>784</v>
      </c>
      <c r="Y315" s="7" t="s">
        <v>785</v>
      </c>
      <c r="Z315" s="7" t="s">
        <v>602</v>
      </c>
      <c r="AA315" s="7" t="s">
        <v>183</v>
      </c>
      <c r="AB315" s="18" t="n">
        <v>1050</v>
      </c>
      <c r="AC315" s="7"/>
      <c r="AD315" s="7"/>
      <c r="AE315" s="7" t="s">
        <v>159</v>
      </c>
    </row>
    <row r="316" customFormat="false" ht="21.75" hidden="false" customHeight="true" outlineLevel="0" collapsed="false">
      <c r="B316" s="15" t="n">
        <v>312</v>
      </c>
      <c r="C316" s="9" t="s">
        <v>45</v>
      </c>
      <c r="D316" s="9" t="s">
        <v>18</v>
      </c>
      <c r="E316" s="9" t="s">
        <v>87</v>
      </c>
      <c r="F316" s="9" t="s">
        <v>64</v>
      </c>
      <c r="G316" s="9" t="s">
        <v>787</v>
      </c>
      <c r="H316" s="9" t="s">
        <v>157</v>
      </c>
      <c r="I316" s="9" t="s">
        <v>158</v>
      </c>
      <c r="J316" s="9" t="s">
        <v>203</v>
      </c>
      <c r="K316" s="9" t="s">
        <v>365</v>
      </c>
      <c r="L316" s="9" t="s">
        <v>623</v>
      </c>
      <c r="M316" s="9" t="s">
        <v>116</v>
      </c>
      <c r="N316" s="9" t="s">
        <v>379</v>
      </c>
      <c r="O316" s="9" t="s">
        <v>764</v>
      </c>
      <c r="P316" s="9" t="s">
        <v>144</v>
      </c>
      <c r="Q316" s="9" t="s">
        <v>329</v>
      </c>
      <c r="R316" s="9" t="s">
        <v>330</v>
      </c>
      <c r="S316" s="9" t="s">
        <v>472</v>
      </c>
      <c r="T316" s="9" t="s">
        <v>356</v>
      </c>
      <c r="U316" s="9" t="s">
        <v>194</v>
      </c>
      <c r="V316" s="9" t="s">
        <v>783</v>
      </c>
      <c r="W316" s="9" t="s">
        <v>334</v>
      </c>
      <c r="X316" s="9" t="s">
        <v>784</v>
      </c>
      <c r="Y316" s="9" t="s">
        <v>785</v>
      </c>
      <c r="Z316" s="9" t="s">
        <v>602</v>
      </c>
      <c r="AA316" s="9" t="s">
        <v>183</v>
      </c>
      <c r="AB316" s="19" t="n">
        <v>1400</v>
      </c>
      <c r="AC316" s="9"/>
      <c r="AD316" s="9"/>
      <c r="AE316" s="9" t="s">
        <v>788</v>
      </c>
    </row>
    <row r="317" customFormat="false" ht="21.75" hidden="false" customHeight="true" outlineLevel="0" collapsed="false">
      <c r="B317" s="14" t="n">
        <v>313</v>
      </c>
      <c r="C317" s="7" t="s">
        <v>45</v>
      </c>
      <c r="D317" s="7" t="s">
        <v>18</v>
      </c>
      <c r="E317" s="7" t="s">
        <v>87</v>
      </c>
      <c r="F317" s="7" t="s">
        <v>64</v>
      </c>
      <c r="G317" s="7" t="s">
        <v>789</v>
      </c>
      <c r="H317" s="7" t="s">
        <v>157</v>
      </c>
      <c r="I317" s="7" t="s">
        <v>158</v>
      </c>
      <c r="J317" s="7" t="s">
        <v>203</v>
      </c>
      <c r="K317" s="7" t="s">
        <v>365</v>
      </c>
      <c r="L317" s="7" t="s">
        <v>623</v>
      </c>
      <c r="M317" s="7" t="s">
        <v>116</v>
      </c>
      <c r="N317" s="7" t="s">
        <v>379</v>
      </c>
      <c r="O317" s="7" t="s">
        <v>764</v>
      </c>
      <c r="P317" s="7" t="s">
        <v>144</v>
      </c>
      <c r="Q317" s="7" t="s">
        <v>329</v>
      </c>
      <c r="R317" s="7" t="s">
        <v>330</v>
      </c>
      <c r="S317" s="7" t="s">
        <v>472</v>
      </c>
      <c r="T317" s="7" t="s">
        <v>356</v>
      </c>
      <c r="U317" s="7" t="s">
        <v>194</v>
      </c>
      <c r="V317" s="7" t="s">
        <v>783</v>
      </c>
      <c r="W317" s="7" t="s">
        <v>334</v>
      </c>
      <c r="X317" s="7" t="s">
        <v>784</v>
      </c>
      <c r="Y317" s="7" t="s">
        <v>785</v>
      </c>
      <c r="Z317" s="7" t="s">
        <v>602</v>
      </c>
      <c r="AA317" s="7" t="s">
        <v>183</v>
      </c>
      <c r="AB317" s="18" t="n">
        <v>2100</v>
      </c>
      <c r="AC317" s="7"/>
      <c r="AD317" s="7"/>
      <c r="AE317" s="7" t="s">
        <v>165</v>
      </c>
    </row>
    <row r="318" customFormat="false" ht="21.75" hidden="false" customHeight="true" outlineLevel="0" collapsed="false">
      <c r="B318" s="15" t="n">
        <v>314</v>
      </c>
      <c r="C318" s="9" t="s">
        <v>45</v>
      </c>
      <c r="D318" s="9" t="s">
        <v>18</v>
      </c>
      <c r="E318" s="9" t="s">
        <v>87</v>
      </c>
      <c r="F318" s="9" t="s">
        <v>64</v>
      </c>
      <c r="G318" s="9" t="s">
        <v>790</v>
      </c>
      <c r="H318" s="9" t="s">
        <v>163</v>
      </c>
      <c r="I318" s="9" t="s">
        <v>164</v>
      </c>
      <c r="J318" s="9" t="s">
        <v>203</v>
      </c>
      <c r="K318" s="9" t="s">
        <v>365</v>
      </c>
      <c r="L318" s="9" t="s">
        <v>623</v>
      </c>
      <c r="M318" s="9" t="s">
        <v>116</v>
      </c>
      <c r="N318" s="9" t="s">
        <v>379</v>
      </c>
      <c r="O318" s="9" t="s">
        <v>764</v>
      </c>
      <c r="P318" s="9" t="s">
        <v>144</v>
      </c>
      <c r="Q318" s="9" t="s">
        <v>329</v>
      </c>
      <c r="R318" s="9" t="s">
        <v>330</v>
      </c>
      <c r="S318" s="9" t="s">
        <v>472</v>
      </c>
      <c r="T318" s="9" t="s">
        <v>356</v>
      </c>
      <c r="U318" s="9" t="s">
        <v>194</v>
      </c>
      <c r="V318" s="9" t="s">
        <v>783</v>
      </c>
      <c r="W318" s="9" t="s">
        <v>334</v>
      </c>
      <c r="X318" s="9" t="s">
        <v>784</v>
      </c>
      <c r="Y318" s="9" t="s">
        <v>785</v>
      </c>
      <c r="Z318" s="9" t="s">
        <v>602</v>
      </c>
      <c r="AA318" s="9" t="s">
        <v>183</v>
      </c>
      <c r="AB318" s="19" t="n">
        <v>3080</v>
      </c>
      <c r="AC318" s="9"/>
      <c r="AD318" s="9"/>
      <c r="AE318" s="9" t="s">
        <v>167</v>
      </c>
    </row>
    <row r="319" customFormat="false" ht="21.75" hidden="false" customHeight="true" outlineLevel="0" collapsed="false">
      <c r="B319" s="14" t="n">
        <v>315</v>
      </c>
      <c r="C319" s="7" t="s">
        <v>45</v>
      </c>
      <c r="D319" s="7" t="s">
        <v>18</v>
      </c>
      <c r="E319" s="7" t="s">
        <v>87</v>
      </c>
      <c r="F319" s="7" t="s">
        <v>65</v>
      </c>
      <c r="G319" s="7" t="s">
        <v>321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18"/>
      <c r="AC319" s="7"/>
      <c r="AD319" s="7"/>
      <c r="AE319" s="7" t="s">
        <v>791</v>
      </c>
    </row>
    <row r="320" customFormat="false" ht="21.75" hidden="false" customHeight="true" outlineLevel="0" collapsed="false">
      <c r="B320" s="15" t="n">
        <v>316</v>
      </c>
      <c r="C320" s="9" t="s">
        <v>45</v>
      </c>
      <c r="D320" s="9" t="s">
        <v>18</v>
      </c>
      <c r="E320" s="9" t="s">
        <v>87</v>
      </c>
      <c r="F320" s="9" t="s">
        <v>66</v>
      </c>
      <c r="G320" s="9" t="s">
        <v>792</v>
      </c>
      <c r="H320" s="9" t="s">
        <v>136</v>
      </c>
      <c r="I320" s="9" t="s">
        <v>137</v>
      </c>
      <c r="J320" s="9" t="s">
        <v>203</v>
      </c>
      <c r="K320" s="9" t="s">
        <v>217</v>
      </c>
      <c r="L320" s="9" t="s">
        <v>218</v>
      </c>
      <c r="M320" s="9" t="s">
        <v>326</v>
      </c>
      <c r="N320" s="9" t="s">
        <v>772</v>
      </c>
      <c r="O320" s="9" t="s">
        <v>764</v>
      </c>
      <c r="P320" s="9" t="s">
        <v>144</v>
      </c>
      <c r="Q320" s="9" t="s">
        <v>329</v>
      </c>
      <c r="R320" s="9" t="s">
        <v>330</v>
      </c>
      <c r="S320" s="9" t="s">
        <v>472</v>
      </c>
      <c r="T320" s="9" t="s">
        <v>223</v>
      </c>
      <c r="U320" s="9" t="s">
        <v>148</v>
      </c>
      <c r="V320" s="9" t="s">
        <v>387</v>
      </c>
      <c r="W320" s="9" t="s">
        <v>334</v>
      </c>
      <c r="X320" s="9" t="s">
        <v>793</v>
      </c>
      <c r="Y320" s="9" t="s">
        <v>400</v>
      </c>
      <c r="Z320" s="9" t="s">
        <v>602</v>
      </c>
      <c r="AA320" s="9" t="s">
        <v>223</v>
      </c>
      <c r="AB320" s="19" t="n">
        <v>140</v>
      </c>
      <c r="AC320" s="9"/>
      <c r="AD320" s="9"/>
      <c r="AE320" s="9" t="s">
        <v>155</v>
      </c>
    </row>
    <row r="321" customFormat="false" ht="21.75" hidden="false" customHeight="true" outlineLevel="0" collapsed="false">
      <c r="B321" s="14" t="n">
        <v>317</v>
      </c>
      <c r="C321" s="7" t="s">
        <v>45</v>
      </c>
      <c r="D321" s="7" t="s">
        <v>18</v>
      </c>
      <c r="E321" s="7" t="s">
        <v>87</v>
      </c>
      <c r="F321" s="7" t="s">
        <v>66</v>
      </c>
      <c r="G321" s="7" t="s">
        <v>794</v>
      </c>
      <c r="H321" s="7" t="s">
        <v>157</v>
      </c>
      <c r="I321" s="7" t="s">
        <v>158</v>
      </c>
      <c r="J321" s="7" t="s">
        <v>203</v>
      </c>
      <c r="K321" s="7" t="s">
        <v>217</v>
      </c>
      <c r="L321" s="7" t="s">
        <v>218</v>
      </c>
      <c r="M321" s="7" t="s">
        <v>326</v>
      </c>
      <c r="N321" s="7" t="s">
        <v>772</v>
      </c>
      <c r="O321" s="7" t="s">
        <v>764</v>
      </c>
      <c r="P321" s="7" t="s">
        <v>144</v>
      </c>
      <c r="Q321" s="7" t="s">
        <v>329</v>
      </c>
      <c r="R321" s="7" t="s">
        <v>330</v>
      </c>
      <c r="S321" s="7" t="s">
        <v>472</v>
      </c>
      <c r="T321" s="7" t="s">
        <v>223</v>
      </c>
      <c r="U321" s="7" t="s">
        <v>148</v>
      </c>
      <c r="V321" s="7" t="s">
        <v>387</v>
      </c>
      <c r="W321" s="7" t="s">
        <v>334</v>
      </c>
      <c r="X321" s="7" t="s">
        <v>793</v>
      </c>
      <c r="Y321" s="7" t="s">
        <v>400</v>
      </c>
      <c r="Z321" s="7" t="s">
        <v>602</v>
      </c>
      <c r="AA321" s="7" t="s">
        <v>223</v>
      </c>
      <c r="AB321" s="18" t="n">
        <v>210</v>
      </c>
      <c r="AC321" s="7"/>
      <c r="AD321" s="7"/>
      <c r="AE321" s="7" t="s">
        <v>159</v>
      </c>
    </row>
    <row r="322" customFormat="false" ht="21.75" hidden="false" customHeight="true" outlineLevel="0" collapsed="false">
      <c r="B322" s="15" t="n">
        <v>318</v>
      </c>
      <c r="C322" s="9" t="s">
        <v>45</v>
      </c>
      <c r="D322" s="9" t="s">
        <v>18</v>
      </c>
      <c r="E322" s="9" t="s">
        <v>87</v>
      </c>
      <c r="F322" s="9" t="s">
        <v>66</v>
      </c>
      <c r="G322" s="9" t="s">
        <v>795</v>
      </c>
      <c r="H322" s="9" t="s">
        <v>157</v>
      </c>
      <c r="I322" s="9" t="s">
        <v>158</v>
      </c>
      <c r="J322" s="9" t="s">
        <v>203</v>
      </c>
      <c r="K322" s="9" t="s">
        <v>217</v>
      </c>
      <c r="L322" s="9" t="s">
        <v>218</v>
      </c>
      <c r="M322" s="9" t="s">
        <v>326</v>
      </c>
      <c r="N322" s="9" t="s">
        <v>772</v>
      </c>
      <c r="O322" s="9" t="s">
        <v>764</v>
      </c>
      <c r="P322" s="9" t="s">
        <v>144</v>
      </c>
      <c r="Q322" s="9" t="s">
        <v>329</v>
      </c>
      <c r="R322" s="9" t="s">
        <v>330</v>
      </c>
      <c r="S322" s="9" t="s">
        <v>472</v>
      </c>
      <c r="T322" s="9" t="s">
        <v>223</v>
      </c>
      <c r="U322" s="9" t="s">
        <v>148</v>
      </c>
      <c r="V322" s="9" t="s">
        <v>387</v>
      </c>
      <c r="W322" s="9" t="s">
        <v>334</v>
      </c>
      <c r="X322" s="9" t="s">
        <v>793</v>
      </c>
      <c r="Y322" s="9" t="s">
        <v>400</v>
      </c>
      <c r="Z322" s="9" t="s">
        <v>602</v>
      </c>
      <c r="AA322" s="9" t="s">
        <v>223</v>
      </c>
      <c r="AB322" s="19" t="n">
        <v>280</v>
      </c>
      <c r="AC322" s="9"/>
      <c r="AD322" s="9"/>
      <c r="AE322" s="9" t="s">
        <v>392</v>
      </c>
    </row>
    <row r="323" customFormat="false" ht="21.75" hidden="false" customHeight="true" outlineLevel="0" collapsed="false">
      <c r="B323" s="14" t="n">
        <v>319</v>
      </c>
      <c r="C323" s="7" t="s">
        <v>45</v>
      </c>
      <c r="D323" s="7" t="s">
        <v>18</v>
      </c>
      <c r="E323" s="7" t="s">
        <v>87</v>
      </c>
      <c r="F323" s="7" t="s">
        <v>66</v>
      </c>
      <c r="G323" s="7" t="s">
        <v>796</v>
      </c>
      <c r="H323" s="7" t="s">
        <v>163</v>
      </c>
      <c r="I323" s="7" t="s">
        <v>164</v>
      </c>
      <c r="J323" s="7" t="s">
        <v>203</v>
      </c>
      <c r="K323" s="7" t="s">
        <v>217</v>
      </c>
      <c r="L323" s="7" t="s">
        <v>218</v>
      </c>
      <c r="M323" s="7" t="s">
        <v>326</v>
      </c>
      <c r="N323" s="7" t="s">
        <v>772</v>
      </c>
      <c r="O323" s="7" t="s">
        <v>764</v>
      </c>
      <c r="P323" s="7" t="s">
        <v>144</v>
      </c>
      <c r="Q323" s="7" t="s">
        <v>329</v>
      </c>
      <c r="R323" s="7" t="s">
        <v>330</v>
      </c>
      <c r="S323" s="7" t="s">
        <v>472</v>
      </c>
      <c r="T323" s="7" t="s">
        <v>223</v>
      </c>
      <c r="U323" s="7" t="s">
        <v>148</v>
      </c>
      <c r="V323" s="7" t="s">
        <v>387</v>
      </c>
      <c r="W323" s="7" t="s">
        <v>334</v>
      </c>
      <c r="X323" s="7" t="s">
        <v>793</v>
      </c>
      <c r="Y323" s="7" t="s">
        <v>400</v>
      </c>
      <c r="Z323" s="7" t="s">
        <v>602</v>
      </c>
      <c r="AA323" s="7" t="s">
        <v>223</v>
      </c>
      <c r="AB323" s="18" t="n">
        <v>420</v>
      </c>
      <c r="AC323" s="7"/>
      <c r="AD323" s="7"/>
      <c r="AE323" s="7" t="s">
        <v>165</v>
      </c>
    </row>
    <row r="324" customFormat="false" ht="21.75" hidden="false" customHeight="true" outlineLevel="0" collapsed="false">
      <c r="B324" s="15" t="n">
        <v>320</v>
      </c>
      <c r="C324" s="9" t="s">
        <v>45</v>
      </c>
      <c r="D324" s="9" t="s">
        <v>18</v>
      </c>
      <c r="E324" s="9" t="s">
        <v>87</v>
      </c>
      <c r="F324" s="9" t="s">
        <v>66</v>
      </c>
      <c r="G324" s="9" t="s">
        <v>770</v>
      </c>
      <c r="H324" s="9" t="s">
        <v>163</v>
      </c>
      <c r="I324" s="9" t="s">
        <v>164</v>
      </c>
      <c r="J324" s="9" t="s">
        <v>203</v>
      </c>
      <c r="K324" s="9" t="s">
        <v>217</v>
      </c>
      <c r="L324" s="9" t="s">
        <v>218</v>
      </c>
      <c r="M324" s="9" t="s">
        <v>326</v>
      </c>
      <c r="N324" s="9" t="s">
        <v>772</v>
      </c>
      <c r="O324" s="9" t="s">
        <v>764</v>
      </c>
      <c r="P324" s="9" t="s">
        <v>144</v>
      </c>
      <c r="Q324" s="9" t="s">
        <v>329</v>
      </c>
      <c r="R324" s="9" t="s">
        <v>330</v>
      </c>
      <c r="S324" s="9" t="s">
        <v>472</v>
      </c>
      <c r="T324" s="9" t="s">
        <v>223</v>
      </c>
      <c r="U324" s="9" t="s">
        <v>148</v>
      </c>
      <c r="V324" s="9" t="s">
        <v>387</v>
      </c>
      <c r="W324" s="9" t="s">
        <v>334</v>
      </c>
      <c r="X324" s="9" t="s">
        <v>793</v>
      </c>
      <c r="Y324" s="9" t="s">
        <v>400</v>
      </c>
      <c r="Z324" s="9" t="s">
        <v>602</v>
      </c>
      <c r="AA324" s="9" t="s">
        <v>223</v>
      </c>
      <c r="AB324" s="19" t="n">
        <v>615</v>
      </c>
      <c r="AC324" s="9"/>
      <c r="AD324" s="9"/>
      <c r="AE324" s="9" t="s">
        <v>167</v>
      </c>
    </row>
    <row r="325" customFormat="false" ht="21.75" hidden="false" customHeight="true" outlineLevel="0" collapsed="false">
      <c r="B325" s="14" t="n">
        <v>321</v>
      </c>
      <c r="C325" s="7" t="s">
        <v>45</v>
      </c>
      <c r="D325" s="7" t="s">
        <v>18</v>
      </c>
      <c r="E325" s="7" t="s">
        <v>87</v>
      </c>
      <c r="F325" s="7" t="s">
        <v>67</v>
      </c>
      <c r="G325" s="7" t="s">
        <v>321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18"/>
      <c r="AC325" s="7"/>
      <c r="AD325" s="7"/>
      <c r="AE325" s="7" t="s">
        <v>797</v>
      </c>
    </row>
    <row r="326" customFormat="false" ht="21.75" hidden="false" customHeight="true" outlineLevel="0" collapsed="false">
      <c r="B326" s="15" t="n">
        <v>322</v>
      </c>
      <c r="C326" s="9" t="s">
        <v>45</v>
      </c>
      <c r="D326" s="9" t="s">
        <v>18</v>
      </c>
      <c r="E326" s="9" t="s">
        <v>87</v>
      </c>
      <c r="F326" s="9" t="s">
        <v>68</v>
      </c>
      <c r="G326" s="9" t="s">
        <v>321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9"/>
      <c r="AC326" s="9"/>
      <c r="AD326" s="9"/>
      <c r="AE326" s="9" t="s">
        <v>798</v>
      </c>
    </row>
    <row r="327" customFormat="false" ht="21.75" hidden="false" customHeight="true" outlineLevel="0" collapsed="false">
      <c r="B327" s="14" t="n">
        <v>323</v>
      </c>
      <c r="C327" s="7" t="s">
        <v>45</v>
      </c>
      <c r="D327" s="7" t="s">
        <v>18</v>
      </c>
      <c r="E327" s="7" t="s">
        <v>87</v>
      </c>
      <c r="F327" s="7" t="s">
        <v>69</v>
      </c>
      <c r="G327" s="7" t="s">
        <v>321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18"/>
      <c r="AC327" s="7"/>
      <c r="AD327" s="7"/>
      <c r="AE327" s="7" t="s">
        <v>799</v>
      </c>
    </row>
    <row r="328" customFormat="false" ht="21.75" hidden="false" customHeight="true" outlineLevel="0" collapsed="false">
      <c r="B328" s="15" t="n">
        <v>324</v>
      </c>
      <c r="C328" s="9" t="s">
        <v>45</v>
      </c>
      <c r="D328" s="9" t="s">
        <v>18</v>
      </c>
      <c r="E328" s="9" t="s">
        <v>87</v>
      </c>
      <c r="F328" s="9" t="s">
        <v>70</v>
      </c>
      <c r="G328" s="9" t="s">
        <v>321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9"/>
      <c r="AC328" s="9"/>
      <c r="AD328" s="9"/>
      <c r="AE328" s="9" t="s">
        <v>800</v>
      </c>
    </row>
    <row r="329" customFormat="false" ht="21.75" hidden="false" customHeight="true" outlineLevel="0" collapsed="false">
      <c r="B329" s="14" t="n">
        <v>325</v>
      </c>
      <c r="C329" s="7" t="s">
        <v>45</v>
      </c>
      <c r="D329" s="7" t="s">
        <v>18</v>
      </c>
      <c r="E329" s="7" t="s">
        <v>87</v>
      </c>
      <c r="F329" s="7" t="s">
        <v>71</v>
      </c>
      <c r="G329" s="7" t="s">
        <v>321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18"/>
      <c r="AC329" s="7"/>
      <c r="AD329" s="7"/>
      <c r="AE329" s="7" t="s">
        <v>801</v>
      </c>
    </row>
    <row r="330" customFormat="false" ht="21.75" hidden="false" customHeight="true" outlineLevel="0" collapsed="false">
      <c r="B330" s="15" t="n">
        <v>326</v>
      </c>
      <c r="C330" s="9" t="s">
        <v>45</v>
      </c>
      <c r="D330" s="9" t="s">
        <v>18</v>
      </c>
      <c r="E330" s="9" t="s">
        <v>87</v>
      </c>
      <c r="F330" s="9" t="s">
        <v>72</v>
      </c>
      <c r="G330" s="9" t="s">
        <v>321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9"/>
      <c r="AC330" s="9"/>
      <c r="AD330" s="9"/>
      <c r="AE330" s="9" t="s">
        <v>802</v>
      </c>
    </row>
    <row r="331" customFormat="false" ht="21.75" hidden="false" customHeight="true" outlineLevel="0" collapsed="false">
      <c r="B331" s="14" t="n">
        <v>327</v>
      </c>
      <c r="C331" s="7" t="s">
        <v>45</v>
      </c>
      <c r="D331" s="7" t="s">
        <v>18</v>
      </c>
      <c r="E331" s="7" t="s">
        <v>87</v>
      </c>
      <c r="F331" s="7" t="s">
        <v>73</v>
      </c>
      <c r="G331" s="7" t="s">
        <v>770</v>
      </c>
      <c r="H331" s="7" t="s">
        <v>136</v>
      </c>
      <c r="I331" s="7" t="s">
        <v>137</v>
      </c>
      <c r="J331" s="7" t="s">
        <v>203</v>
      </c>
      <c r="K331" s="7" t="s">
        <v>481</v>
      </c>
      <c r="L331" s="7" t="s">
        <v>354</v>
      </c>
      <c r="M331" s="7" t="s">
        <v>326</v>
      </c>
      <c r="N331" s="7" t="s">
        <v>803</v>
      </c>
      <c r="O331" s="7" t="s">
        <v>764</v>
      </c>
      <c r="P331" s="7" t="s">
        <v>144</v>
      </c>
      <c r="Q331" s="7" t="s">
        <v>329</v>
      </c>
      <c r="R331" s="7" t="s">
        <v>330</v>
      </c>
      <c r="S331" s="7" t="s">
        <v>472</v>
      </c>
      <c r="T331" s="7" t="s">
        <v>356</v>
      </c>
      <c r="U331" s="7" t="s">
        <v>148</v>
      </c>
      <c r="V331" s="7" t="s">
        <v>344</v>
      </c>
      <c r="W331" s="7" t="s">
        <v>334</v>
      </c>
      <c r="X331" s="7" t="s">
        <v>778</v>
      </c>
      <c r="Y331" s="7" t="s">
        <v>237</v>
      </c>
      <c r="Z331" s="7" t="s">
        <v>602</v>
      </c>
      <c r="AA331" s="7" t="s">
        <v>183</v>
      </c>
      <c r="AB331" s="18" t="n">
        <v>165</v>
      </c>
      <c r="AC331" s="7"/>
      <c r="AD331" s="7"/>
      <c r="AE331" s="7" t="s">
        <v>155</v>
      </c>
    </row>
    <row r="332" customFormat="false" ht="21.75" hidden="false" customHeight="true" outlineLevel="0" collapsed="false">
      <c r="B332" s="15" t="n">
        <v>328</v>
      </c>
      <c r="C332" s="9" t="s">
        <v>45</v>
      </c>
      <c r="D332" s="9" t="s">
        <v>18</v>
      </c>
      <c r="E332" s="9" t="s">
        <v>87</v>
      </c>
      <c r="F332" s="9" t="s">
        <v>73</v>
      </c>
      <c r="G332" s="9" t="s">
        <v>780</v>
      </c>
      <c r="H332" s="9" t="s">
        <v>157</v>
      </c>
      <c r="I332" s="9" t="s">
        <v>158</v>
      </c>
      <c r="J332" s="9" t="s">
        <v>203</v>
      </c>
      <c r="K332" s="9" t="s">
        <v>481</v>
      </c>
      <c r="L332" s="9" t="s">
        <v>354</v>
      </c>
      <c r="M332" s="9" t="s">
        <v>326</v>
      </c>
      <c r="N332" s="9" t="s">
        <v>803</v>
      </c>
      <c r="O332" s="9" t="s">
        <v>764</v>
      </c>
      <c r="P332" s="9" t="s">
        <v>144</v>
      </c>
      <c r="Q332" s="9" t="s">
        <v>329</v>
      </c>
      <c r="R332" s="9" t="s">
        <v>330</v>
      </c>
      <c r="S332" s="9" t="s">
        <v>472</v>
      </c>
      <c r="T332" s="9" t="s">
        <v>356</v>
      </c>
      <c r="U332" s="9" t="s">
        <v>148</v>
      </c>
      <c r="V332" s="9" t="s">
        <v>344</v>
      </c>
      <c r="W332" s="9" t="s">
        <v>334</v>
      </c>
      <c r="X332" s="9" t="s">
        <v>778</v>
      </c>
      <c r="Y332" s="9" t="s">
        <v>237</v>
      </c>
      <c r="Z332" s="9" t="s">
        <v>602</v>
      </c>
      <c r="AA332" s="9" t="s">
        <v>183</v>
      </c>
      <c r="AB332" s="19" t="n">
        <v>250</v>
      </c>
      <c r="AC332" s="9"/>
      <c r="AD332" s="9"/>
      <c r="AE332" s="9" t="s">
        <v>159</v>
      </c>
    </row>
    <row r="333" customFormat="false" ht="21.75" hidden="false" customHeight="true" outlineLevel="0" collapsed="false">
      <c r="B333" s="14" t="n">
        <v>329</v>
      </c>
      <c r="C333" s="7" t="s">
        <v>45</v>
      </c>
      <c r="D333" s="7" t="s">
        <v>18</v>
      </c>
      <c r="E333" s="7" t="s">
        <v>87</v>
      </c>
      <c r="F333" s="7" t="s">
        <v>73</v>
      </c>
      <c r="G333" s="7" t="s">
        <v>804</v>
      </c>
      <c r="H333" s="7" t="s">
        <v>157</v>
      </c>
      <c r="I333" s="7" t="s">
        <v>158</v>
      </c>
      <c r="J333" s="7" t="s">
        <v>203</v>
      </c>
      <c r="K333" s="7" t="s">
        <v>481</v>
      </c>
      <c r="L333" s="7" t="s">
        <v>354</v>
      </c>
      <c r="M333" s="7" t="s">
        <v>326</v>
      </c>
      <c r="N333" s="7" t="s">
        <v>803</v>
      </c>
      <c r="O333" s="7" t="s">
        <v>764</v>
      </c>
      <c r="P333" s="7" t="s">
        <v>144</v>
      </c>
      <c r="Q333" s="7" t="s">
        <v>329</v>
      </c>
      <c r="R333" s="7" t="s">
        <v>330</v>
      </c>
      <c r="S333" s="7" t="s">
        <v>472</v>
      </c>
      <c r="T333" s="7" t="s">
        <v>356</v>
      </c>
      <c r="U333" s="7" t="s">
        <v>148</v>
      </c>
      <c r="V333" s="7" t="s">
        <v>344</v>
      </c>
      <c r="W333" s="7" t="s">
        <v>334</v>
      </c>
      <c r="X333" s="7" t="s">
        <v>778</v>
      </c>
      <c r="Y333" s="7" t="s">
        <v>237</v>
      </c>
      <c r="Z333" s="7" t="s">
        <v>602</v>
      </c>
      <c r="AA333" s="7" t="s">
        <v>183</v>
      </c>
      <c r="AB333" s="18" t="n">
        <v>330</v>
      </c>
      <c r="AC333" s="7"/>
      <c r="AD333" s="7"/>
      <c r="AE333" s="7" t="s">
        <v>805</v>
      </c>
    </row>
    <row r="334" customFormat="false" ht="21.75" hidden="false" customHeight="true" outlineLevel="0" collapsed="false">
      <c r="B334" s="15" t="n">
        <v>330</v>
      </c>
      <c r="C334" s="9" t="s">
        <v>45</v>
      </c>
      <c r="D334" s="9" t="s">
        <v>18</v>
      </c>
      <c r="E334" s="9" t="s">
        <v>87</v>
      </c>
      <c r="F334" s="9" t="s">
        <v>73</v>
      </c>
      <c r="G334" s="9" t="s">
        <v>806</v>
      </c>
      <c r="H334" s="9" t="s">
        <v>163</v>
      </c>
      <c r="I334" s="9" t="s">
        <v>164</v>
      </c>
      <c r="J334" s="9" t="s">
        <v>203</v>
      </c>
      <c r="K334" s="9" t="s">
        <v>481</v>
      </c>
      <c r="L334" s="9" t="s">
        <v>354</v>
      </c>
      <c r="M334" s="9" t="s">
        <v>326</v>
      </c>
      <c r="N334" s="9" t="s">
        <v>803</v>
      </c>
      <c r="O334" s="9" t="s">
        <v>764</v>
      </c>
      <c r="P334" s="9" t="s">
        <v>144</v>
      </c>
      <c r="Q334" s="9" t="s">
        <v>329</v>
      </c>
      <c r="R334" s="9" t="s">
        <v>330</v>
      </c>
      <c r="S334" s="9" t="s">
        <v>472</v>
      </c>
      <c r="T334" s="9" t="s">
        <v>356</v>
      </c>
      <c r="U334" s="9" t="s">
        <v>148</v>
      </c>
      <c r="V334" s="9" t="s">
        <v>344</v>
      </c>
      <c r="W334" s="9" t="s">
        <v>334</v>
      </c>
      <c r="X334" s="9" t="s">
        <v>778</v>
      </c>
      <c r="Y334" s="9" t="s">
        <v>237</v>
      </c>
      <c r="Z334" s="9" t="s">
        <v>602</v>
      </c>
      <c r="AA334" s="9" t="s">
        <v>183</v>
      </c>
      <c r="AB334" s="19" t="n">
        <v>495</v>
      </c>
      <c r="AC334" s="9"/>
      <c r="AD334" s="9"/>
      <c r="AE334" s="9" t="s">
        <v>165</v>
      </c>
    </row>
    <row r="335" customFormat="false" ht="21.75" hidden="false" customHeight="true" outlineLevel="0" collapsed="false">
      <c r="B335" s="14" t="n">
        <v>331</v>
      </c>
      <c r="C335" s="7" t="s">
        <v>45</v>
      </c>
      <c r="D335" s="7" t="s">
        <v>18</v>
      </c>
      <c r="E335" s="7" t="s">
        <v>87</v>
      </c>
      <c r="F335" s="7" t="s">
        <v>73</v>
      </c>
      <c r="G335" s="7" t="s">
        <v>807</v>
      </c>
      <c r="H335" s="7" t="s">
        <v>163</v>
      </c>
      <c r="I335" s="7" t="s">
        <v>164</v>
      </c>
      <c r="J335" s="7" t="s">
        <v>203</v>
      </c>
      <c r="K335" s="7" t="s">
        <v>481</v>
      </c>
      <c r="L335" s="7" t="s">
        <v>354</v>
      </c>
      <c r="M335" s="7" t="s">
        <v>326</v>
      </c>
      <c r="N335" s="7" t="s">
        <v>803</v>
      </c>
      <c r="O335" s="7" t="s">
        <v>764</v>
      </c>
      <c r="P335" s="7" t="s">
        <v>144</v>
      </c>
      <c r="Q335" s="7" t="s">
        <v>329</v>
      </c>
      <c r="R335" s="7" t="s">
        <v>330</v>
      </c>
      <c r="S335" s="7" t="s">
        <v>472</v>
      </c>
      <c r="T335" s="7" t="s">
        <v>356</v>
      </c>
      <c r="U335" s="7" t="s">
        <v>148</v>
      </c>
      <c r="V335" s="7" t="s">
        <v>344</v>
      </c>
      <c r="W335" s="7" t="s">
        <v>334</v>
      </c>
      <c r="X335" s="7" t="s">
        <v>778</v>
      </c>
      <c r="Y335" s="7" t="s">
        <v>237</v>
      </c>
      <c r="Z335" s="7" t="s">
        <v>602</v>
      </c>
      <c r="AA335" s="7" t="s">
        <v>183</v>
      </c>
      <c r="AB335" s="18" t="n">
        <v>725</v>
      </c>
      <c r="AC335" s="7"/>
      <c r="AD335" s="7"/>
      <c r="AE335" s="7" t="s">
        <v>167</v>
      </c>
    </row>
    <row r="336" customFormat="false" ht="21.75" hidden="false" customHeight="true" outlineLevel="0" collapsed="false">
      <c r="B336" s="15" t="n">
        <v>332</v>
      </c>
      <c r="C336" s="9" t="s">
        <v>45</v>
      </c>
      <c r="D336" s="9" t="s">
        <v>18</v>
      </c>
      <c r="E336" s="9" t="s">
        <v>87</v>
      </c>
      <c r="F336" s="9" t="s">
        <v>74</v>
      </c>
      <c r="G336" s="9" t="s">
        <v>808</v>
      </c>
      <c r="H336" s="9" t="s">
        <v>136</v>
      </c>
      <c r="I336" s="9" t="s">
        <v>137</v>
      </c>
      <c r="J336" s="9" t="s">
        <v>449</v>
      </c>
      <c r="K336" s="9" t="s">
        <v>809</v>
      </c>
      <c r="L336" s="9" t="s">
        <v>451</v>
      </c>
      <c r="M336" s="9" t="s">
        <v>281</v>
      </c>
      <c r="N336" s="9" t="s">
        <v>810</v>
      </c>
      <c r="O336" s="9" t="s">
        <v>453</v>
      </c>
      <c r="P336" s="9" t="s">
        <v>811</v>
      </c>
      <c r="Q336" s="9" t="s">
        <v>455</v>
      </c>
      <c r="R336" s="9" t="s">
        <v>281</v>
      </c>
      <c r="S336" s="9" t="s">
        <v>812</v>
      </c>
      <c r="T336" s="9" t="s">
        <v>223</v>
      </c>
      <c r="U336" s="9" t="s">
        <v>588</v>
      </c>
      <c r="V336" s="9" t="s">
        <v>220</v>
      </c>
      <c r="W336" s="9" t="s">
        <v>458</v>
      </c>
      <c r="X336" s="9" t="s">
        <v>813</v>
      </c>
      <c r="Y336" s="9" t="s">
        <v>814</v>
      </c>
      <c r="Z336" s="9" t="s">
        <v>461</v>
      </c>
      <c r="AA336" s="9" t="s">
        <v>223</v>
      </c>
      <c r="AB336" s="19" t="n">
        <v>65</v>
      </c>
      <c r="AC336" s="9"/>
      <c r="AD336" s="9"/>
      <c r="AE336" s="9" t="s">
        <v>155</v>
      </c>
    </row>
    <row r="337" customFormat="false" ht="21.75" hidden="false" customHeight="true" outlineLevel="0" collapsed="false">
      <c r="B337" s="14" t="n">
        <v>333</v>
      </c>
      <c r="C337" s="7" t="s">
        <v>45</v>
      </c>
      <c r="D337" s="7" t="s">
        <v>18</v>
      </c>
      <c r="E337" s="7" t="s">
        <v>87</v>
      </c>
      <c r="F337" s="7" t="s">
        <v>74</v>
      </c>
      <c r="G337" s="7" t="s">
        <v>815</v>
      </c>
      <c r="H337" s="7" t="s">
        <v>136</v>
      </c>
      <c r="I337" s="7" t="s">
        <v>137</v>
      </c>
      <c r="J337" s="7" t="s">
        <v>449</v>
      </c>
      <c r="K337" s="7" t="s">
        <v>809</v>
      </c>
      <c r="L337" s="7" t="s">
        <v>451</v>
      </c>
      <c r="M337" s="7" t="s">
        <v>281</v>
      </c>
      <c r="N337" s="7" t="s">
        <v>810</v>
      </c>
      <c r="O337" s="7" t="s">
        <v>453</v>
      </c>
      <c r="P337" s="7" t="s">
        <v>811</v>
      </c>
      <c r="Q337" s="7" t="s">
        <v>455</v>
      </c>
      <c r="R337" s="7" t="s">
        <v>281</v>
      </c>
      <c r="S337" s="7" t="s">
        <v>812</v>
      </c>
      <c r="T337" s="7" t="s">
        <v>223</v>
      </c>
      <c r="U337" s="7" t="s">
        <v>588</v>
      </c>
      <c r="V337" s="7" t="s">
        <v>220</v>
      </c>
      <c r="W337" s="7" t="s">
        <v>458</v>
      </c>
      <c r="X337" s="7" t="s">
        <v>813</v>
      </c>
      <c r="Y337" s="7" t="s">
        <v>814</v>
      </c>
      <c r="Z337" s="7" t="s">
        <v>461</v>
      </c>
      <c r="AA337" s="7" t="s">
        <v>223</v>
      </c>
      <c r="AB337" s="18" t="n">
        <v>95</v>
      </c>
      <c r="AC337" s="7"/>
      <c r="AD337" s="7"/>
      <c r="AE337" s="7" t="s">
        <v>159</v>
      </c>
    </row>
    <row r="338" customFormat="false" ht="21.75" hidden="false" customHeight="true" outlineLevel="0" collapsed="false">
      <c r="B338" s="15" t="n">
        <v>334</v>
      </c>
      <c r="C338" s="9" t="s">
        <v>45</v>
      </c>
      <c r="D338" s="9" t="s">
        <v>18</v>
      </c>
      <c r="E338" s="9" t="s">
        <v>87</v>
      </c>
      <c r="F338" s="9" t="s">
        <v>74</v>
      </c>
      <c r="G338" s="9" t="s">
        <v>816</v>
      </c>
      <c r="H338" s="9" t="s">
        <v>157</v>
      </c>
      <c r="I338" s="9" t="s">
        <v>158</v>
      </c>
      <c r="J338" s="9" t="s">
        <v>449</v>
      </c>
      <c r="K338" s="9" t="s">
        <v>809</v>
      </c>
      <c r="L338" s="9" t="s">
        <v>451</v>
      </c>
      <c r="M338" s="9" t="s">
        <v>281</v>
      </c>
      <c r="N338" s="9" t="s">
        <v>810</v>
      </c>
      <c r="O338" s="9" t="s">
        <v>453</v>
      </c>
      <c r="P338" s="9" t="s">
        <v>811</v>
      </c>
      <c r="Q338" s="9" t="s">
        <v>455</v>
      </c>
      <c r="R338" s="9" t="s">
        <v>281</v>
      </c>
      <c r="S338" s="9" t="s">
        <v>812</v>
      </c>
      <c r="T338" s="9" t="s">
        <v>223</v>
      </c>
      <c r="U338" s="9" t="s">
        <v>588</v>
      </c>
      <c r="V338" s="9" t="s">
        <v>220</v>
      </c>
      <c r="W338" s="9" t="s">
        <v>458</v>
      </c>
      <c r="X338" s="9" t="s">
        <v>813</v>
      </c>
      <c r="Y338" s="9" t="s">
        <v>814</v>
      </c>
      <c r="Z338" s="9" t="s">
        <v>461</v>
      </c>
      <c r="AA338" s="9" t="s">
        <v>223</v>
      </c>
      <c r="AB338" s="19" t="n">
        <v>130</v>
      </c>
      <c r="AC338" s="9"/>
      <c r="AD338" s="9"/>
      <c r="AE338" s="9" t="s">
        <v>817</v>
      </c>
    </row>
    <row r="339" customFormat="false" ht="21.75" hidden="false" customHeight="true" outlineLevel="0" collapsed="false">
      <c r="B339" s="14" t="n">
        <v>335</v>
      </c>
      <c r="C339" s="7" t="s">
        <v>45</v>
      </c>
      <c r="D339" s="7" t="s">
        <v>18</v>
      </c>
      <c r="E339" s="7" t="s">
        <v>87</v>
      </c>
      <c r="F339" s="7" t="s">
        <v>74</v>
      </c>
      <c r="G339" s="7" t="s">
        <v>818</v>
      </c>
      <c r="H339" s="7" t="s">
        <v>157</v>
      </c>
      <c r="I339" s="7" t="s">
        <v>158</v>
      </c>
      <c r="J339" s="7" t="s">
        <v>449</v>
      </c>
      <c r="K339" s="7" t="s">
        <v>809</v>
      </c>
      <c r="L339" s="7" t="s">
        <v>451</v>
      </c>
      <c r="M339" s="7" t="s">
        <v>281</v>
      </c>
      <c r="N339" s="7" t="s">
        <v>810</v>
      </c>
      <c r="O339" s="7" t="s">
        <v>453</v>
      </c>
      <c r="P339" s="7" t="s">
        <v>811</v>
      </c>
      <c r="Q339" s="7" t="s">
        <v>455</v>
      </c>
      <c r="R339" s="7" t="s">
        <v>281</v>
      </c>
      <c r="S339" s="7" t="s">
        <v>812</v>
      </c>
      <c r="T339" s="7" t="s">
        <v>223</v>
      </c>
      <c r="U339" s="7" t="s">
        <v>588</v>
      </c>
      <c r="V339" s="7" t="s">
        <v>220</v>
      </c>
      <c r="W339" s="7" t="s">
        <v>458</v>
      </c>
      <c r="X339" s="7" t="s">
        <v>813</v>
      </c>
      <c r="Y339" s="7" t="s">
        <v>814</v>
      </c>
      <c r="Z339" s="7" t="s">
        <v>461</v>
      </c>
      <c r="AA339" s="7" t="s">
        <v>223</v>
      </c>
      <c r="AB339" s="18" t="n">
        <v>195</v>
      </c>
      <c r="AC339" s="7"/>
      <c r="AD339" s="7"/>
      <c r="AE339" s="7" t="s">
        <v>165</v>
      </c>
    </row>
    <row r="340" customFormat="false" ht="21.75" hidden="false" customHeight="true" outlineLevel="0" collapsed="false">
      <c r="B340" s="15" t="n">
        <v>336</v>
      </c>
      <c r="C340" s="9" t="s">
        <v>45</v>
      </c>
      <c r="D340" s="9" t="s">
        <v>18</v>
      </c>
      <c r="E340" s="9" t="s">
        <v>87</v>
      </c>
      <c r="F340" s="9" t="s">
        <v>74</v>
      </c>
      <c r="G340" s="9" t="s">
        <v>819</v>
      </c>
      <c r="H340" s="9" t="s">
        <v>163</v>
      </c>
      <c r="I340" s="9" t="s">
        <v>164</v>
      </c>
      <c r="J340" s="9" t="s">
        <v>449</v>
      </c>
      <c r="K340" s="9" t="s">
        <v>809</v>
      </c>
      <c r="L340" s="9" t="s">
        <v>451</v>
      </c>
      <c r="M340" s="9" t="s">
        <v>281</v>
      </c>
      <c r="N340" s="9" t="s">
        <v>810</v>
      </c>
      <c r="O340" s="9" t="s">
        <v>453</v>
      </c>
      <c r="P340" s="9" t="s">
        <v>811</v>
      </c>
      <c r="Q340" s="9" t="s">
        <v>455</v>
      </c>
      <c r="R340" s="9" t="s">
        <v>281</v>
      </c>
      <c r="S340" s="9" t="s">
        <v>812</v>
      </c>
      <c r="T340" s="9" t="s">
        <v>223</v>
      </c>
      <c r="U340" s="9" t="s">
        <v>588</v>
      </c>
      <c r="V340" s="9" t="s">
        <v>220</v>
      </c>
      <c r="W340" s="9" t="s">
        <v>458</v>
      </c>
      <c r="X340" s="9" t="s">
        <v>813</v>
      </c>
      <c r="Y340" s="9" t="s">
        <v>814</v>
      </c>
      <c r="Z340" s="9" t="s">
        <v>461</v>
      </c>
      <c r="AA340" s="9" t="s">
        <v>223</v>
      </c>
      <c r="AB340" s="19" t="n">
        <v>285</v>
      </c>
      <c r="AC340" s="9"/>
      <c r="AD340" s="9"/>
      <c r="AE340" s="9" t="s">
        <v>167</v>
      </c>
    </row>
    <row r="341" customFormat="false" ht="21.75" hidden="false" customHeight="true" outlineLevel="0" collapsed="false">
      <c r="B341" s="14" t="n">
        <v>337</v>
      </c>
      <c r="C341" s="7" t="s">
        <v>46</v>
      </c>
      <c r="D341" s="7" t="s">
        <v>18</v>
      </c>
      <c r="E341" s="7" t="s">
        <v>84</v>
      </c>
      <c r="F341" s="7" t="s">
        <v>61</v>
      </c>
      <c r="G341" s="7" t="s">
        <v>820</v>
      </c>
      <c r="H341" s="7" t="s">
        <v>136</v>
      </c>
      <c r="I341" s="7" t="s">
        <v>137</v>
      </c>
      <c r="J341" s="7" t="s">
        <v>396</v>
      </c>
      <c r="K341" s="7" t="s">
        <v>821</v>
      </c>
      <c r="L341" s="7" t="s">
        <v>281</v>
      </c>
      <c r="M341" s="7" t="s">
        <v>116</v>
      </c>
      <c r="N341" s="7" t="s">
        <v>822</v>
      </c>
      <c r="O341" s="7" t="s">
        <v>823</v>
      </c>
      <c r="P341" s="7" t="s">
        <v>824</v>
      </c>
      <c r="Q341" s="7" t="s">
        <v>825</v>
      </c>
      <c r="R341" s="7" t="s">
        <v>826</v>
      </c>
      <c r="S341" s="7" t="s">
        <v>827</v>
      </c>
      <c r="T341" s="7" t="s">
        <v>828</v>
      </c>
      <c r="U341" s="7" t="s">
        <v>148</v>
      </c>
      <c r="V341" s="7" t="s">
        <v>473</v>
      </c>
      <c r="W341" s="7" t="s">
        <v>682</v>
      </c>
      <c r="X341" s="7" t="s">
        <v>829</v>
      </c>
      <c r="Y341" s="7" t="s">
        <v>830</v>
      </c>
      <c r="Z341" s="7" t="s">
        <v>831</v>
      </c>
      <c r="AA341" s="7" t="s">
        <v>223</v>
      </c>
      <c r="AB341" s="18" t="n">
        <v>495</v>
      </c>
      <c r="AC341" s="7"/>
      <c r="AD341" s="7"/>
      <c r="AE341" s="7" t="s">
        <v>155</v>
      </c>
    </row>
    <row r="342" customFormat="false" ht="21.75" hidden="false" customHeight="true" outlineLevel="0" collapsed="false">
      <c r="B342" s="15" t="n">
        <v>338</v>
      </c>
      <c r="C342" s="9" t="s">
        <v>46</v>
      </c>
      <c r="D342" s="9" t="s">
        <v>18</v>
      </c>
      <c r="E342" s="9" t="s">
        <v>84</v>
      </c>
      <c r="F342" s="9" t="s">
        <v>61</v>
      </c>
      <c r="G342" s="9" t="s">
        <v>832</v>
      </c>
      <c r="H342" s="9" t="s">
        <v>157</v>
      </c>
      <c r="I342" s="9" t="s">
        <v>158</v>
      </c>
      <c r="J342" s="9" t="s">
        <v>396</v>
      </c>
      <c r="K342" s="9" t="s">
        <v>821</v>
      </c>
      <c r="L342" s="9" t="s">
        <v>281</v>
      </c>
      <c r="M342" s="9" t="s">
        <v>116</v>
      </c>
      <c r="N342" s="9" t="s">
        <v>822</v>
      </c>
      <c r="O342" s="9" t="s">
        <v>823</v>
      </c>
      <c r="P342" s="9" t="s">
        <v>824</v>
      </c>
      <c r="Q342" s="9" t="s">
        <v>825</v>
      </c>
      <c r="R342" s="9" t="s">
        <v>826</v>
      </c>
      <c r="S342" s="9" t="s">
        <v>827</v>
      </c>
      <c r="T342" s="9" t="s">
        <v>828</v>
      </c>
      <c r="U342" s="9" t="s">
        <v>148</v>
      </c>
      <c r="V342" s="9" t="s">
        <v>473</v>
      </c>
      <c r="W342" s="9" t="s">
        <v>682</v>
      </c>
      <c r="X342" s="9" t="s">
        <v>829</v>
      </c>
      <c r="Y342" s="9" t="s">
        <v>830</v>
      </c>
      <c r="Z342" s="9" t="s">
        <v>831</v>
      </c>
      <c r="AA342" s="9" t="s">
        <v>223</v>
      </c>
      <c r="AB342" s="19" t="n">
        <v>740</v>
      </c>
      <c r="AC342" s="9"/>
      <c r="AD342" s="9"/>
      <c r="AE342" s="9" t="s">
        <v>159</v>
      </c>
    </row>
    <row r="343" customFormat="false" ht="21.75" hidden="false" customHeight="true" outlineLevel="0" collapsed="false">
      <c r="B343" s="14" t="n">
        <v>339</v>
      </c>
      <c r="C343" s="7" t="s">
        <v>46</v>
      </c>
      <c r="D343" s="7" t="s">
        <v>18</v>
      </c>
      <c r="E343" s="7" t="s">
        <v>84</v>
      </c>
      <c r="F343" s="7" t="s">
        <v>61</v>
      </c>
      <c r="G343" s="7" t="s">
        <v>833</v>
      </c>
      <c r="H343" s="7" t="s">
        <v>157</v>
      </c>
      <c r="I343" s="7" t="s">
        <v>158</v>
      </c>
      <c r="J343" s="7" t="s">
        <v>396</v>
      </c>
      <c r="K343" s="7" t="s">
        <v>821</v>
      </c>
      <c r="L343" s="7" t="s">
        <v>281</v>
      </c>
      <c r="M343" s="7" t="s">
        <v>116</v>
      </c>
      <c r="N343" s="7" t="s">
        <v>822</v>
      </c>
      <c r="O343" s="7" t="s">
        <v>823</v>
      </c>
      <c r="P343" s="7" t="s">
        <v>824</v>
      </c>
      <c r="Q343" s="7" t="s">
        <v>825</v>
      </c>
      <c r="R343" s="7" t="s">
        <v>826</v>
      </c>
      <c r="S343" s="7" t="s">
        <v>827</v>
      </c>
      <c r="T343" s="7" t="s">
        <v>828</v>
      </c>
      <c r="U343" s="7" t="s">
        <v>148</v>
      </c>
      <c r="V343" s="7" t="s">
        <v>473</v>
      </c>
      <c r="W343" s="7" t="s">
        <v>682</v>
      </c>
      <c r="X343" s="7" t="s">
        <v>829</v>
      </c>
      <c r="Y343" s="7" t="s">
        <v>830</v>
      </c>
      <c r="Z343" s="7" t="s">
        <v>831</v>
      </c>
      <c r="AA343" s="7" t="s">
        <v>223</v>
      </c>
      <c r="AB343" s="18" t="n">
        <v>990</v>
      </c>
      <c r="AC343" s="7"/>
      <c r="AD343" s="7"/>
      <c r="AE343" s="7" t="s">
        <v>834</v>
      </c>
    </row>
    <row r="344" customFormat="false" ht="21.75" hidden="false" customHeight="true" outlineLevel="0" collapsed="false">
      <c r="B344" s="15" t="n">
        <v>340</v>
      </c>
      <c r="C344" s="9" t="s">
        <v>46</v>
      </c>
      <c r="D344" s="9" t="s">
        <v>18</v>
      </c>
      <c r="E344" s="9" t="s">
        <v>84</v>
      </c>
      <c r="F344" s="9" t="s">
        <v>61</v>
      </c>
      <c r="G344" s="9" t="s">
        <v>835</v>
      </c>
      <c r="H344" s="9" t="s">
        <v>163</v>
      </c>
      <c r="I344" s="9" t="s">
        <v>164</v>
      </c>
      <c r="J344" s="9" t="s">
        <v>396</v>
      </c>
      <c r="K344" s="9" t="s">
        <v>821</v>
      </c>
      <c r="L344" s="9" t="s">
        <v>281</v>
      </c>
      <c r="M344" s="9" t="s">
        <v>116</v>
      </c>
      <c r="N344" s="9" t="s">
        <v>822</v>
      </c>
      <c r="O344" s="9" t="s">
        <v>823</v>
      </c>
      <c r="P344" s="9" t="s">
        <v>824</v>
      </c>
      <c r="Q344" s="9" t="s">
        <v>825</v>
      </c>
      <c r="R344" s="9" t="s">
        <v>826</v>
      </c>
      <c r="S344" s="9" t="s">
        <v>827</v>
      </c>
      <c r="T344" s="9" t="s">
        <v>828</v>
      </c>
      <c r="U344" s="9" t="s">
        <v>148</v>
      </c>
      <c r="V344" s="9" t="s">
        <v>473</v>
      </c>
      <c r="W344" s="9" t="s">
        <v>682</v>
      </c>
      <c r="X344" s="9" t="s">
        <v>829</v>
      </c>
      <c r="Y344" s="9" t="s">
        <v>830</v>
      </c>
      <c r="Z344" s="9" t="s">
        <v>831</v>
      </c>
      <c r="AA344" s="9" t="s">
        <v>223</v>
      </c>
      <c r="AB344" s="19" t="n">
        <v>1485</v>
      </c>
      <c r="AC344" s="9"/>
      <c r="AD344" s="9"/>
      <c r="AE344" s="9" t="s">
        <v>165</v>
      </c>
    </row>
    <row r="345" customFormat="false" ht="21.75" hidden="false" customHeight="true" outlineLevel="0" collapsed="false">
      <c r="B345" s="14" t="n">
        <v>341</v>
      </c>
      <c r="C345" s="7" t="s">
        <v>46</v>
      </c>
      <c r="D345" s="7" t="s">
        <v>18</v>
      </c>
      <c r="E345" s="7" t="s">
        <v>84</v>
      </c>
      <c r="F345" s="7" t="s">
        <v>61</v>
      </c>
      <c r="G345" s="7" t="s">
        <v>836</v>
      </c>
      <c r="H345" s="7" t="s">
        <v>163</v>
      </c>
      <c r="I345" s="7" t="s">
        <v>164</v>
      </c>
      <c r="J345" s="7" t="s">
        <v>396</v>
      </c>
      <c r="K345" s="7" t="s">
        <v>821</v>
      </c>
      <c r="L345" s="7" t="s">
        <v>281</v>
      </c>
      <c r="M345" s="7" t="s">
        <v>116</v>
      </c>
      <c r="N345" s="7" t="s">
        <v>822</v>
      </c>
      <c r="O345" s="7" t="s">
        <v>823</v>
      </c>
      <c r="P345" s="7" t="s">
        <v>824</v>
      </c>
      <c r="Q345" s="7" t="s">
        <v>825</v>
      </c>
      <c r="R345" s="7" t="s">
        <v>826</v>
      </c>
      <c r="S345" s="7" t="s">
        <v>827</v>
      </c>
      <c r="T345" s="7" t="s">
        <v>828</v>
      </c>
      <c r="U345" s="7" t="s">
        <v>148</v>
      </c>
      <c r="V345" s="7" t="s">
        <v>473</v>
      </c>
      <c r="W345" s="7" t="s">
        <v>682</v>
      </c>
      <c r="X345" s="7" t="s">
        <v>829</v>
      </c>
      <c r="Y345" s="7" t="s">
        <v>830</v>
      </c>
      <c r="Z345" s="7" t="s">
        <v>831</v>
      </c>
      <c r="AA345" s="7" t="s">
        <v>223</v>
      </c>
      <c r="AB345" s="18" t="n">
        <v>2180</v>
      </c>
      <c r="AC345" s="7"/>
      <c r="AD345" s="7"/>
      <c r="AE345" s="7" t="s">
        <v>167</v>
      </c>
    </row>
    <row r="346" customFormat="false" ht="21.75" hidden="false" customHeight="true" outlineLevel="0" collapsed="false">
      <c r="B346" s="15" t="n">
        <v>342</v>
      </c>
      <c r="C346" s="9" t="s">
        <v>46</v>
      </c>
      <c r="D346" s="9" t="s">
        <v>18</v>
      </c>
      <c r="E346" s="9" t="s">
        <v>84</v>
      </c>
      <c r="F346" s="9" t="s">
        <v>62</v>
      </c>
      <c r="G346" s="9" t="s">
        <v>837</v>
      </c>
      <c r="H346" s="9" t="s">
        <v>136</v>
      </c>
      <c r="I346" s="9" t="s">
        <v>137</v>
      </c>
      <c r="J346" s="9" t="s">
        <v>396</v>
      </c>
      <c r="K346" s="9" t="s">
        <v>838</v>
      </c>
      <c r="L346" s="9" t="s">
        <v>281</v>
      </c>
      <c r="M346" s="9" t="s">
        <v>116</v>
      </c>
      <c r="N346" s="9" t="s">
        <v>839</v>
      </c>
      <c r="O346" s="9" t="s">
        <v>823</v>
      </c>
      <c r="P346" s="9" t="s">
        <v>824</v>
      </c>
      <c r="Q346" s="9" t="s">
        <v>825</v>
      </c>
      <c r="R346" s="9" t="s">
        <v>826</v>
      </c>
      <c r="S346" s="9" t="s">
        <v>827</v>
      </c>
      <c r="T346" s="9" t="s">
        <v>398</v>
      </c>
      <c r="U346" s="9" t="s">
        <v>148</v>
      </c>
      <c r="V346" s="9" t="s">
        <v>473</v>
      </c>
      <c r="W346" s="9" t="s">
        <v>682</v>
      </c>
      <c r="X346" s="9" t="s">
        <v>840</v>
      </c>
      <c r="Y346" s="9" t="s">
        <v>841</v>
      </c>
      <c r="Z346" s="9" t="s">
        <v>831</v>
      </c>
      <c r="AA346" s="9" t="s">
        <v>154</v>
      </c>
      <c r="AB346" s="19" t="n">
        <v>545</v>
      </c>
      <c r="AC346" s="9"/>
      <c r="AD346" s="9"/>
      <c r="AE346" s="9" t="s">
        <v>155</v>
      </c>
    </row>
    <row r="347" customFormat="false" ht="21.75" hidden="false" customHeight="true" outlineLevel="0" collapsed="false">
      <c r="B347" s="14" t="n">
        <v>343</v>
      </c>
      <c r="C347" s="7" t="s">
        <v>46</v>
      </c>
      <c r="D347" s="7" t="s">
        <v>18</v>
      </c>
      <c r="E347" s="7" t="s">
        <v>84</v>
      </c>
      <c r="F347" s="7" t="s">
        <v>62</v>
      </c>
      <c r="G347" s="7" t="s">
        <v>842</v>
      </c>
      <c r="H347" s="7" t="s">
        <v>157</v>
      </c>
      <c r="I347" s="7" t="s">
        <v>158</v>
      </c>
      <c r="J347" s="7" t="s">
        <v>396</v>
      </c>
      <c r="K347" s="7" t="s">
        <v>838</v>
      </c>
      <c r="L347" s="7" t="s">
        <v>281</v>
      </c>
      <c r="M347" s="7" t="s">
        <v>116</v>
      </c>
      <c r="N347" s="7" t="s">
        <v>839</v>
      </c>
      <c r="O347" s="7" t="s">
        <v>823</v>
      </c>
      <c r="P347" s="7" t="s">
        <v>824</v>
      </c>
      <c r="Q347" s="7" t="s">
        <v>825</v>
      </c>
      <c r="R347" s="7" t="s">
        <v>826</v>
      </c>
      <c r="S347" s="7" t="s">
        <v>827</v>
      </c>
      <c r="T347" s="7" t="s">
        <v>398</v>
      </c>
      <c r="U347" s="7" t="s">
        <v>148</v>
      </c>
      <c r="V347" s="7" t="s">
        <v>473</v>
      </c>
      <c r="W347" s="7" t="s">
        <v>682</v>
      </c>
      <c r="X347" s="7" t="s">
        <v>840</v>
      </c>
      <c r="Y347" s="7" t="s">
        <v>841</v>
      </c>
      <c r="Z347" s="7" t="s">
        <v>831</v>
      </c>
      <c r="AA347" s="7" t="s">
        <v>154</v>
      </c>
      <c r="AB347" s="18" t="n">
        <v>820</v>
      </c>
      <c r="AC347" s="7"/>
      <c r="AD347" s="7"/>
      <c r="AE347" s="7" t="s">
        <v>159</v>
      </c>
    </row>
    <row r="348" customFormat="false" ht="21.75" hidden="false" customHeight="true" outlineLevel="0" collapsed="false">
      <c r="B348" s="15" t="n">
        <v>344</v>
      </c>
      <c r="C348" s="9" t="s">
        <v>46</v>
      </c>
      <c r="D348" s="9" t="s">
        <v>18</v>
      </c>
      <c r="E348" s="9" t="s">
        <v>84</v>
      </c>
      <c r="F348" s="9" t="s">
        <v>62</v>
      </c>
      <c r="G348" s="9" t="s">
        <v>836</v>
      </c>
      <c r="H348" s="9" t="s">
        <v>157</v>
      </c>
      <c r="I348" s="9" t="s">
        <v>158</v>
      </c>
      <c r="J348" s="9" t="s">
        <v>396</v>
      </c>
      <c r="K348" s="9" t="s">
        <v>838</v>
      </c>
      <c r="L348" s="9" t="s">
        <v>281</v>
      </c>
      <c r="M348" s="9" t="s">
        <v>116</v>
      </c>
      <c r="N348" s="9" t="s">
        <v>839</v>
      </c>
      <c r="O348" s="9" t="s">
        <v>823</v>
      </c>
      <c r="P348" s="9" t="s">
        <v>824</v>
      </c>
      <c r="Q348" s="9" t="s">
        <v>825</v>
      </c>
      <c r="R348" s="9" t="s">
        <v>826</v>
      </c>
      <c r="S348" s="9" t="s">
        <v>827</v>
      </c>
      <c r="T348" s="9" t="s">
        <v>398</v>
      </c>
      <c r="U348" s="9" t="s">
        <v>148</v>
      </c>
      <c r="V348" s="9" t="s">
        <v>473</v>
      </c>
      <c r="W348" s="9" t="s">
        <v>682</v>
      </c>
      <c r="X348" s="9" t="s">
        <v>840</v>
      </c>
      <c r="Y348" s="9" t="s">
        <v>841</v>
      </c>
      <c r="Z348" s="9" t="s">
        <v>831</v>
      </c>
      <c r="AA348" s="9" t="s">
        <v>154</v>
      </c>
      <c r="AB348" s="19" t="n">
        <v>1090</v>
      </c>
      <c r="AC348" s="9"/>
      <c r="AD348" s="9"/>
      <c r="AE348" s="9" t="s">
        <v>843</v>
      </c>
    </row>
    <row r="349" customFormat="false" ht="21.75" hidden="false" customHeight="true" outlineLevel="0" collapsed="false">
      <c r="B349" s="14" t="n">
        <v>345</v>
      </c>
      <c r="C349" s="7" t="s">
        <v>46</v>
      </c>
      <c r="D349" s="7" t="s">
        <v>18</v>
      </c>
      <c r="E349" s="7" t="s">
        <v>84</v>
      </c>
      <c r="F349" s="7" t="s">
        <v>62</v>
      </c>
      <c r="G349" s="7" t="s">
        <v>833</v>
      </c>
      <c r="H349" s="7" t="s">
        <v>163</v>
      </c>
      <c r="I349" s="7" t="s">
        <v>164</v>
      </c>
      <c r="J349" s="7" t="s">
        <v>396</v>
      </c>
      <c r="K349" s="7" t="s">
        <v>838</v>
      </c>
      <c r="L349" s="7" t="s">
        <v>281</v>
      </c>
      <c r="M349" s="7" t="s">
        <v>116</v>
      </c>
      <c r="N349" s="7" t="s">
        <v>839</v>
      </c>
      <c r="O349" s="7" t="s">
        <v>823</v>
      </c>
      <c r="P349" s="7" t="s">
        <v>824</v>
      </c>
      <c r="Q349" s="7" t="s">
        <v>825</v>
      </c>
      <c r="R349" s="7" t="s">
        <v>826</v>
      </c>
      <c r="S349" s="7" t="s">
        <v>827</v>
      </c>
      <c r="T349" s="7" t="s">
        <v>398</v>
      </c>
      <c r="U349" s="7" t="s">
        <v>148</v>
      </c>
      <c r="V349" s="7" t="s">
        <v>473</v>
      </c>
      <c r="W349" s="7" t="s">
        <v>682</v>
      </c>
      <c r="X349" s="7" t="s">
        <v>840</v>
      </c>
      <c r="Y349" s="7" t="s">
        <v>841</v>
      </c>
      <c r="Z349" s="7" t="s">
        <v>831</v>
      </c>
      <c r="AA349" s="7" t="s">
        <v>154</v>
      </c>
      <c r="AB349" s="18" t="n">
        <v>1635</v>
      </c>
      <c r="AC349" s="7"/>
      <c r="AD349" s="7"/>
      <c r="AE349" s="7" t="s">
        <v>165</v>
      </c>
    </row>
    <row r="350" customFormat="false" ht="21.75" hidden="false" customHeight="true" outlineLevel="0" collapsed="false">
      <c r="B350" s="15" t="n">
        <v>346</v>
      </c>
      <c r="C350" s="9" t="s">
        <v>46</v>
      </c>
      <c r="D350" s="9" t="s">
        <v>18</v>
      </c>
      <c r="E350" s="9" t="s">
        <v>84</v>
      </c>
      <c r="F350" s="9" t="s">
        <v>62</v>
      </c>
      <c r="G350" s="9" t="s">
        <v>835</v>
      </c>
      <c r="H350" s="9" t="s">
        <v>163</v>
      </c>
      <c r="I350" s="9" t="s">
        <v>164</v>
      </c>
      <c r="J350" s="9" t="s">
        <v>396</v>
      </c>
      <c r="K350" s="9" t="s">
        <v>838</v>
      </c>
      <c r="L350" s="9" t="s">
        <v>281</v>
      </c>
      <c r="M350" s="9" t="s">
        <v>116</v>
      </c>
      <c r="N350" s="9" t="s">
        <v>839</v>
      </c>
      <c r="O350" s="9" t="s">
        <v>823</v>
      </c>
      <c r="P350" s="9" t="s">
        <v>824</v>
      </c>
      <c r="Q350" s="9" t="s">
        <v>825</v>
      </c>
      <c r="R350" s="9" t="s">
        <v>826</v>
      </c>
      <c r="S350" s="9" t="s">
        <v>827</v>
      </c>
      <c r="T350" s="9" t="s">
        <v>398</v>
      </c>
      <c r="U350" s="9" t="s">
        <v>148</v>
      </c>
      <c r="V350" s="9" t="s">
        <v>473</v>
      </c>
      <c r="W350" s="9" t="s">
        <v>682</v>
      </c>
      <c r="X350" s="9" t="s">
        <v>840</v>
      </c>
      <c r="Y350" s="9" t="s">
        <v>841</v>
      </c>
      <c r="Z350" s="9" t="s">
        <v>831</v>
      </c>
      <c r="AA350" s="9" t="s">
        <v>154</v>
      </c>
      <c r="AB350" s="19" t="n">
        <v>2400</v>
      </c>
      <c r="AC350" s="9"/>
      <c r="AD350" s="9"/>
      <c r="AE350" s="9" t="s">
        <v>167</v>
      </c>
    </row>
    <row r="351" customFormat="false" ht="21.75" hidden="false" customHeight="true" outlineLevel="0" collapsed="false">
      <c r="B351" s="14" t="n">
        <v>347</v>
      </c>
      <c r="C351" s="7" t="s">
        <v>46</v>
      </c>
      <c r="D351" s="7" t="s">
        <v>18</v>
      </c>
      <c r="E351" s="7" t="s">
        <v>84</v>
      </c>
      <c r="F351" s="7" t="s">
        <v>63</v>
      </c>
      <c r="G351" s="7" t="s">
        <v>844</v>
      </c>
      <c r="H351" s="7" t="s">
        <v>136</v>
      </c>
      <c r="I351" s="7" t="s">
        <v>137</v>
      </c>
      <c r="J351" s="7" t="s">
        <v>845</v>
      </c>
      <c r="K351" s="7" t="s">
        <v>846</v>
      </c>
      <c r="L351" s="7" t="s">
        <v>847</v>
      </c>
      <c r="M351" s="7" t="s">
        <v>116</v>
      </c>
      <c r="N351" s="7" t="s">
        <v>848</v>
      </c>
      <c r="O351" s="7" t="s">
        <v>823</v>
      </c>
      <c r="P351" s="7" t="s">
        <v>824</v>
      </c>
      <c r="Q351" s="7" t="s">
        <v>825</v>
      </c>
      <c r="R351" s="7" t="s">
        <v>826</v>
      </c>
      <c r="S351" s="7" t="s">
        <v>827</v>
      </c>
      <c r="T351" s="7" t="s">
        <v>356</v>
      </c>
      <c r="U351" s="7" t="s">
        <v>148</v>
      </c>
      <c r="V351" s="7" t="s">
        <v>236</v>
      </c>
      <c r="W351" s="7" t="s">
        <v>682</v>
      </c>
      <c r="X351" s="7" t="s">
        <v>849</v>
      </c>
      <c r="Y351" s="7" t="s">
        <v>850</v>
      </c>
      <c r="Z351" s="7" t="s">
        <v>831</v>
      </c>
      <c r="AA351" s="7" t="s">
        <v>154</v>
      </c>
      <c r="AB351" s="18" t="n">
        <v>645</v>
      </c>
      <c r="AC351" s="7"/>
      <c r="AD351" s="7"/>
      <c r="AE351" s="7" t="s">
        <v>155</v>
      </c>
    </row>
    <row r="352" customFormat="false" ht="21.75" hidden="false" customHeight="true" outlineLevel="0" collapsed="false">
      <c r="B352" s="15" t="n">
        <v>348</v>
      </c>
      <c r="C352" s="9" t="s">
        <v>46</v>
      </c>
      <c r="D352" s="9" t="s">
        <v>18</v>
      </c>
      <c r="E352" s="9" t="s">
        <v>84</v>
      </c>
      <c r="F352" s="9" t="s">
        <v>63</v>
      </c>
      <c r="G352" s="9" t="s">
        <v>851</v>
      </c>
      <c r="H352" s="9" t="s">
        <v>157</v>
      </c>
      <c r="I352" s="9" t="s">
        <v>158</v>
      </c>
      <c r="J352" s="9" t="s">
        <v>845</v>
      </c>
      <c r="K352" s="9" t="s">
        <v>846</v>
      </c>
      <c r="L352" s="9" t="s">
        <v>847</v>
      </c>
      <c r="M352" s="9" t="s">
        <v>116</v>
      </c>
      <c r="N352" s="9" t="s">
        <v>848</v>
      </c>
      <c r="O352" s="9" t="s">
        <v>823</v>
      </c>
      <c r="P352" s="9" t="s">
        <v>824</v>
      </c>
      <c r="Q352" s="9" t="s">
        <v>825</v>
      </c>
      <c r="R352" s="9" t="s">
        <v>826</v>
      </c>
      <c r="S352" s="9" t="s">
        <v>827</v>
      </c>
      <c r="T352" s="9" t="s">
        <v>356</v>
      </c>
      <c r="U352" s="9" t="s">
        <v>148</v>
      </c>
      <c r="V352" s="9" t="s">
        <v>236</v>
      </c>
      <c r="W352" s="9" t="s">
        <v>682</v>
      </c>
      <c r="X352" s="9" t="s">
        <v>849</v>
      </c>
      <c r="Y352" s="9" t="s">
        <v>850</v>
      </c>
      <c r="Z352" s="9" t="s">
        <v>831</v>
      </c>
      <c r="AA352" s="9" t="s">
        <v>154</v>
      </c>
      <c r="AB352" s="19" t="n">
        <v>970</v>
      </c>
      <c r="AC352" s="9"/>
      <c r="AD352" s="9"/>
      <c r="AE352" s="9" t="s">
        <v>159</v>
      </c>
    </row>
    <row r="353" customFormat="false" ht="21.75" hidden="false" customHeight="true" outlineLevel="0" collapsed="false">
      <c r="B353" s="14" t="n">
        <v>349</v>
      </c>
      <c r="C353" s="7" t="s">
        <v>46</v>
      </c>
      <c r="D353" s="7" t="s">
        <v>18</v>
      </c>
      <c r="E353" s="7" t="s">
        <v>84</v>
      </c>
      <c r="F353" s="7" t="s">
        <v>63</v>
      </c>
      <c r="G353" s="7" t="s">
        <v>852</v>
      </c>
      <c r="H353" s="7" t="s">
        <v>157</v>
      </c>
      <c r="I353" s="7" t="s">
        <v>158</v>
      </c>
      <c r="J353" s="7" t="s">
        <v>845</v>
      </c>
      <c r="K353" s="7" t="s">
        <v>846</v>
      </c>
      <c r="L353" s="7" t="s">
        <v>847</v>
      </c>
      <c r="M353" s="7" t="s">
        <v>116</v>
      </c>
      <c r="N353" s="7" t="s">
        <v>848</v>
      </c>
      <c r="O353" s="7" t="s">
        <v>823</v>
      </c>
      <c r="P353" s="7" t="s">
        <v>824</v>
      </c>
      <c r="Q353" s="7" t="s">
        <v>825</v>
      </c>
      <c r="R353" s="7" t="s">
        <v>826</v>
      </c>
      <c r="S353" s="7" t="s">
        <v>827</v>
      </c>
      <c r="T353" s="7" t="s">
        <v>356</v>
      </c>
      <c r="U353" s="7" t="s">
        <v>148</v>
      </c>
      <c r="V353" s="7" t="s">
        <v>236</v>
      </c>
      <c r="W353" s="7" t="s">
        <v>682</v>
      </c>
      <c r="X353" s="7" t="s">
        <v>849</v>
      </c>
      <c r="Y353" s="7" t="s">
        <v>850</v>
      </c>
      <c r="Z353" s="7" t="s">
        <v>831</v>
      </c>
      <c r="AA353" s="7" t="s">
        <v>154</v>
      </c>
      <c r="AB353" s="18" t="n">
        <v>1290</v>
      </c>
      <c r="AC353" s="7"/>
      <c r="AD353" s="7"/>
      <c r="AE353" s="7" t="s">
        <v>853</v>
      </c>
    </row>
    <row r="354" customFormat="false" ht="21.75" hidden="false" customHeight="true" outlineLevel="0" collapsed="false">
      <c r="B354" s="15" t="n">
        <v>350</v>
      </c>
      <c r="C354" s="9" t="s">
        <v>46</v>
      </c>
      <c r="D354" s="9" t="s">
        <v>18</v>
      </c>
      <c r="E354" s="9" t="s">
        <v>84</v>
      </c>
      <c r="F354" s="9" t="s">
        <v>63</v>
      </c>
      <c r="G354" s="9" t="s">
        <v>854</v>
      </c>
      <c r="H354" s="9" t="s">
        <v>163</v>
      </c>
      <c r="I354" s="9" t="s">
        <v>164</v>
      </c>
      <c r="J354" s="9" t="s">
        <v>845</v>
      </c>
      <c r="K354" s="9" t="s">
        <v>846</v>
      </c>
      <c r="L354" s="9" t="s">
        <v>847</v>
      </c>
      <c r="M354" s="9" t="s">
        <v>116</v>
      </c>
      <c r="N354" s="9" t="s">
        <v>848</v>
      </c>
      <c r="O354" s="9" t="s">
        <v>823</v>
      </c>
      <c r="P354" s="9" t="s">
        <v>824</v>
      </c>
      <c r="Q354" s="9" t="s">
        <v>825</v>
      </c>
      <c r="R354" s="9" t="s">
        <v>826</v>
      </c>
      <c r="S354" s="9" t="s">
        <v>827</v>
      </c>
      <c r="T354" s="9" t="s">
        <v>356</v>
      </c>
      <c r="U354" s="9" t="s">
        <v>148</v>
      </c>
      <c r="V354" s="9" t="s">
        <v>236</v>
      </c>
      <c r="W354" s="9" t="s">
        <v>682</v>
      </c>
      <c r="X354" s="9" t="s">
        <v>849</v>
      </c>
      <c r="Y354" s="9" t="s">
        <v>850</v>
      </c>
      <c r="Z354" s="9" t="s">
        <v>831</v>
      </c>
      <c r="AA354" s="9" t="s">
        <v>154</v>
      </c>
      <c r="AB354" s="19" t="n">
        <v>1935</v>
      </c>
      <c r="AC354" s="9"/>
      <c r="AD354" s="9"/>
      <c r="AE354" s="9" t="s">
        <v>165</v>
      </c>
    </row>
    <row r="355" customFormat="false" ht="21.75" hidden="false" customHeight="true" outlineLevel="0" collapsed="false">
      <c r="B355" s="14" t="n">
        <v>351</v>
      </c>
      <c r="C355" s="7" t="s">
        <v>46</v>
      </c>
      <c r="D355" s="7" t="s">
        <v>18</v>
      </c>
      <c r="E355" s="7" t="s">
        <v>84</v>
      </c>
      <c r="F355" s="7" t="s">
        <v>63</v>
      </c>
      <c r="G355" s="7" t="s">
        <v>855</v>
      </c>
      <c r="H355" s="7" t="s">
        <v>163</v>
      </c>
      <c r="I355" s="7" t="s">
        <v>164</v>
      </c>
      <c r="J355" s="7" t="s">
        <v>845</v>
      </c>
      <c r="K355" s="7" t="s">
        <v>846</v>
      </c>
      <c r="L355" s="7" t="s">
        <v>847</v>
      </c>
      <c r="M355" s="7" t="s">
        <v>116</v>
      </c>
      <c r="N355" s="7" t="s">
        <v>848</v>
      </c>
      <c r="O355" s="7" t="s">
        <v>823</v>
      </c>
      <c r="P355" s="7" t="s">
        <v>824</v>
      </c>
      <c r="Q355" s="7" t="s">
        <v>825</v>
      </c>
      <c r="R355" s="7" t="s">
        <v>826</v>
      </c>
      <c r="S355" s="7" t="s">
        <v>827</v>
      </c>
      <c r="T355" s="7" t="s">
        <v>356</v>
      </c>
      <c r="U355" s="7" t="s">
        <v>148</v>
      </c>
      <c r="V355" s="7" t="s">
        <v>236</v>
      </c>
      <c r="W355" s="7" t="s">
        <v>682</v>
      </c>
      <c r="X355" s="7" t="s">
        <v>849</v>
      </c>
      <c r="Y355" s="7" t="s">
        <v>850</v>
      </c>
      <c r="Z355" s="7" t="s">
        <v>831</v>
      </c>
      <c r="AA355" s="7" t="s">
        <v>154</v>
      </c>
      <c r="AB355" s="18" t="n">
        <v>2840</v>
      </c>
      <c r="AC355" s="7"/>
      <c r="AD355" s="7"/>
      <c r="AE355" s="7" t="s">
        <v>167</v>
      </c>
    </row>
    <row r="356" customFormat="false" ht="21.75" hidden="false" customHeight="true" outlineLevel="0" collapsed="false">
      <c r="B356" s="15" t="n">
        <v>352</v>
      </c>
      <c r="C356" s="9" t="s">
        <v>46</v>
      </c>
      <c r="D356" s="9" t="s">
        <v>18</v>
      </c>
      <c r="E356" s="9" t="s">
        <v>84</v>
      </c>
      <c r="F356" s="9" t="s">
        <v>64</v>
      </c>
      <c r="G356" s="9" t="s">
        <v>856</v>
      </c>
      <c r="H356" s="9" t="s">
        <v>136</v>
      </c>
      <c r="I356" s="9" t="s">
        <v>137</v>
      </c>
      <c r="J356" s="9" t="s">
        <v>203</v>
      </c>
      <c r="K356" s="9" t="s">
        <v>857</v>
      </c>
      <c r="L356" s="9" t="s">
        <v>705</v>
      </c>
      <c r="M356" s="9" t="s">
        <v>116</v>
      </c>
      <c r="N356" s="9" t="s">
        <v>511</v>
      </c>
      <c r="O356" s="9" t="s">
        <v>823</v>
      </c>
      <c r="P356" s="9" t="s">
        <v>824</v>
      </c>
      <c r="Q356" s="9" t="s">
        <v>825</v>
      </c>
      <c r="R356" s="9" t="s">
        <v>826</v>
      </c>
      <c r="S356" s="9" t="s">
        <v>827</v>
      </c>
      <c r="T356" s="9" t="s">
        <v>356</v>
      </c>
      <c r="U356" s="9" t="s">
        <v>194</v>
      </c>
      <c r="V356" s="9" t="s">
        <v>296</v>
      </c>
      <c r="W356" s="9" t="s">
        <v>682</v>
      </c>
      <c r="X356" s="9" t="s">
        <v>858</v>
      </c>
      <c r="Y356" s="9" t="s">
        <v>554</v>
      </c>
      <c r="Z356" s="9" t="s">
        <v>831</v>
      </c>
      <c r="AA356" s="9" t="s">
        <v>183</v>
      </c>
      <c r="AB356" s="19" t="n">
        <v>995</v>
      </c>
      <c r="AC356" s="9"/>
      <c r="AD356" s="9"/>
      <c r="AE356" s="9" t="s">
        <v>155</v>
      </c>
    </row>
    <row r="357" customFormat="false" ht="21.75" hidden="false" customHeight="true" outlineLevel="0" collapsed="false">
      <c r="B357" s="14" t="n">
        <v>353</v>
      </c>
      <c r="C357" s="7" t="s">
        <v>46</v>
      </c>
      <c r="D357" s="7" t="s">
        <v>18</v>
      </c>
      <c r="E357" s="7" t="s">
        <v>84</v>
      </c>
      <c r="F357" s="7" t="s">
        <v>64</v>
      </c>
      <c r="G357" s="7" t="s">
        <v>859</v>
      </c>
      <c r="H357" s="7" t="s">
        <v>136</v>
      </c>
      <c r="I357" s="7" t="s">
        <v>137</v>
      </c>
      <c r="J357" s="7" t="s">
        <v>203</v>
      </c>
      <c r="K357" s="7" t="s">
        <v>857</v>
      </c>
      <c r="L357" s="7" t="s">
        <v>705</v>
      </c>
      <c r="M357" s="7" t="s">
        <v>116</v>
      </c>
      <c r="N357" s="7" t="s">
        <v>511</v>
      </c>
      <c r="O357" s="7" t="s">
        <v>823</v>
      </c>
      <c r="P357" s="7" t="s">
        <v>824</v>
      </c>
      <c r="Q357" s="7" t="s">
        <v>825</v>
      </c>
      <c r="R357" s="7" t="s">
        <v>826</v>
      </c>
      <c r="S357" s="7" t="s">
        <v>827</v>
      </c>
      <c r="T357" s="7" t="s">
        <v>356</v>
      </c>
      <c r="U357" s="7" t="s">
        <v>194</v>
      </c>
      <c r="V357" s="7" t="s">
        <v>296</v>
      </c>
      <c r="W357" s="7" t="s">
        <v>682</v>
      </c>
      <c r="X357" s="7" t="s">
        <v>858</v>
      </c>
      <c r="Y357" s="7" t="s">
        <v>554</v>
      </c>
      <c r="Z357" s="7" t="s">
        <v>831</v>
      </c>
      <c r="AA357" s="7" t="s">
        <v>183</v>
      </c>
      <c r="AB357" s="18" t="n">
        <v>1490</v>
      </c>
      <c r="AC357" s="7"/>
      <c r="AD357" s="7"/>
      <c r="AE357" s="7" t="s">
        <v>159</v>
      </c>
    </row>
    <row r="358" customFormat="false" ht="21.75" hidden="false" customHeight="true" outlineLevel="0" collapsed="false">
      <c r="B358" s="15" t="n">
        <v>354</v>
      </c>
      <c r="C358" s="9" t="s">
        <v>46</v>
      </c>
      <c r="D358" s="9" t="s">
        <v>18</v>
      </c>
      <c r="E358" s="9" t="s">
        <v>84</v>
      </c>
      <c r="F358" s="9" t="s">
        <v>64</v>
      </c>
      <c r="G358" s="9" t="s">
        <v>860</v>
      </c>
      <c r="H358" s="9" t="s">
        <v>157</v>
      </c>
      <c r="I358" s="9" t="s">
        <v>158</v>
      </c>
      <c r="J358" s="9" t="s">
        <v>203</v>
      </c>
      <c r="K358" s="9" t="s">
        <v>857</v>
      </c>
      <c r="L358" s="9" t="s">
        <v>705</v>
      </c>
      <c r="M358" s="9" t="s">
        <v>116</v>
      </c>
      <c r="N358" s="9" t="s">
        <v>511</v>
      </c>
      <c r="O358" s="9" t="s">
        <v>823</v>
      </c>
      <c r="P358" s="9" t="s">
        <v>824</v>
      </c>
      <c r="Q358" s="9" t="s">
        <v>825</v>
      </c>
      <c r="R358" s="9" t="s">
        <v>826</v>
      </c>
      <c r="S358" s="9" t="s">
        <v>827</v>
      </c>
      <c r="T358" s="9" t="s">
        <v>356</v>
      </c>
      <c r="U358" s="9" t="s">
        <v>194</v>
      </c>
      <c r="V358" s="9" t="s">
        <v>296</v>
      </c>
      <c r="W358" s="9" t="s">
        <v>682</v>
      </c>
      <c r="X358" s="9" t="s">
        <v>858</v>
      </c>
      <c r="Y358" s="9" t="s">
        <v>554</v>
      </c>
      <c r="Z358" s="9" t="s">
        <v>831</v>
      </c>
      <c r="AA358" s="9" t="s">
        <v>183</v>
      </c>
      <c r="AB358" s="19" t="n">
        <v>1990</v>
      </c>
      <c r="AC358" s="9"/>
      <c r="AD358" s="9"/>
      <c r="AE358" s="9" t="s">
        <v>861</v>
      </c>
    </row>
    <row r="359" customFormat="false" ht="21.75" hidden="false" customHeight="true" outlineLevel="0" collapsed="false">
      <c r="B359" s="14" t="n">
        <v>355</v>
      </c>
      <c r="C359" s="7" t="s">
        <v>46</v>
      </c>
      <c r="D359" s="7" t="s">
        <v>18</v>
      </c>
      <c r="E359" s="7" t="s">
        <v>84</v>
      </c>
      <c r="F359" s="7" t="s">
        <v>64</v>
      </c>
      <c r="G359" s="7" t="s">
        <v>862</v>
      </c>
      <c r="H359" s="7" t="s">
        <v>157</v>
      </c>
      <c r="I359" s="7" t="s">
        <v>158</v>
      </c>
      <c r="J359" s="7" t="s">
        <v>203</v>
      </c>
      <c r="K359" s="7" t="s">
        <v>857</v>
      </c>
      <c r="L359" s="7" t="s">
        <v>705</v>
      </c>
      <c r="M359" s="7" t="s">
        <v>116</v>
      </c>
      <c r="N359" s="7" t="s">
        <v>511</v>
      </c>
      <c r="O359" s="7" t="s">
        <v>823</v>
      </c>
      <c r="P359" s="7" t="s">
        <v>824</v>
      </c>
      <c r="Q359" s="7" t="s">
        <v>825</v>
      </c>
      <c r="R359" s="7" t="s">
        <v>826</v>
      </c>
      <c r="S359" s="7" t="s">
        <v>827</v>
      </c>
      <c r="T359" s="7" t="s">
        <v>356</v>
      </c>
      <c r="U359" s="7" t="s">
        <v>194</v>
      </c>
      <c r="V359" s="7" t="s">
        <v>296</v>
      </c>
      <c r="W359" s="7" t="s">
        <v>682</v>
      </c>
      <c r="X359" s="7" t="s">
        <v>858</v>
      </c>
      <c r="Y359" s="7" t="s">
        <v>554</v>
      </c>
      <c r="Z359" s="7" t="s">
        <v>831</v>
      </c>
      <c r="AA359" s="7" t="s">
        <v>183</v>
      </c>
      <c r="AB359" s="18" t="n">
        <v>2985</v>
      </c>
      <c r="AC359" s="7"/>
      <c r="AD359" s="7"/>
      <c r="AE359" s="7" t="s">
        <v>165</v>
      </c>
    </row>
    <row r="360" customFormat="false" ht="21.75" hidden="false" customHeight="true" outlineLevel="0" collapsed="false">
      <c r="B360" s="15" t="n">
        <v>356</v>
      </c>
      <c r="C360" s="9" t="s">
        <v>46</v>
      </c>
      <c r="D360" s="9" t="s">
        <v>18</v>
      </c>
      <c r="E360" s="9" t="s">
        <v>84</v>
      </c>
      <c r="F360" s="9" t="s">
        <v>64</v>
      </c>
      <c r="G360" s="9" t="s">
        <v>863</v>
      </c>
      <c r="H360" s="9" t="s">
        <v>163</v>
      </c>
      <c r="I360" s="9" t="s">
        <v>164</v>
      </c>
      <c r="J360" s="9" t="s">
        <v>203</v>
      </c>
      <c r="K360" s="9" t="s">
        <v>857</v>
      </c>
      <c r="L360" s="9" t="s">
        <v>705</v>
      </c>
      <c r="M360" s="9" t="s">
        <v>116</v>
      </c>
      <c r="N360" s="9" t="s">
        <v>511</v>
      </c>
      <c r="O360" s="9" t="s">
        <v>823</v>
      </c>
      <c r="P360" s="9" t="s">
        <v>824</v>
      </c>
      <c r="Q360" s="9" t="s">
        <v>825</v>
      </c>
      <c r="R360" s="9" t="s">
        <v>826</v>
      </c>
      <c r="S360" s="9" t="s">
        <v>827</v>
      </c>
      <c r="T360" s="9" t="s">
        <v>356</v>
      </c>
      <c r="U360" s="9" t="s">
        <v>194</v>
      </c>
      <c r="V360" s="9" t="s">
        <v>296</v>
      </c>
      <c r="W360" s="9" t="s">
        <v>682</v>
      </c>
      <c r="X360" s="9" t="s">
        <v>858</v>
      </c>
      <c r="Y360" s="9" t="s">
        <v>554</v>
      </c>
      <c r="Z360" s="9" t="s">
        <v>831</v>
      </c>
      <c r="AA360" s="9" t="s">
        <v>183</v>
      </c>
      <c r="AB360" s="19" t="n">
        <v>4380</v>
      </c>
      <c r="AC360" s="9"/>
      <c r="AD360" s="9"/>
      <c r="AE360" s="9" t="s">
        <v>167</v>
      </c>
    </row>
    <row r="361" customFormat="false" ht="21.75" hidden="false" customHeight="true" outlineLevel="0" collapsed="false">
      <c r="B361" s="14" t="n">
        <v>357</v>
      </c>
      <c r="C361" s="7" t="s">
        <v>46</v>
      </c>
      <c r="D361" s="7" t="s">
        <v>18</v>
      </c>
      <c r="E361" s="7" t="s">
        <v>84</v>
      </c>
      <c r="F361" s="7" t="s">
        <v>65</v>
      </c>
      <c r="G361" s="7" t="s">
        <v>321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18"/>
      <c r="AC361" s="7"/>
      <c r="AD361" s="7"/>
      <c r="AE361" s="7" t="s">
        <v>864</v>
      </c>
    </row>
    <row r="362" customFormat="false" ht="21.75" hidden="false" customHeight="true" outlineLevel="0" collapsed="false">
      <c r="B362" s="15" t="n">
        <v>358</v>
      </c>
      <c r="C362" s="9" t="s">
        <v>46</v>
      </c>
      <c r="D362" s="9" t="s">
        <v>18</v>
      </c>
      <c r="E362" s="9" t="s">
        <v>84</v>
      </c>
      <c r="F362" s="9" t="s">
        <v>66</v>
      </c>
      <c r="G362" s="9" t="s">
        <v>865</v>
      </c>
      <c r="H362" s="9" t="s">
        <v>136</v>
      </c>
      <c r="I362" s="9" t="s">
        <v>137</v>
      </c>
      <c r="J362" s="9" t="s">
        <v>866</v>
      </c>
      <c r="K362" s="9" t="s">
        <v>867</v>
      </c>
      <c r="L362" s="9" t="s">
        <v>868</v>
      </c>
      <c r="M362" s="9" t="s">
        <v>116</v>
      </c>
      <c r="N362" s="9" t="s">
        <v>869</v>
      </c>
      <c r="O362" s="9" t="s">
        <v>823</v>
      </c>
      <c r="P362" s="9" t="s">
        <v>824</v>
      </c>
      <c r="Q362" s="9" t="s">
        <v>825</v>
      </c>
      <c r="R362" s="9" t="s">
        <v>826</v>
      </c>
      <c r="S362" s="9" t="s">
        <v>827</v>
      </c>
      <c r="T362" s="9" t="s">
        <v>870</v>
      </c>
      <c r="U362" s="9" t="s">
        <v>148</v>
      </c>
      <c r="V362" s="9" t="s">
        <v>473</v>
      </c>
      <c r="W362" s="9" t="s">
        <v>682</v>
      </c>
      <c r="X362" s="9" t="s">
        <v>871</v>
      </c>
      <c r="Y362" s="9" t="s">
        <v>872</v>
      </c>
      <c r="Z362" s="9" t="s">
        <v>831</v>
      </c>
      <c r="AA362" s="9" t="s">
        <v>154</v>
      </c>
      <c r="AB362" s="19" t="n">
        <v>595</v>
      </c>
      <c r="AC362" s="9"/>
      <c r="AD362" s="9"/>
      <c r="AE362" s="9" t="s">
        <v>155</v>
      </c>
    </row>
    <row r="363" customFormat="false" ht="21.75" hidden="false" customHeight="true" outlineLevel="0" collapsed="false">
      <c r="B363" s="14" t="n">
        <v>359</v>
      </c>
      <c r="C363" s="7" t="s">
        <v>46</v>
      </c>
      <c r="D363" s="7" t="s">
        <v>18</v>
      </c>
      <c r="E363" s="7" t="s">
        <v>84</v>
      </c>
      <c r="F363" s="7" t="s">
        <v>66</v>
      </c>
      <c r="G363" s="7" t="s">
        <v>873</v>
      </c>
      <c r="H363" s="7" t="s">
        <v>157</v>
      </c>
      <c r="I363" s="7" t="s">
        <v>158</v>
      </c>
      <c r="J363" s="7" t="s">
        <v>866</v>
      </c>
      <c r="K363" s="7" t="s">
        <v>867</v>
      </c>
      <c r="L363" s="7" t="s">
        <v>868</v>
      </c>
      <c r="M363" s="7" t="s">
        <v>116</v>
      </c>
      <c r="N363" s="7" t="s">
        <v>869</v>
      </c>
      <c r="O363" s="7" t="s">
        <v>823</v>
      </c>
      <c r="P363" s="7" t="s">
        <v>824</v>
      </c>
      <c r="Q363" s="7" t="s">
        <v>825</v>
      </c>
      <c r="R363" s="7" t="s">
        <v>826</v>
      </c>
      <c r="S363" s="7" t="s">
        <v>827</v>
      </c>
      <c r="T363" s="7" t="s">
        <v>870</v>
      </c>
      <c r="U363" s="7" t="s">
        <v>148</v>
      </c>
      <c r="V363" s="7" t="s">
        <v>473</v>
      </c>
      <c r="W363" s="7" t="s">
        <v>682</v>
      </c>
      <c r="X363" s="7" t="s">
        <v>871</v>
      </c>
      <c r="Y363" s="7" t="s">
        <v>872</v>
      </c>
      <c r="Z363" s="7" t="s">
        <v>831</v>
      </c>
      <c r="AA363" s="7" t="s">
        <v>154</v>
      </c>
      <c r="AB363" s="18" t="n">
        <v>890</v>
      </c>
      <c r="AC363" s="7"/>
      <c r="AD363" s="7"/>
      <c r="AE363" s="7" t="s">
        <v>159</v>
      </c>
    </row>
    <row r="364" customFormat="false" ht="21.75" hidden="false" customHeight="true" outlineLevel="0" collapsed="false">
      <c r="B364" s="15" t="n">
        <v>360</v>
      </c>
      <c r="C364" s="9" t="s">
        <v>46</v>
      </c>
      <c r="D364" s="9" t="s">
        <v>18</v>
      </c>
      <c r="E364" s="9" t="s">
        <v>84</v>
      </c>
      <c r="F364" s="9" t="s">
        <v>66</v>
      </c>
      <c r="G364" s="9" t="s">
        <v>874</v>
      </c>
      <c r="H364" s="9" t="s">
        <v>157</v>
      </c>
      <c r="I364" s="9" t="s">
        <v>158</v>
      </c>
      <c r="J364" s="9" t="s">
        <v>866</v>
      </c>
      <c r="K364" s="9" t="s">
        <v>867</v>
      </c>
      <c r="L364" s="9" t="s">
        <v>868</v>
      </c>
      <c r="M364" s="9" t="s">
        <v>116</v>
      </c>
      <c r="N364" s="9" t="s">
        <v>869</v>
      </c>
      <c r="O364" s="9" t="s">
        <v>823</v>
      </c>
      <c r="P364" s="9" t="s">
        <v>824</v>
      </c>
      <c r="Q364" s="9" t="s">
        <v>825</v>
      </c>
      <c r="R364" s="9" t="s">
        <v>826</v>
      </c>
      <c r="S364" s="9" t="s">
        <v>827</v>
      </c>
      <c r="T364" s="9" t="s">
        <v>870</v>
      </c>
      <c r="U364" s="9" t="s">
        <v>148</v>
      </c>
      <c r="V364" s="9" t="s">
        <v>473</v>
      </c>
      <c r="W364" s="9" t="s">
        <v>682</v>
      </c>
      <c r="X364" s="9" t="s">
        <v>871</v>
      </c>
      <c r="Y364" s="9" t="s">
        <v>872</v>
      </c>
      <c r="Z364" s="9" t="s">
        <v>831</v>
      </c>
      <c r="AA364" s="9" t="s">
        <v>154</v>
      </c>
      <c r="AB364" s="19" t="n">
        <v>1190</v>
      </c>
      <c r="AC364" s="9"/>
      <c r="AD364" s="9"/>
      <c r="AE364" s="9" t="s">
        <v>875</v>
      </c>
    </row>
    <row r="365" customFormat="false" ht="21.75" hidden="false" customHeight="true" outlineLevel="0" collapsed="false">
      <c r="B365" s="14" t="n">
        <v>361</v>
      </c>
      <c r="C365" s="7" t="s">
        <v>46</v>
      </c>
      <c r="D365" s="7" t="s">
        <v>18</v>
      </c>
      <c r="E365" s="7" t="s">
        <v>84</v>
      </c>
      <c r="F365" s="7" t="s">
        <v>66</v>
      </c>
      <c r="G365" s="7" t="s">
        <v>876</v>
      </c>
      <c r="H365" s="7" t="s">
        <v>163</v>
      </c>
      <c r="I365" s="7" t="s">
        <v>164</v>
      </c>
      <c r="J365" s="7" t="s">
        <v>866</v>
      </c>
      <c r="K365" s="7" t="s">
        <v>867</v>
      </c>
      <c r="L365" s="7" t="s">
        <v>868</v>
      </c>
      <c r="M365" s="7" t="s">
        <v>116</v>
      </c>
      <c r="N365" s="7" t="s">
        <v>869</v>
      </c>
      <c r="O365" s="7" t="s">
        <v>823</v>
      </c>
      <c r="P365" s="7" t="s">
        <v>824</v>
      </c>
      <c r="Q365" s="7" t="s">
        <v>825</v>
      </c>
      <c r="R365" s="7" t="s">
        <v>826</v>
      </c>
      <c r="S365" s="7" t="s">
        <v>827</v>
      </c>
      <c r="T365" s="7" t="s">
        <v>870</v>
      </c>
      <c r="U365" s="7" t="s">
        <v>148</v>
      </c>
      <c r="V365" s="7" t="s">
        <v>473</v>
      </c>
      <c r="W365" s="7" t="s">
        <v>682</v>
      </c>
      <c r="X365" s="7" t="s">
        <v>871</v>
      </c>
      <c r="Y365" s="7" t="s">
        <v>872</v>
      </c>
      <c r="Z365" s="7" t="s">
        <v>831</v>
      </c>
      <c r="AA365" s="7" t="s">
        <v>154</v>
      </c>
      <c r="AB365" s="18" t="n">
        <v>1785</v>
      </c>
      <c r="AC365" s="7"/>
      <c r="AD365" s="7"/>
      <c r="AE365" s="7" t="s">
        <v>165</v>
      </c>
    </row>
    <row r="366" customFormat="false" ht="21.75" hidden="false" customHeight="true" outlineLevel="0" collapsed="false">
      <c r="B366" s="15" t="n">
        <v>362</v>
      </c>
      <c r="C366" s="9" t="s">
        <v>46</v>
      </c>
      <c r="D366" s="9" t="s">
        <v>18</v>
      </c>
      <c r="E366" s="9" t="s">
        <v>84</v>
      </c>
      <c r="F366" s="9" t="s">
        <v>66</v>
      </c>
      <c r="G366" s="9" t="s">
        <v>877</v>
      </c>
      <c r="H366" s="9" t="s">
        <v>163</v>
      </c>
      <c r="I366" s="9" t="s">
        <v>164</v>
      </c>
      <c r="J366" s="9" t="s">
        <v>866</v>
      </c>
      <c r="K366" s="9" t="s">
        <v>867</v>
      </c>
      <c r="L366" s="9" t="s">
        <v>868</v>
      </c>
      <c r="M366" s="9" t="s">
        <v>116</v>
      </c>
      <c r="N366" s="9" t="s">
        <v>869</v>
      </c>
      <c r="O366" s="9" t="s">
        <v>823</v>
      </c>
      <c r="P366" s="9" t="s">
        <v>824</v>
      </c>
      <c r="Q366" s="9" t="s">
        <v>825</v>
      </c>
      <c r="R366" s="9" t="s">
        <v>826</v>
      </c>
      <c r="S366" s="9" t="s">
        <v>827</v>
      </c>
      <c r="T366" s="9" t="s">
        <v>870</v>
      </c>
      <c r="U366" s="9" t="s">
        <v>148</v>
      </c>
      <c r="V366" s="9" t="s">
        <v>473</v>
      </c>
      <c r="W366" s="9" t="s">
        <v>682</v>
      </c>
      <c r="X366" s="9" t="s">
        <v>871</v>
      </c>
      <c r="Y366" s="9" t="s">
        <v>872</v>
      </c>
      <c r="Z366" s="9" t="s">
        <v>831</v>
      </c>
      <c r="AA366" s="9" t="s">
        <v>154</v>
      </c>
      <c r="AB366" s="19" t="n">
        <v>2620</v>
      </c>
      <c r="AC366" s="9"/>
      <c r="AD366" s="9"/>
      <c r="AE366" s="9" t="s">
        <v>167</v>
      </c>
    </row>
    <row r="367" customFormat="false" ht="21.75" hidden="false" customHeight="true" outlineLevel="0" collapsed="false">
      <c r="B367" s="14" t="n">
        <v>363</v>
      </c>
      <c r="C367" s="7" t="s">
        <v>46</v>
      </c>
      <c r="D367" s="7" t="s">
        <v>18</v>
      </c>
      <c r="E367" s="7" t="s">
        <v>84</v>
      </c>
      <c r="F367" s="7" t="s">
        <v>67</v>
      </c>
      <c r="G367" s="7" t="s">
        <v>878</v>
      </c>
      <c r="H367" s="7" t="s">
        <v>230</v>
      </c>
      <c r="I367" s="7" t="s">
        <v>231</v>
      </c>
      <c r="J367" s="7" t="s">
        <v>396</v>
      </c>
      <c r="K367" s="7" t="s">
        <v>838</v>
      </c>
      <c r="L367" s="7" t="s">
        <v>281</v>
      </c>
      <c r="M367" s="7" t="s">
        <v>116</v>
      </c>
      <c r="N367" s="7" t="s">
        <v>879</v>
      </c>
      <c r="O367" s="7" t="s">
        <v>823</v>
      </c>
      <c r="P367" s="7" t="s">
        <v>824</v>
      </c>
      <c r="Q367" s="7" t="s">
        <v>825</v>
      </c>
      <c r="R367" s="7" t="s">
        <v>826</v>
      </c>
      <c r="S367" s="7" t="s">
        <v>827</v>
      </c>
      <c r="T367" s="7" t="s">
        <v>223</v>
      </c>
      <c r="U367" s="7" t="s">
        <v>148</v>
      </c>
      <c r="V367" s="7" t="s">
        <v>473</v>
      </c>
      <c r="W367" s="7" t="s">
        <v>682</v>
      </c>
      <c r="X367" s="7" t="s">
        <v>840</v>
      </c>
      <c r="Y367" s="7" t="s">
        <v>841</v>
      </c>
      <c r="Z367" s="7" t="s">
        <v>831</v>
      </c>
      <c r="AA367" s="7" t="s">
        <v>223</v>
      </c>
      <c r="AB367" s="18" t="n">
        <v>445</v>
      </c>
      <c r="AC367" s="7"/>
      <c r="AD367" s="7"/>
      <c r="AE367" s="7" t="s">
        <v>155</v>
      </c>
    </row>
    <row r="368" customFormat="false" ht="21.75" hidden="false" customHeight="true" outlineLevel="0" collapsed="false">
      <c r="B368" s="15" t="n">
        <v>364</v>
      </c>
      <c r="C368" s="9" t="s">
        <v>46</v>
      </c>
      <c r="D368" s="9" t="s">
        <v>18</v>
      </c>
      <c r="E368" s="9" t="s">
        <v>84</v>
      </c>
      <c r="F368" s="9" t="s">
        <v>67</v>
      </c>
      <c r="G368" s="9" t="s">
        <v>880</v>
      </c>
      <c r="H368" s="9" t="s">
        <v>230</v>
      </c>
      <c r="I368" s="9" t="s">
        <v>231</v>
      </c>
      <c r="J368" s="9" t="s">
        <v>396</v>
      </c>
      <c r="K368" s="9" t="s">
        <v>838</v>
      </c>
      <c r="L368" s="9" t="s">
        <v>281</v>
      </c>
      <c r="M368" s="9" t="s">
        <v>116</v>
      </c>
      <c r="N368" s="9" t="s">
        <v>879</v>
      </c>
      <c r="O368" s="9" t="s">
        <v>823</v>
      </c>
      <c r="P368" s="9" t="s">
        <v>824</v>
      </c>
      <c r="Q368" s="9" t="s">
        <v>825</v>
      </c>
      <c r="R368" s="9" t="s">
        <v>826</v>
      </c>
      <c r="S368" s="9" t="s">
        <v>827</v>
      </c>
      <c r="T368" s="9" t="s">
        <v>223</v>
      </c>
      <c r="U368" s="9" t="s">
        <v>148</v>
      </c>
      <c r="V368" s="9" t="s">
        <v>473</v>
      </c>
      <c r="W368" s="9" t="s">
        <v>682</v>
      </c>
      <c r="X368" s="9" t="s">
        <v>840</v>
      </c>
      <c r="Y368" s="9" t="s">
        <v>841</v>
      </c>
      <c r="Z368" s="9" t="s">
        <v>831</v>
      </c>
      <c r="AA368" s="9" t="s">
        <v>223</v>
      </c>
      <c r="AB368" s="19" t="n">
        <v>670</v>
      </c>
      <c r="AC368" s="9"/>
      <c r="AD368" s="9"/>
      <c r="AE368" s="9" t="s">
        <v>159</v>
      </c>
    </row>
    <row r="369" customFormat="false" ht="21.75" hidden="false" customHeight="true" outlineLevel="0" collapsed="false">
      <c r="B369" s="14" t="n">
        <v>365</v>
      </c>
      <c r="C369" s="7" t="s">
        <v>46</v>
      </c>
      <c r="D369" s="7" t="s">
        <v>18</v>
      </c>
      <c r="E369" s="7" t="s">
        <v>84</v>
      </c>
      <c r="F369" s="7" t="s">
        <v>67</v>
      </c>
      <c r="G369" s="7" t="s">
        <v>881</v>
      </c>
      <c r="H369" s="7" t="s">
        <v>240</v>
      </c>
      <c r="I369" s="7" t="s">
        <v>241</v>
      </c>
      <c r="J369" s="7" t="s">
        <v>396</v>
      </c>
      <c r="K369" s="7" t="s">
        <v>838</v>
      </c>
      <c r="L369" s="7" t="s">
        <v>281</v>
      </c>
      <c r="M369" s="7" t="s">
        <v>116</v>
      </c>
      <c r="N369" s="7" t="s">
        <v>879</v>
      </c>
      <c r="O369" s="7" t="s">
        <v>823</v>
      </c>
      <c r="P369" s="7" t="s">
        <v>824</v>
      </c>
      <c r="Q369" s="7" t="s">
        <v>825</v>
      </c>
      <c r="R369" s="7" t="s">
        <v>826</v>
      </c>
      <c r="S369" s="7" t="s">
        <v>827</v>
      </c>
      <c r="T369" s="7" t="s">
        <v>223</v>
      </c>
      <c r="U369" s="7" t="s">
        <v>148</v>
      </c>
      <c r="V369" s="7" t="s">
        <v>473</v>
      </c>
      <c r="W369" s="7" t="s">
        <v>682</v>
      </c>
      <c r="X369" s="7" t="s">
        <v>840</v>
      </c>
      <c r="Y369" s="7" t="s">
        <v>841</v>
      </c>
      <c r="Z369" s="7" t="s">
        <v>831</v>
      </c>
      <c r="AA369" s="7" t="s">
        <v>223</v>
      </c>
      <c r="AB369" s="18" t="n">
        <v>890</v>
      </c>
      <c r="AC369" s="7"/>
      <c r="AD369" s="7"/>
      <c r="AE369" s="7" t="s">
        <v>882</v>
      </c>
    </row>
    <row r="370" customFormat="false" ht="21.75" hidden="false" customHeight="true" outlineLevel="0" collapsed="false">
      <c r="B370" s="15" t="n">
        <v>366</v>
      </c>
      <c r="C370" s="9" t="s">
        <v>46</v>
      </c>
      <c r="D370" s="9" t="s">
        <v>18</v>
      </c>
      <c r="E370" s="9" t="s">
        <v>84</v>
      </c>
      <c r="F370" s="9" t="s">
        <v>67</v>
      </c>
      <c r="G370" s="9" t="s">
        <v>883</v>
      </c>
      <c r="H370" s="9" t="s">
        <v>240</v>
      </c>
      <c r="I370" s="9" t="s">
        <v>241</v>
      </c>
      <c r="J370" s="9" t="s">
        <v>396</v>
      </c>
      <c r="K370" s="9" t="s">
        <v>838</v>
      </c>
      <c r="L370" s="9" t="s">
        <v>281</v>
      </c>
      <c r="M370" s="9" t="s">
        <v>116</v>
      </c>
      <c r="N370" s="9" t="s">
        <v>879</v>
      </c>
      <c r="O370" s="9" t="s">
        <v>823</v>
      </c>
      <c r="P370" s="9" t="s">
        <v>824</v>
      </c>
      <c r="Q370" s="9" t="s">
        <v>825</v>
      </c>
      <c r="R370" s="9" t="s">
        <v>826</v>
      </c>
      <c r="S370" s="9" t="s">
        <v>827</v>
      </c>
      <c r="T370" s="9" t="s">
        <v>223</v>
      </c>
      <c r="U370" s="9" t="s">
        <v>148</v>
      </c>
      <c r="V370" s="9" t="s">
        <v>473</v>
      </c>
      <c r="W370" s="9" t="s">
        <v>682</v>
      </c>
      <c r="X370" s="9" t="s">
        <v>840</v>
      </c>
      <c r="Y370" s="9" t="s">
        <v>841</v>
      </c>
      <c r="Z370" s="9" t="s">
        <v>831</v>
      </c>
      <c r="AA370" s="9" t="s">
        <v>223</v>
      </c>
      <c r="AB370" s="19" t="n">
        <v>1335</v>
      </c>
      <c r="AC370" s="9"/>
      <c r="AD370" s="9"/>
      <c r="AE370" s="9" t="s">
        <v>165</v>
      </c>
    </row>
    <row r="371" customFormat="false" ht="21.75" hidden="false" customHeight="true" outlineLevel="0" collapsed="false">
      <c r="B371" s="14" t="n">
        <v>367</v>
      </c>
      <c r="C371" s="7" t="s">
        <v>46</v>
      </c>
      <c r="D371" s="7" t="s">
        <v>18</v>
      </c>
      <c r="E371" s="7" t="s">
        <v>84</v>
      </c>
      <c r="F371" s="7" t="s">
        <v>67</v>
      </c>
      <c r="G371" s="7" t="s">
        <v>884</v>
      </c>
      <c r="H371" s="7" t="s">
        <v>240</v>
      </c>
      <c r="I371" s="7" t="s">
        <v>241</v>
      </c>
      <c r="J371" s="7" t="s">
        <v>396</v>
      </c>
      <c r="K371" s="7" t="s">
        <v>838</v>
      </c>
      <c r="L371" s="7" t="s">
        <v>281</v>
      </c>
      <c r="M371" s="7" t="s">
        <v>116</v>
      </c>
      <c r="N371" s="7" t="s">
        <v>879</v>
      </c>
      <c r="O371" s="7" t="s">
        <v>823</v>
      </c>
      <c r="P371" s="7" t="s">
        <v>824</v>
      </c>
      <c r="Q371" s="7" t="s">
        <v>825</v>
      </c>
      <c r="R371" s="7" t="s">
        <v>826</v>
      </c>
      <c r="S371" s="7" t="s">
        <v>827</v>
      </c>
      <c r="T371" s="7" t="s">
        <v>223</v>
      </c>
      <c r="U371" s="7" t="s">
        <v>148</v>
      </c>
      <c r="V371" s="7" t="s">
        <v>473</v>
      </c>
      <c r="W371" s="7" t="s">
        <v>682</v>
      </c>
      <c r="X371" s="7" t="s">
        <v>840</v>
      </c>
      <c r="Y371" s="7" t="s">
        <v>841</v>
      </c>
      <c r="Z371" s="7" t="s">
        <v>831</v>
      </c>
      <c r="AA371" s="7" t="s">
        <v>223</v>
      </c>
      <c r="AB371" s="18" t="n">
        <v>1960</v>
      </c>
      <c r="AC371" s="7"/>
      <c r="AD371" s="7"/>
      <c r="AE371" s="7" t="s">
        <v>167</v>
      </c>
    </row>
    <row r="372" customFormat="false" ht="21.75" hidden="false" customHeight="true" outlineLevel="0" collapsed="false">
      <c r="B372" s="15" t="n">
        <v>368</v>
      </c>
      <c r="C372" s="9" t="s">
        <v>46</v>
      </c>
      <c r="D372" s="9" t="s">
        <v>18</v>
      </c>
      <c r="E372" s="9" t="s">
        <v>84</v>
      </c>
      <c r="F372" s="9" t="s">
        <v>68</v>
      </c>
      <c r="G372" s="9" t="s">
        <v>885</v>
      </c>
      <c r="H372" s="9" t="s">
        <v>246</v>
      </c>
      <c r="I372" s="9" t="s">
        <v>247</v>
      </c>
      <c r="J372" s="9" t="s">
        <v>396</v>
      </c>
      <c r="K372" s="9" t="s">
        <v>886</v>
      </c>
      <c r="L372" s="9" t="s">
        <v>281</v>
      </c>
      <c r="M372" s="9" t="s">
        <v>116</v>
      </c>
      <c r="N372" s="9" t="s">
        <v>887</v>
      </c>
      <c r="O372" s="9" t="s">
        <v>823</v>
      </c>
      <c r="P372" s="9" t="s">
        <v>824</v>
      </c>
      <c r="Q372" s="9" t="s">
        <v>825</v>
      </c>
      <c r="R372" s="9" t="s">
        <v>826</v>
      </c>
      <c r="S372" s="9" t="s">
        <v>827</v>
      </c>
      <c r="T372" s="9" t="s">
        <v>223</v>
      </c>
      <c r="U372" s="9" t="s">
        <v>148</v>
      </c>
      <c r="V372" s="9" t="s">
        <v>473</v>
      </c>
      <c r="W372" s="9" t="s">
        <v>682</v>
      </c>
      <c r="X372" s="9" t="s">
        <v>829</v>
      </c>
      <c r="Y372" s="9" t="s">
        <v>830</v>
      </c>
      <c r="Z372" s="9" t="s">
        <v>831</v>
      </c>
      <c r="AA372" s="9" t="s">
        <v>223</v>
      </c>
      <c r="AB372" s="19" t="n">
        <v>470</v>
      </c>
      <c r="AC372" s="9"/>
      <c r="AD372" s="9"/>
      <c r="AE372" s="9" t="s">
        <v>155</v>
      </c>
    </row>
    <row r="373" customFormat="false" ht="21.75" hidden="false" customHeight="true" outlineLevel="0" collapsed="false">
      <c r="B373" s="14" t="n">
        <v>369</v>
      </c>
      <c r="C373" s="7" t="s">
        <v>46</v>
      </c>
      <c r="D373" s="7" t="s">
        <v>18</v>
      </c>
      <c r="E373" s="7" t="s">
        <v>84</v>
      </c>
      <c r="F373" s="7" t="s">
        <v>68</v>
      </c>
      <c r="G373" s="7" t="s">
        <v>888</v>
      </c>
      <c r="H373" s="7" t="s">
        <v>254</v>
      </c>
      <c r="I373" s="7" t="s">
        <v>255</v>
      </c>
      <c r="J373" s="7" t="s">
        <v>396</v>
      </c>
      <c r="K373" s="7" t="s">
        <v>886</v>
      </c>
      <c r="L373" s="7" t="s">
        <v>281</v>
      </c>
      <c r="M373" s="7" t="s">
        <v>116</v>
      </c>
      <c r="N373" s="7" t="s">
        <v>887</v>
      </c>
      <c r="O373" s="7" t="s">
        <v>823</v>
      </c>
      <c r="P373" s="7" t="s">
        <v>824</v>
      </c>
      <c r="Q373" s="7" t="s">
        <v>825</v>
      </c>
      <c r="R373" s="7" t="s">
        <v>826</v>
      </c>
      <c r="S373" s="7" t="s">
        <v>827</v>
      </c>
      <c r="T373" s="7" t="s">
        <v>223</v>
      </c>
      <c r="U373" s="7" t="s">
        <v>148</v>
      </c>
      <c r="V373" s="7" t="s">
        <v>473</v>
      </c>
      <c r="W373" s="7" t="s">
        <v>682</v>
      </c>
      <c r="X373" s="7" t="s">
        <v>829</v>
      </c>
      <c r="Y373" s="7" t="s">
        <v>830</v>
      </c>
      <c r="Z373" s="7" t="s">
        <v>831</v>
      </c>
      <c r="AA373" s="7" t="s">
        <v>223</v>
      </c>
      <c r="AB373" s="18" t="n">
        <v>705</v>
      </c>
      <c r="AC373" s="7"/>
      <c r="AD373" s="7"/>
      <c r="AE373" s="7" t="s">
        <v>159</v>
      </c>
    </row>
    <row r="374" customFormat="false" ht="21.75" hidden="false" customHeight="true" outlineLevel="0" collapsed="false">
      <c r="B374" s="15" t="n">
        <v>370</v>
      </c>
      <c r="C374" s="9" t="s">
        <v>46</v>
      </c>
      <c r="D374" s="9" t="s">
        <v>18</v>
      </c>
      <c r="E374" s="9" t="s">
        <v>84</v>
      </c>
      <c r="F374" s="9" t="s">
        <v>68</v>
      </c>
      <c r="G374" s="9" t="s">
        <v>889</v>
      </c>
      <c r="H374" s="9" t="s">
        <v>257</v>
      </c>
      <c r="I374" s="9" t="s">
        <v>258</v>
      </c>
      <c r="J374" s="9" t="s">
        <v>396</v>
      </c>
      <c r="K374" s="9" t="s">
        <v>886</v>
      </c>
      <c r="L374" s="9" t="s">
        <v>281</v>
      </c>
      <c r="M374" s="9" t="s">
        <v>116</v>
      </c>
      <c r="N374" s="9" t="s">
        <v>887</v>
      </c>
      <c r="O374" s="9" t="s">
        <v>823</v>
      </c>
      <c r="P374" s="9" t="s">
        <v>824</v>
      </c>
      <c r="Q374" s="9" t="s">
        <v>825</v>
      </c>
      <c r="R374" s="9" t="s">
        <v>826</v>
      </c>
      <c r="S374" s="9" t="s">
        <v>827</v>
      </c>
      <c r="T374" s="9" t="s">
        <v>223</v>
      </c>
      <c r="U374" s="9" t="s">
        <v>148</v>
      </c>
      <c r="V374" s="9" t="s">
        <v>473</v>
      </c>
      <c r="W374" s="9" t="s">
        <v>682</v>
      </c>
      <c r="X374" s="9" t="s">
        <v>829</v>
      </c>
      <c r="Y374" s="9" t="s">
        <v>830</v>
      </c>
      <c r="Z374" s="9" t="s">
        <v>831</v>
      </c>
      <c r="AA374" s="9" t="s">
        <v>223</v>
      </c>
      <c r="AB374" s="19" t="n">
        <v>940</v>
      </c>
      <c r="AC374" s="9"/>
      <c r="AD374" s="9"/>
      <c r="AE374" s="9" t="s">
        <v>890</v>
      </c>
    </row>
    <row r="375" customFormat="false" ht="21.75" hidden="false" customHeight="true" outlineLevel="0" collapsed="false">
      <c r="B375" s="14" t="n">
        <v>371</v>
      </c>
      <c r="C375" s="7" t="s">
        <v>46</v>
      </c>
      <c r="D375" s="7" t="s">
        <v>18</v>
      </c>
      <c r="E375" s="7" t="s">
        <v>84</v>
      </c>
      <c r="F375" s="7" t="s">
        <v>68</v>
      </c>
      <c r="G375" s="7" t="s">
        <v>891</v>
      </c>
      <c r="H375" s="7" t="s">
        <v>257</v>
      </c>
      <c r="I375" s="7" t="s">
        <v>258</v>
      </c>
      <c r="J375" s="7" t="s">
        <v>396</v>
      </c>
      <c r="K375" s="7" t="s">
        <v>886</v>
      </c>
      <c r="L375" s="7" t="s">
        <v>281</v>
      </c>
      <c r="M375" s="7" t="s">
        <v>116</v>
      </c>
      <c r="N375" s="7" t="s">
        <v>887</v>
      </c>
      <c r="O375" s="7" t="s">
        <v>823</v>
      </c>
      <c r="P375" s="7" t="s">
        <v>824</v>
      </c>
      <c r="Q375" s="7" t="s">
        <v>825</v>
      </c>
      <c r="R375" s="7" t="s">
        <v>826</v>
      </c>
      <c r="S375" s="7" t="s">
        <v>827</v>
      </c>
      <c r="T375" s="7" t="s">
        <v>223</v>
      </c>
      <c r="U375" s="7" t="s">
        <v>148</v>
      </c>
      <c r="V375" s="7" t="s">
        <v>473</v>
      </c>
      <c r="W375" s="7" t="s">
        <v>682</v>
      </c>
      <c r="X375" s="7" t="s">
        <v>829</v>
      </c>
      <c r="Y375" s="7" t="s">
        <v>830</v>
      </c>
      <c r="Z375" s="7" t="s">
        <v>831</v>
      </c>
      <c r="AA375" s="7" t="s">
        <v>223</v>
      </c>
      <c r="AB375" s="18" t="n">
        <v>1410</v>
      </c>
      <c r="AC375" s="7"/>
      <c r="AD375" s="7"/>
      <c r="AE375" s="7" t="s">
        <v>165</v>
      </c>
    </row>
    <row r="376" customFormat="false" ht="21.75" hidden="false" customHeight="true" outlineLevel="0" collapsed="false">
      <c r="B376" s="15" t="n">
        <v>372</v>
      </c>
      <c r="C376" s="9" t="s">
        <v>46</v>
      </c>
      <c r="D376" s="9" t="s">
        <v>18</v>
      </c>
      <c r="E376" s="9" t="s">
        <v>84</v>
      </c>
      <c r="F376" s="9" t="s">
        <v>68</v>
      </c>
      <c r="G376" s="9" t="s">
        <v>892</v>
      </c>
      <c r="H376" s="9" t="s">
        <v>262</v>
      </c>
      <c r="I376" s="9" t="s">
        <v>263</v>
      </c>
      <c r="J376" s="9" t="s">
        <v>396</v>
      </c>
      <c r="K376" s="9" t="s">
        <v>886</v>
      </c>
      <c r="L376" s="9" t="s">
        <v>281</v>
      </c>
      <c r="M376" s="9" t="s">
        <v>116</v>
      </c>
      <c r="N376" s="9" t="s">
        <v>887</v>
      </c>
      <c r="O376" s="9" t="s">
        <v>823</v>
      </c>
      <c r="P376" s="9" t="s">
        <v>824</v>
      </c>
      <c r="Q376" s="9" t="s">
        <v>825</v>
      </c>
      <c r="R376" s="9" t="s">
        <v>826</v>
      </c>
      <c r="S376" s="9" t="s">
        <v>827</v>
      </c>
      <c r="T376" s="9" t="s">
        <v>223</v>
      </c>
      <c r="U376" s="9" t="s">
        <v>148</v>
      </c>
      <c r="V376" s="9" t="s">
        <v>473</v>
      </c>
      <c r="W376" s="9" t="s">
        <v>682</v>
      </c>
      <c r="X376" s="9" t="s">
        <v>829</v>
      </c>
      <c r="Y376" s="9" t="s">
        <v>830</v>
      </c>
      <c r="Z376" s="9" t="s">
        <v>831</v>
      </c>
      <c r="AA376" s="9" t="s">
        <v>223</v>
      </c>
      <c r="AB376" s="19" t="n">
        <v>2070</v>
      </c>
      <c r="AC376" s="9"/>
      <c r="AD376" s="9"/>
      <c r="AE376" s="9" t="s">
        <v>167</v>
      </c>
    </row>
    <row r="377" customFormat="false" ht="21.75" hidden="false" customHeight="true" outlineLevel="0" collapsed="false">
      <c r="B377" s="14" t="n">
        <v>373</v>
      </c>
      <c r="C377" s="7" t="s">
        <v>46</v>
      </c>
      <c r="D377" s="7" t="s">
        <v>18</v>
      </c>
      <c r="E377" s="7" t="s">
        <v>84</v>
      </c>
      <c r="F377" s="7" t="s">
        <v>69</v>
      </c>
      <c r="G377" s="7" t="s">
        <v>321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18"/>
      <c r="AC377" s="7"/>
      <c r="AD377" s="7"/>
      <c r="AE377" s="7" t="s">
        <v>893</v>
      </c>
    </row>
    <row r="378" customFormat="false" ht="21.75" hidden="false" customHeight="true" outlineLevel="0" collapsed="false">
      <c r="B378" s="15" t="n">
        <v>374</v>
      </c>
      <c r="C378" s="9" t="s">
        <v>46</v>
      </c>
      <c r="D378" s="9" t="s">
        <v>18</v>
      </c>
      <c r="E378" s="9" t="s">
        <v>84</v>
      </c>
      <c r="F378" s="9" t="s">
        <v>70</v>
      </c>
      <c r="G378" s="9" t="s">
        <v>894</v>
      </c>
      <c r="H378" s="9" t="s">
        <v>276</v>
      </c>
      <c r="I378" s="9" t="s">
        <v>277</v>
      </c>
      <c r="J378" s="9" t="s">
        <v>549</v>
      </c>
      <c r="K378" s="9" t="s">
        <v>895</v>
      </c>
      <c r="L378" s="9" t="s">
        <v>896</v>
      </c>
      <c r="M378" s="9" t="s">
        <v>281</v>
      </c>
      <c r="N378" s="9" t="s">
        <v>897</v>
      </c>
      <c r="O378" s="9" t="s">
        <v>823</v>
      </c>
      <c r="P378" s="9" t="s">
        <v>824</v>
      </c>
      <c r="Q378" s="9" t="s">
        <v>825</v>
      </c>
      <c r="R378" s="9" t="s">
        <v>826</v>
      </c>
      <c r="S378" s="9" t="s">
        <v>827</v>
      </c>
      <c r="T378" s="9" t="s">
        <v>356</v>
      </c>
      <c r="U378" s="9" t="s">
        <v>148</v>
      </c>
      <c r="V378" s="9" t="s">
        <v>236</v>
      </c>
      <c r="W378" s="9" t="s">
        <v>682</v>
      </c>
      <c r="X378" s="9" t="s">
        <v>849</v>
      </c>
      <c r="Y378" s="9" t="s">
        <v>850</v>
      </c>
      <c r="Z378" s="9" t="s">
        <v>831</v>
      </c>
      <c r="AA378" s="9" t="s">
        <v>183</v>
      </c>
      <c r="AB378" s="19" t="n">
        <v>3450</v>
      </c>
      <c r="AC378" s="9"/>
      <c r="AD378" s="9"/>
      <c r="AE378" s="9" t="s">
        <v>155</v>
      </c>
    </row>
    <row r="379" customFormat="false" ht="21.75" hidden="false" customHeight="true" outlineLevel="0" collapsed="false">
      <c r="B379" s="14" t="n">
        <v>375</v>
      </c>
      <c r="C379" s="7" t="s">
        <v>46</v>
      </c>
      <c r="D379" s="7" t="s">
        <v>18</v>
      </c>
      <c r="E379" s="7" t="s">
        <v>84</v>
      </c>
      <c r="F379" s="7" t="s">
        <v>70</v>
      </c>
      <c r="G379" s="7" t="s">
        <v>898</v>
      </c>
      <c r="H379" s="7" t="s">
        <v>276</v>
      </c>
      <c r="I379" s="7" t="s">
        <v>277</v>
      </c>
      <c r="J379" s="7" t="s">
        <v>549</v>
      </c>
      <c r="K379" s="7" t="s">
        <v>895</v>
      </c>
      <c r="L379" s="7" t="s">
        <v>896</v>
      </c>
      <c r="M379" s="7" t="s">
        <v>281</v>
      </c>
      <c r="N379" s="7" t="s">
        <v>897</v>
      </c>
      <c r="O379" s="7" t="s">
        <v>823</v>
      </c>
      <c r="P379" s="7" t="s">
        <v>824</v>
      </c>
      <c r="Q379" s="7" t="s">
        <v>825</v>
      </c>
      <c r="R379" s="7" t="s">
        <v>826</v>
      </c>
      <c r="S379" s="7" t="s">
        <v>827</v>
      </c>
      <c r="T379" s="7" t="s">
        <v>356</v>
      </c>
      <c r="U379" s="7" t="s">
        <v>148</v>
      </c>
      <c r="V379" s="7" t="s">
        <v>236</v>
      </c>
      <c r="W379" s="7" t="s">
        <v>682</v>
      </c>
      <c r="X379" s="7" t="s">
        <v>849</v>
      </c>
      <c r="Y379" s="7" t="s">
        <v>850</v>
      </c>
      <c r="Z379" s="7" t="s">
        <v>831</v>
      </c>
      <c r="AA379" s="7" t="s">
        <v>183</v>
      </c>
      <c r="AB379" s="18" t="n">
        <v>5175</v>
      </c>
      <c r="AC379" s="7"/>
      <c r="AD379" s="7"/>
      <c r="AE379" s="7" t="s">
        <v>159</v>
      </c>
    </row>
    <row r="380" customFormat="false" ht="21.75" hidden="false" customHeight="true" outlineLevel="0" collapsed="false">
      <c r="B380" s="15" t="n">
        <v>376</v>
      </c>
      <c r="C380" s="9" t="s">
        <v>46</v>
      </c>
      <c r="D380" s="9" t="s">
        <v>18</v>
      </c>
      <c r="E380" s="9" t="s">
        <v>84</v>
      </c>
      <c r="F380" s="9" t="s">
        <v>70</v>
      </c>
      <c r="G380" s="9" t="s">
        <v>899</v>
      </c>
      <c r="H380" s="9" t="s">
        <v>287</v>
      </c>
      <c r="I380" s="9" t="s">
        <v>288</v>
      </c>
      <c r="J380" s="9" t="s">
        <v>549</v>
      </c>
      <c r="K380" s="9" t="s">
        <v>895</v>
      </c>
      <c r="L380" s="9" t="s">
        <v>896</v>
      </c>
      <c r="M380" s="9" t="s">
        <v>281</v>
      </c>
      <c r="N380" s="9" t="s">
        <v>897</v>
      </c>
      <c r="O380" s="9" t="s">
        <v>823</v>
      </c>
      <c r="P380" s="9" t="s">
        <v>824</v>
      </c>
      <c r="Q380" s="9" t="s">
        <v>825</v>
      </c>
      <c r="R380" s="9" t="s">
        <v>826</v>
      </c>
      <c r="S380" s="9" t="s">
        <v>827</v>
      </c>
      <c r="T380" s="9" t="s">
        <v>356</v>
      </c>
      <c r="U380" s="9" t="s">
        <v>148</v>
      </c>
      <c r="V380" s="9" t="s">
        <v>236</v>
      </c>
      <c r="W380" s="9" t="s">
        <v>682</v>
      </c>
      <c r="X380" s="9" t="s">
        <v>849</v>
      </c>
      <c r="Y380" s="9" t="s">
        <v>850</v>
      </c>
      <c r="Z380" s="9" t="s">
        <v>831</v>
      </c>
      <c r="AA380" s="9" t="s">
        <v>183</v>
      </c>
      <c r="AB380" s="19" t="n">
        <v>6900</v>
      </c>
      <c r="AC380" s="9"/>
      <c r="AD380" s="9"/>
      <c r="AE380" s="9" t="s">
        <v>900</v>
      </c>
    </row>
    <row r="381" customFormat="false" ht="21.75" hidden="false" customHeight="true" outlineLevel="0" collapsed="false">
      <c r="B381" s="14" t="n">
        <v>377</v>
      </c>
      <c r="C381" s="7" t="s">
        <v>46</v>
      </c>
      <c r="D381" s="7" t="s">
        <v>18</v>
      </c>
      <c r="E381" s="7" t="s">
        <v>84</v>
      </c>
      <c r="F381" s="7" t="s">
        <v>70</v>
      </c>
      <c r="G381" s="7" t="s">
        <v>901</v>
      </c>
      <c r="H381" s="7" t="s">
        <v>287</v>
      </c>
      <c r="I381" s="7" t="s">
        <v>288</v>
      </c>
      <c r="J381" s="7" t="s">
        <v>549</v>
      </c>
      <c r="K381" s="7" t="s">
        <v>895</v>
      </c>
      <c r="L381" s="7" t="s">
        <v>896</v>
      </c>
      <c r="M381" s="7" t="s">
        <v>281</v>
      </c>
      <c r="N381" s="7" t="s">
        <v>897</v>
      </c>
      <c r="O381" s="7" t="s">
        <v>823</v>
      </c>
      <c r="P381" s="7" t="s">
        <v>824</v>
      </c>
      <c r="Q381" s="7" t="s">
        <v>825</v>
      </c>
      <c r="R381" s="7" t="s">
        <v>826</v>
      </c>
      <c r="S381" s="7" t="s">
        <v>827</v>
      </c>
      <c r="T381" s="7" t="s">
        <v>356</v>
      </c>
      <c r="U381" s="7" t="s">
        <v>148</v>
      </c>
      <c r="V381" s="7" t="s">
        <v>236</v>
      </c>
      <c r="W381" s="7" t="s">
        <v>682</v>
      </c>
      <c r="X381" s="7" t="s">
        <v>849</v>
      </c>
      <c r="Y381" s="7" t="s">
        <v>850</v>
      </c>
      <c r="Z381" s="7" t="s">
        <v>831</v>
      </c>
      <c r="AA381" s="7" t="s">
        <v>183</v>
      </c>
      <c r="AB381" s="18" t="n">
        <v>10350</v>
      </c>
      <c r="AC381" s="7"/>
      <c r="AD381" s="7"/>
      <c r="AE381" s="7" t="s">
        <v>165</v>
      </c>
    </row>
    <row r="382" customFormat="false" ht="21.75" hidden="false" customHeight="true" outlineLevel="0" collapsed="false">
      <c r="B382" s="15" t="n">
        <v>378</v>
      </c>
      <c r="C382" s="9" t="s">
        <v>46</v>
      </c>
      <c r="D382" s="9" t="s">
        <v>18</v>
      </c>
      <c r="E382" s="9" t="s">
        <v>84</v>
      </c>
      <c r="F382" s="9" t="s">
        <v>70</v>
      </c>
      <c r="G382" s="9" t="s">
        <v>902</v>
      </c>
      <c r="H382" s="9" t="s">
        <v>287</v>
      </c>
      <c r="I382" s="9" t="s">
        <v>288</v>
      </c>
      <c r="J382" s="9" t="s">
        <v>549</v>
      </c>
      <c r="K382" s="9" t="s">
        <v>895</v>
      </c>
      <c r="L382" s="9" t="s">
        <v>896</v>
      </c>
      <c r="M382" s="9" t="s">
        <v>281</v>
      </c>
      <c r="N382" s="9" t="s">
        <v>897</v>
      </c>
      <c r="O382" s="9" t="s">
        <v>823</v>
      </c>
      <c r="P382" s="9" t="s">
        <v>824</v>
      </c>
      <c r="Q382" s="9" t="s">
        <v>825</v>
      </c>
      <c r="R382" s="9" t="s">
        <v>826</v>
      </c>
      <c r="S382" s="9" t="s">
        <v>827</v>
      </c>
      <c r="T382" s="9" t="s">
        <v>356</v>
      </c>
      <c r="U382" s="9" t="s">
        <v>148</v>
      </c>
      <c r="V382" s="9" t="s">
        <v>236</v>
      </c>
      <c r="W382" s="9" t="s">
        <v>682</v>
      </c>
      <c r="X382" s="9" t="s">
        <v>849</v>
      </c>
      <c r="Y382" s="9" t="s">
        <v>850</v>
      </c>
      <c r="Z382" s="9" t="s">
        <v>831</v>
      </c>
      <c r="AA382" s="9" t="s">
        <v>183</v>
      </c>
      <c r="AB382" s="19" t="n">
        <v>15180</v>
      </c>
      <c r="AC382" s="9"/>
      <c r="AD382" s="9"/>
      <c r="AE382" s="9" t="s">
        <v>167</v>
      </c>
    </row>
    <row r="383" customFormat="false" ht="21.75" hidden="false" customHeight="true" outlineLevel="0" collapsed="false">
      <c r="B383" s="14" t="n">
        <v>379</v>
      </c>
      <c r="C383" s="7" t="s">
        <v>46</v>
      </c>
      <c r="D383" s="7" t="s">
        <v>18</v>
      </c>
      <c r="E383" s="7" t="s">
        <v>84</v>
      </c>
      <c r="F383" s="7" t="s">
        <v>71</v>
      </c>
      <c r="G383" s="7" t="s">
        <v>321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18"/>
      <c r="AC383" s="7"/>
      <c r="AD383" s="7"/>
      <c r="AE383" s="7" t="s">
        <v>903</v>
      </c>
    </row>
    <row r="384" customFormat="false" ht="21.75" hidden="false" customHeight="true" outlineLevel="0" collapsed="false">
      <c r="B384" s="15" t="n">
        <v>380</v>
      </c>
      <c r="C384" s="9" t="s">
        <v>46</v>
      </c>
      <c r="D384" s="9" t="s">
        <v>18</v>
      </c>
      <c r="E384" s="9" t="s">
        <v>84</v>
      </c>
      <c r="F384" s="9" t="s">
        <v>72</v>
      </c>
      <c r="G384" s="9" t="s">
        <v>904</v>
      </c>
      <c r="H384" s="9" t="s">
        <v>301</v>
      </c>
      <c r="I384" s="9" t="s">
        <v>302</v>
      </c>
      <c r="J384" s="9" t="s">
        <v>845</v>
      </c>
      <c r="K384" s="9" t="s">
        <v>846</v>
      </c>
      <c r="L384" s="9" t="s">
        <v>868</v>
      </c>
      <c r="M384" s="9" t="s">
        <v>116</v>
      </c>
      <c r="N384" s="9" t="s">
        <v>905</v>
      </c>
      <c r="O384" s="9" t="s">
        <v>823</v>
      </c>
      <c r="P384" s="9" t="s">
        <v>824</v>
      </c>
      <c r="Q384" s="9" t="s">
        <v>825</v>
      </c>
      <c r="R384" s="9" t="s">
        <v>826</v>
      </c>
      <c r="S384" s="9" t="s">
        <v>827</v>
      </c>
      <c r="T384" s="9" t="s">
        <v>147</v>
      </c>
      <c r="U384" s="9" t="s">
        <v>148</v>
      </c>
      <c r="V384" s="9" t="s">
        <v>236</v>
      </c>
      <c r="W384" s="9" t="s">
        <v>682</v>
      </c>
      <c r="X384" s="9" t="s">
        <v>906</v>
      </c>
      <c r="Y384" s="9" t="s">
        <v>475</v>
      </c>
      <c r="Z384" s="9" t="s">
        <v>831</v>
      </c>
      <c r="AA384" s="9" t="s">
        <v>154</v>
      </c>
      <c r="AB384" s="19" t="n">
        <v>745</v>
      </c>
      <c r="AC384" s="9"/>
      <c r="AD384" s="9"/>
      <c r="AE384" s="9" t="s">
        <v>155</v>
      </c>
    </row>
    <row r="385" customFormat="false" ht="21.75" hidden="false" customHeight="true" outlineLevel="0" collapsed="false">
      <c r="B385" s="14" t="n">
        <v>381</v>
      </c>
      <c r="C385" s="7" t="s">
        <v>46</v>
      </c>
      <c r="D385" s="7" t="s">
        <v>18</v>
      </c>
      <c r="E385" s="7" t="s">
        <v>84</v>
      </c>
      <c r="F385" s="7" t="s">
        <v>72</v>
      </c>
      <c r="G385" s="7" t="s">
        <v>820</v>
      </c>
      <c r="H385" s="7" t="s">
        <v>309</v>
      </c>
      <c r="I385" s="7" t="s">
        <v>310</v>
      </c>
      <c r="J385" s="7" t="s">
        <v>845</v>
      </c>
      <c r="K385" s="7" t="s">
        <v>846</v>
      </c>
      <c r="L385" s="7" t="s">
        <v>868</v>
      </c>
      <c r="M385" s="7" t="s">
        <v>116</v>
      </c>
      <c r="N385" s="7" t="s">
        <v>905</v>
      </c>
      <c r="O385" s="7" t="s">
        <v>823</v>
      </c>
      <c r="P385" s="7" t="s">
        <v>824</v>
      </c>
      <c r="Q385" s="7" t="s">
        <v>825</v>
      </c>
      <c r="R385" s="7" t="s">
        <v>826</v>
      </c>
      <c r="S385" s="7" t="s">
        <v>827</v>
      </c>
      <c r="T385" s="7" t="s">
        <v>147</v>
      </c>
      <c r="U385" s="7" t="s">
        <v>148</v>
      </c>
      <c r="V385" s="7" t="s">
        <v>236</v>
      </c>
      <c r="W385" s="7" t="s">
        <v>682</v>
      </c>
      <c r="X385" s="7" t="s">
        <v>906</v>
      </c>
      <c r="Y385" s="7" t="s">
        <v>475</v>
      </c>
      <c r="Z385" s="7" t="s">
        <v>831</v>
      </c>
      <c r="AA385" s="7" t="s">
        <v>154</v>
      </c>
      <c r="AB385" s="18" t="n">
        <v>1120</v>
      </c>
      <c r="AC385" s="7"/>
      <c r="AD385" s="7"/>
      <c r="AE385" s="7" t="s">
        <v>159</v>
      </c>
    </row>
    <row r="386" customFormat="false" ht="21.75" hidden="false" customHeight="true" outlineLevel="0" collapsed="false">
      <c r="B386" s="15" t="n">
        <v>382</v>
      </c>
      <c r="C386" s="9" t="s">
        <v>46</v>
      </c>
      <c r="D386" s="9" t="s">
        <v>18</v>
      </c>
      <c r="E386" s="9" t="s">
        <v>84</v>
      </c>
      <c r="F386" s="9" t="s">
        <v>72</v>
      </c>
      <c r="G386" s="9" t="s">
        <v>832</v>
      </c>
      <c r="H386" s="9" t="s">
        <v>309</v>
      </c>
      <c r="I386" s="9" t="s">
        <v>310</v>
      </c>
      <c r="J386" s="9" t="s">
        <v>845</v>
      </c>
      <c r="K386" s="9" t="s">
        <v>846</v>
      </c>
      <c r="L386" s="9" t="s">
        <v>868</v>
      </c>
      <c r="M386" s="9" t="s">
        <v>116</v>
      </c>
      <c r="N386" s="9" t="s">
        <v>905</v>
      </c>
      <c r="O386" s="9" t="s">
        <v>823</v>
      </c>
      <c r="P386" s="9" t="s">
        <v>824</v>
      </c>
      <c r="Q386" s="9" t="s">
        <v>825</v>
      </c>
      <c r="R386" s="9" t="s">
        <v>826</v>
      </c>
      <c r="S386" s="9" t="s">
        <v>827</v>
      </c>
      <c r="T386" s="9" t="s">
        <v>147</v>
      </c>
      <c r="U386" s="9" t="s">
        <v>148</v>
      </c>
      <c r="V386" s="9" t="s">
        <v>236</v>
      </c>
      <c r="W386" s="9" t="s">
        <v>682</v>
      </c>
      <c r="X386" s="9" t="s">
        <v>906</v>
      </c>
      <c r="Y386" s="9" t="s">
        <v>475</v>
      </c>
      <c r="Z386" s="9" t="s">
        <v>831</v>
      </c>
      <c r="AA386" s="9" t="s">
        <v>154</v>
      </c>
      <c r="AB386" s="19" t="n">
        <v>1490</v>
      </c>
      <c r="AC386" s="9"/>
      <c r="AD386" s="9"/>
      <c r="AE386" s="9" t="s">
        <v>907</v>
      </c>
    </row>
    <row r="387" customFormat="false" ht="21.75" hidden="false" customHeight="true" outlineLevel="0" collapsed="false">
      <c r="B387" s="14" t="n">
        <v>383</v>
      </c>
      <c r="C387" s="7" t="s">
        <v>46</v>
      </c>
      <c r="D387" s="7" t="s">
        <v>18</v>
      </c>
      <c r="E387" s="7" t="s">
        <v>84</v>
      </c>
      <c r="F387" s="7" t="s">
        <v>72</v>
      </c>
      <c r="G387" s="7" t="s">
        <v>856</v>
      </c>
      <c r="H387" s="7" t="s">
        <v>309</v>
      </c>
      <c r="I387" s="7" t="s">
        <v>310</v>
      </c>
      <c r="J387" s="7" t="s">
        <v>845</v>
      </c>
      <c r="K387" s="7" t="s">
        <v>846</v>
      </c>
      <c r="L387" s="7" t="s">
        <v>868</v>
      </c>
      <c r="M387" s="7" t="s">
        <v>116</v>
      </c>
      <c r="N387" s="7" t="s">
        <v>905</v>
      </c>
      <c r="O387" s="7" t="s">
        <v>823</v>
      </c>
      <c r="P387" s="7" t="s">
        <v>824</v>
      </c>
      <c r="Q387" s="7" t="s">
        <v>825</v>
      </c>
      <c r="R387" s="7" t="s">
        <v>826</v>
      </c>
      <c r="S387" s="7" t="s">
        <v>827</v>
      </c>
      <c r="T387" s="7" t="s">
        <v>147</v>
      </c>
      <c r="U387" s="7" t="s">
        <v>148</v>
      </c>
      <c r="V387" s="7" t="s">
        <v>236</v>
      </c>
      <c r="W387" s="7" t="s">
        <v>682</v>
      </c>
      <c r="X387" s="7" t="s">
        <v>906</v>
      </c>
      <c r="Y387" s="7" t="s">
        <v>475</v>
      </c>
      <c r="Z387" s="7" t="s">
        <v>831</v>
      </c>
      <c r="AA387" s="7" t="s">
        <v>154</v>
      </c>
      <c r="AB387" s="18" t="n">
        <v>2235</v>
      </c>
      <c r="AC387" s="7"/>
      <c r="AD387" s="7"/>
      <c r="AE387" s="7" t="s">
        <v>165</v>
      </c>
    </row>
    <row r="388" customFormat="false" ht="21.75" hidden="false" customHeight="true" outlineLevel="0" collapsed="false">
      <c r="B388" s="15" t="n">
        <v>384</v>
      </c>
      <c r="C388" s="9" t="s">
        <v>46</v>
      </c>
      <c r="D388" s="9" t="s">
        <v>18</v>
      </c>
      <c r="E388" s="9" t="s">
        <v>84</v>
      </c>
      <c r="F388" s="9" t="s">
        <v>72</v>
      </c>
      <c r="G388" s="9" t="s">
        <v>859</v>
      </c>
      <c r="H388" s="9" t="s">
        <v>315</v>
      </c>
      <c r="I388" s="9" t="s">
        <v>316</v>
      </c>
      <c r="J388" s="9" t="s">
        <v>845</v>
      </c>
      <c r="K388" s="9" t="s">
        <v>846</v>
      </c>
      <c r="L388" s="9" t="s">
        <v>868</v>
      </c>
      <c r="M388" s="9" t="s">
        <v>116</v>
      </c>
      <c r="N388" s="9" t="s">
        <v>905</v>
      </c>
      <c r="O388" s="9" t="s">
        <v>823</v>
      </c>
      <c r="P388" s="9" t="s">
        <v>824</v>
      </c>
      <c r="Q388" s="9" t="s">
        <v>825</v>
      </c>
      <c r="R388" s="9" t="s">
        <v>826</v>
      </c>
      <c r="S388" s="9" t="s">
        <v>827</v>
      </c>
      <c r="T388" s="9" t="s">
        <v>147</v>
      </c>
      <c r="U388" s="9" t="s">
        <v>148</v>
      </c>
      <c r="V388" s="9" t="s">
        <v>236</v>
      </c>
      <c r="W388" s="9" t="s">
        <v>682</v>
      </c>
      <c r="X388" s="9" t="s">
        <v>906</v>
      </c>
      <c r="Y388" s="9" t="s">
        <v>475</v>
      </c>
      <c r="Z388" s="9" t="s">
        <v>831</v>
      </c>
      <c r="AA388" s="9" t="s">
        <v>154</v>
      </c>
      <c r="AB388" s="19" t="n">
        <v>3280</v>
      </c>
      <c r="AC388" s="9"/>
      <c r="AD388" s="9"/>
      <c r="AE388" s="9" t="s">
        <v>167</v>
      </c>
    </row>
    <row r="389" customFormat="false" ht="21.75" hidden="false" customHeight="true" outlineLevel="0" collapsed="false">
      <c r="B389" s="14" t="n">
        <v>385</v>
      </c>
      <c r="C389" s="7" t="s">
        <v>46</v>
      </c>
      <c r="D389" s="7" t="s">
        <v>18</v>
      </c>
      <c r="E389" s="7" t="s">
        <v>84</v>
      </c>
      <c r="F389" s="7" t="s">
        <v>73</v>
      </c>
      <c r="G389" s="7" t="s">
        <v>908</v>
      </c>
      <c r="H389" s="7" t="s">
        <v>136</v>
      </c>
      <c r="I389" s="7" t="s">
        <v>137</v>
      </c>
      <c r="J389" s="7" t="s">
        <v>396</v>
      </c>
      <c r="K389" s="7" t="s">
        <v>909</v>
      </c>
      <c r="L389" s="7" t="s">
        <v>281</v>
      </c>
      <c r="M389" s="7" t="s">
        <v>116</v>
      </c>
      <c r="N389" s="7" t="s">
        <v>910</v>
      </c>
      <c r="O389" s="7" t="s">
        <v>823</v>
      </c>
      <c r="P389" s="7" t="s">
        <v>824</v>
      </c>
      <c r="Q389" s="7" t="s">
        <v>825</v>
      </c>
      <c r="R389" s="7" t="s">
        <v>826</v>
      </c>
      <c r="S389" s="7" t="s">
        <v>827</v>
      </c>
      <c r="T389" s="7" t="s">
        <v>147</v>
      </c>
      <c r="U389" s="7" t="s">
        <v>148</v>
      </c>
      <c r="V389" s="7" t="s">
        <v>380</v>
      </c>
      <c r="W389" s="7" t="s">
        <v>682</v>
      </c>
      <c r="X389" s="7" t="s">
        <v>849</v>
      </c>
      <c r="Y389" s="7" t="s">
        <v>850</v>
      </c>
      <c r="Z389" s="7" t="s">
        <v>831</v>
      </c>
      <c r="AA389" s="7" t="s">
        <v>154</v>
      </c>
      <c r="AB389" s="18" t="n">
        <v>795</v>
      </c>
      <c r="AC389" s="7"/>
      <c r="AD389" s="7"/>
      <c r="AE389" s="7" t="s">
        <v>155</v>
      </c>
    </row>
    <row r="390" customFormat="false" ht="21.75" hidden="false" customHeight="true" outlineLevel="0" collapsed="false">
      <c r="B390" s="15" t="n">
        <v>386</v>
      </c>
      <c r="C390" s="9" t="s">
        <v>46</v>
      </c>
      <c r="D390" s="9" t="s">
        <v>18</v>
      </c>
      <c r="E390" s="9" t="s">
        <v>84</v>
      </c>
      <c r="F390" s="9" t="s">
        <v>73</v>
      </c>
      <c r="G390" s="9" t="s">
        <v>911</v>
      </c>
      <c r="H390" s="9" t="s">
        <v>157</v>
      </c>
      <c r="I390" s="9" t="s">
        <v>158</v>
      </c>
      <c r="J390" s="9" t="s">
        <v>396</v>
      </c>
      <c r="K390" s="9" t="s">
        <v>909</v>
      </c>
      <c r="L390" s="9" t="s">
        <v>281</v>
      </c>
      <c r="M390" s="9" t="s">
        <v>116</v>
      </c>
      <c r="N390" s="9" t="s">
        <v>910</v>
      </c>
      <c r="O390" s="9" t="s">
        <v>823</v>
      </c>
      <c r="P390" s="9" t="s">
        <v>824</v>
      </c>
      <c r="Q390" s="9" t="s">
        <v>825</v>
      </c>
      <c r="R390" s="9" t="s">
        <v>826</v>
      </c>
      <c r="S390" s="9" t="s">
        <v>827</v>
      </c>
      <c r="T390" s="9" t="s">
        <v>147</v>
      </c>
      <c r="U390" s="9" t="s">
        <v>148</v>
      </c>
      <c r="V390" s="9" t="s">
        <v>380</v>
      </c>
      <c r="W390" s="9" t="s">
        <v>682</v>
      </c>
      <c r="X390" s="9" t="s">
        <v>849</v>
      </c>
      <c r="Y390" s="9" t="s">
        <v>850</v>
      </c>
      <c r="Z390" s="9" t="s">
        <v>831</v>
      </c>
      <c r="AA390" s="9" t="s">
        <v>154</v>
      </c>
      <c r="AB390" s="19" t="n">
        <v>1190</v>
      </c>
      <c r="AC390" s="9"/>
      <c r="AD390" s="9"/>
      <c r="AE390" s="9" t="s">
        <v>159</v>
      </c>
    </row>
    <row r="391" customFormat="false" ht="21.75" hidden="false" customHeight="true" outlineLevel="0" collapsed="false">
      <c r="B391" s="14" t="n">
        <v>387</v>
      </c>
      <c r="C391" s="7" t="s">
        <v>46</v>
      </c>
      <c r="D391" s="7" t="s">
        <v>18</v>
      </c>
      <c r="E391" s="7" t="s">
        <v>84</v>
      </c>
      <c r="F391" s="7" t="s">
        <v>73</v>
      </c>
      <c r="G391" s="7" t="s">
        <v>912</v>
      </c>
      <c r="H391" s="7" t="s">
        <v>157</v>
      </c>
      <c r="I391" s="7" t="s">
        <v>158</v>
      </c>
      <c r="J391" s="7" t="s">
        <v>396</v>
      </c>
      <c r="K391" s="7" t="s">
        <v>909</v>
      </c>
      <c r="L391" s="7" t="s">
        <v>281</v>
      </c>
      <c r="M391" s="7" t="s">
        <v>116</v>
      </c>
      <c r="N391" s="7" t="s">
        <v>910</v>
      </c>
      <c r="O391" s="7" t="s">
        <v>823</v>
      </c>
      <c r="P391" s="7" t="s">
        <v>824</v>
      </c>
      <c r="Q391" s="7" t="s">
        <v>825</v>
      </c>
      <c r="R391" s="7" t="s">
        <v>826</v>
      </c>
      <c r="S391" s="7" t="s">
        <v>827</v>
      </c>
      <c r="T391" s="7" t="s">
        <v>147</v>
      </c>
      <c r="U391" s="7" t="s">
        <v>148</v>
      </c>
      <c r="V391" s="7" t="s">
        <v>380</v>
      </c>
      <c r="W391" s="7" t="s">
        <v>682</v>
      </c>
      <c r="X391" s="7" t="s">
        <v>849</v>
      </c>
      <c r="Y391" s="7" t="s">
        <v>850</v>
      </c>
      <c r="Z391" s="7" t="s">
        <v>831</v>
      </c>
      <c r="AA391" s="7" t="s">
        <v>154</v>
      </c>
      <c r="AB391" s="18" t="n">
        <v>1590</v>
      </c>
      <c r="AC391" s="7"/>
      <c r="AD391" s="7"/>
      <c r="AE391" s="7" t="s">
        <v>913</v>
      </c>
    </row>
    <row r="392" customFormat="false" ht="21.75" hidden="false" customHeight="true" outlineLevel="0" collapsed="false">
      <c r="B392" s="15" t="n">
        <v>388</v>
      </c>
      <c r="C392" s="9" t="s">
        <v>46</v>
      </c>
      <c r="D392" s="9" t="s">
        <v>18</v>
      </c>
      <c r="E392" s="9" t="s">
        <v>84</v>
      </c>
      <c r="F392" s="9" t="s">
        <v>73</v>
      </c>
      <c r="G392" s="9" t="s">
        <v>914</v>
      </c>
      <c r="H392" s="9" t="s">
        <v>163</v>
      </c>
      <c r="I392" s="9" t="s">
        <v>164</v>
      </c>
      <c r="J392" s="9" t="s">
        <v>396</v>
      </c>
      <c r="K392" s="9" t="s">
        <v>909</v>
      </c>
      <c r="L392" s="9" t="s">
        <v>281</v>
      </c>
      <c r="M392" s="9" t="s">
        <v>116</v>
      </c>
      <c r="N392" s="9" t="s">
        <v>910</v>
      </c>
      <c r="O392" s="9" t="s">
        <v>823</v>
      </c>
      <c r="P392" s="9" t="s">
        <v>824</v>
      </c>
      <c r="Q392" s="9" t="s">
        <v>825</v>
      </c>
      <c r="R392" s="9" t="s">
        <v>826</v>
      </c>
      <c r="S392" s="9" t="s">
        <v>827</v>
      </c>
      <c r="T392" s="9" t="s">
        <v>147</v>
      </c>
      <c r="U392" s="9" t="s">
        <v>148</v>
      </c>
      <c r="V392" s="9" t="s">
        <v>380</v>
      </c>
      <c r="W392" s="9" t="s">
        <v>682</v>
      </c>
      <c r="X392" s="9" t="s">
        <v>849</v>
      </c>
      <c r="Y392" s="9" t="s">
        <v>850</v>
      </c>
      <c r="Z392" s="9" t="s">
        <v>831</v>
      </c>
      <c r="AA392" s="9" t="s">
        <v>154</v>
      </c>
      <c r="AB392" s="19" t="n">
        <v>2385</v>
      </c>
      <c r="AC392" s="9"/>
      <c r="AD392" s="9"/>
      <c r="AE392" s="9" t="s">
        <v>165</v>
      </c>
    </row>
    <row r="393" customFormat="false" ht="21.75" hidden="false" customHeight="true" outlineLevel="0" collapsed="false">
      <c r="B393" s="14" t="n">
        <v>389</v>
      </c>
      <c r="C393" s="7" t="s">
        <v>46</v>
      </c>
      <c r="D393" s="7" t="s">
        <v>18</v>
      </c>
      <c r="E393" s="7" t="s">
        <v>84</v>
      </c>
      <c r="F393" s="7" t="s">
        <v>73</v>
      </c>
      <c r="G393" s="7" t="s">
        <v>915</v>
      </c>
      <c r="H393" s="7" t="s">
        <v>163</v>
      </c>
      <c r="I393" s="7" t="s">
        <v>164</v>
      </c>
      <c r="J393" s="7" t="s">
        <v>396</v>
      </c>
      <c r="K393" s="7" t="s">
        <v>909</v>
      </c>
      <c r="L393" s="7" t="s">
        <v>281</v>
      </c>
      <c r="M393" s="7" t="s">
        <v>116</v>
      </c>
      <c r="N393" s="7" t="s">
        <v>910</v>
      </c>
      <c r="O393" s="7" t="s">
        <v>823</v>
      </c>
      <c r="P393" s="7" t="s">
        <v>824</v>
      </c>
      <c r="Q393" s="7" t="s">
        <v>825</v>
      </c>
      <c r="R393" s="7" t="s">
        <v>826</v>
      </c>
      <c r="S393" s="7" t="s">
        <v>827</v>
      </c>
      <c r="T393" s="7" t="s">
        <v>147</v>
      </c>
      <c r="U393" s="7" t="s">
        <v>148</v>
      </c>
      <c r="V393" s="7" t="s">
        <v>380</v>
      </c>
      <c r="W393" s="7" t="s">
        <v>682</v>
      </c>
      <c r="X393" s="7" t="s">
        <v>849</v>
      </c>
      <c r="Y393" s="7" t="s">
        <v>850</v>
      </c>
      <c r="Z393" s="7" t="s">
        <v>831</v>
      </c>
      <c r="AA393" s="7" t="s">
        <v>154</v>
      </c>
      <c r="AB393" s="18" t="n">
        <v>3500</v>
      </c>
      <c r="AC393" s="7"/>
      <c r="AD393" s="7"/>
      <c r="AE393" s="7" t="s">
        <v>167</v>
      </c>
    </row>
    <row r="394" customFormat="false" ht="21.75" hidden="false" customHeight="true" outlineLevel="0" collapsed="false">
      <c r="B394" s="15" t="n">
        <v>390</v>
      </c>
      <c r="C394" s="9" t="s">
        <v>46</v>
      </c>
      <c r="D394" s="9" t="s">
        <v>18</v>
      </c>
      <c r="E394" s="9" t="s">
        <v>84</v>
      </c>
      <c r="F394" s="9" t="s">
        <v>74</v>
      </c>
      <c r="G394" s="9" t="s">
        <v>321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9"/>
      <c r="AC394" s="9"/>
      <c r="AD394" s="9"/>
      <c r="AE394" s="9" t="s">
        <v>916</v>
      </c>
    </row>
    <row r="395" customFormat="false" ht="21.75" hidden="false" customHeight="true" outlineLevel="0" collapsed="false">
      <c r="B395" s="14" t="n">
        <v>391</v>
      </c>
      <c r="C395" s="7" t="s">
        <v>47</v>
      </c>
      <c r="D395" s="7" t="s">
        <v>88</v>
      </c>
      <c r="E395" s="7" t="s">
        <v>89</v>
      </c>
      <c r="F395" s="7" t="s">
        <v>61</v>
      </c>
      <c r="G395" s="7" t="s">
        <v>917</v>
      </c>
      <c r="H395" s="7" t="s">
        <v>136</v>
      </c>
      <c r="I395" s="7" t="s">
        <v>137</v>
      </c>
      <c r="J395" s="7" t="s">
        <v>468</v>
      </c>
      <c r="K395" s="7" t="s">
        <v>918</v>
      </c>
      <c r="L395" s="7" t="s">
        <v>205</v>
      </c>
      <c r="M395" s="7" t="s">
        <v>116</v>
      </c>
      <c r="N395" s="7" t="s">
        <v>919</v>
      </c>
      <c r="O395" s="7" t="s">
        <v>920</v>
      </c>
      <c r="P395" s="7" t="s">
        <v>144</v>
      </c>
      <c r="Q395" s="7" t="s">
        <v>329</v>
      </c>
      <c r="R395" s="7" t="s">
        <v>330</v>
      </c>
      <c r="S395" s="7" t="s">
        <v>472</v>
      </c>
      <c r="T395" s="7" t="s">
        <v>147</v>
      </c>
      <c r="U395" s="7" t="s">
        <v>148</v>
      </c>
      <c r="V395" s="7" t="s">
        <v>473</v>
      </c>
      <c r="W395" s="7" t="s">
        <v>921</v>
      </c>
      <c r="X395" s="7" t="s">
        <v>922</v>
      </c>
      <c r="Y395" s="7" t="s">
        <v>923</v>
      </c>
      <c r="Z395" s="7" t="s">
        <v>461</v>
      </c>
      <c r="AA395" s="7" t="s">
        <v>154</v>
      </c>
      <c r="AB395" s="18" t="n">
        <v>155</v>
      </c>
      <c r="AC395" s="7"/>
      <c r="AD395" s="7"/>
      <c r="AE395" s="7" t="s">
        <v>155</v>
      </c>
    </row>
    <row r="396" customFormat="false" ht="21.75" hidden="false" customHeight="true" outlineLevel="0" collapsed="false">
      <c r="B396" s="15" t="n">
        <v>392</v>
      </c>
      <c r="C396" s="9" t="s">
        <v>47</v>
      </c>
      <c r="D396" s="9" t="s">
        <v>88</v>
      </c>
      <c r="E396" s="9" t="s">
        <v>89</v>
      </c>
      <c r="F396" s="9" t="s">
        <v>61</v>
      </c>
      <c r="G396" s="9" t="s">
        <v>924</v>
      </c>
      <c r="H396" s="9" t="s">
        <v>157</v>
      </c>
      <c r="I396" s="9" t="s">
        <v>158</v>
      </c>
      <c r="J396" s="9" t="s">
        <v>468</v>
      </c>
      <c r="K396" s="9" t="s">
        <v>918</v>
      </c>
      <c r="L396" s="9" t="s">
        <v>205</v>
      </c>
      <c r="M396" s="9" t="s">
        <v>116</v>
      </c>
      <c r="N396" s="9" t="s">
        <v>919</v>
      </c>
      <c r="O396" s="9" t="s">
        <v>920</v>
      </c>
      <c r="P396" s="9" t="s">
        <v>144</v>
      </c>
      <c r="Q396" s="9" t="s">
        <v>329</v>
      </c>
      <c r="R396" s="9" t="s">
        <v>330</v>
      </c>
      <c r="S396" s="9" t="s">
        <v>472</v>
      </c>
      <c r="T396" s="9" t="s">
        <v>147</v>
      </c>
      <c r="U396" s="9" t="s">
        <v>148</v>
      </c>
      <c r="V396" s="9" t="s">
        <v>473</v>
      </c>
      <c r="W396" s="9" t="s">
        <v>921</v>
      </c>
      <c r="X396" s="9" t="s">
        <v>922</v>
      </c>
      <c r="Y396" s="9" t="s">
        <v>923</v>
      </c>
      <c r="Z396" s="9" t="s">
        <v>461</v>
      </c>
      <c r="AA396" s="9" t="s">
        <v>154</v>
      </c>
      <c r="AB396" s="19" t="n">
        <v>230</v>
      </c>
      <c r="AC396" s="9"/>
      <c r="AD396" s="9"/>
      <c r="AE396" s="9" t="s">
        <v>159</v>
      </c>
    </row>
    <row r="397" customFormat="false" ht="21.75" hidden="false" customHeight="true" outlineLevel="0" collapsed="false">
      <c r="B397" s="14" t="n">
        <v>393</v>
      </c>
      <c r="C397" s="7" t="s">
        <v>47</v>
      </c>
      <c r="D397" s="7" t="s">
        <v>88</v>
      </c>
      <c r="E397" s="7" t="s">
        <v>89</v>
      </c>
      <c r="F397" s="7" t="s">
        <v>61</v>
      </c>
      <c r="G397" s="7" t="s">
        <v>925</v>
      </c>
      <c r="H397" s="7" t="s">
        <v>157</v>
      </c>
      <c r="I397" s="7" t="s">
        <v>158</v>
      </c>
      <c r="J397" s="7" t="s">
        <v>468</v>
      </c>
      <c r="K397" s="7" t="s">
        <v>918</v>
      </c>
      <c r="L397" s="7" t="s">
        <v>205</v>
      </c>
      <c r="M397" s="7" t="s">
        <v>116</v>
      </c>
      <c r="N397" s="7" t="s">
        <v>919</v>
      </c>
      <c r="O397" s="7" t="s">
        <v>920</v>
      </c>
      <c r="P397" s="7" t="s">
        <v>144</v>
      </c>
      <c r="Q397" s="7" t="s">
        <v>329</v>
      </c>
      <c r="R397" s="7" t="s">
        <v>330</v>
      </c>
      <c r="S397" s="7" t="s">
        <v>472</v>
      </c>
      <c r="T397" s="7" t="s">
        <v>147</v>
      </c>
      <c r="U397" s="7" t="s">
        <v>148</v>
      </c>
      <c r="V397" s="7" t="s">
        <v>473</v>
      </c>
      <c r="W397" s="7" t="s">
        <v>921</v>
      </c>
      <c r="X397" s="7" t="s">
        <v>922</v>
      </c>
      <c r="Y397" s="7" t="s">
        <v>923</v>
      </c>
      <c r="Z397" s="7" t="s">
        <v>461</v>
      </c>
      <c r="AA397" s="7" t="s">
        <v>154</v>
      </c>
      <c r="AB397" s="18" t="n">
        <v>310</v>
      </c>
      <c r="AC397" s="7"/>
      <c r="AD397" s="7"/>
      <c r="AE397" s="7" t="s">
        <v>926</v>
      </c>
    </row>
    <row r="398" customFormat="false" ht="21.75" hidden="false" customHeight="true" outlineLevel="0" collapsed="false">
      <c r="B398" s="15" t="n">
        <v>394</v>
      </c>
      <c r="C398" s="9" t="s">
        <v>47</v>
      </c>
      <c r="D398" s="9" t="s">
        <v>88</v>
      </c>
      <c r="E398" s="9" t="s">
        <v>89</v>
      </c>
      <c r="F398" s="9" t="s">
        <v>61</v>
      </c>
      <c r="G398" s="9" t="s">
        <v>927</v>
      </c>
      <c r="H398" s="9" t="s">
        <v>163</v>
      </c>
      <c r="I398" s="9" t="s">
        <v>164</v>
      </c>
      <c r="J398" s="9" t="s">
        <v>468</v>
      </c>
      <c r="K398" s="9" t="s">
        <v>918</v>
      </c>
      <c r="L398" s="9" t="s">
        <v>205</v>
      </c>
      <c r="M398" s="9" t="s">
        <v>116</v>
      </c>
      <c r="N398" s="9" t="s">
        <v>919</v>
      </c>
      <c r="O398" s="9" t="s">
        <v>920</v>
      </c>
      <c r="P398" s="9" t="s">
        <v>144</v>
      </c>
      <c r="Q398" s="9" t="s">
        <v>329</v>
      </c>
      <c r="R398" s="9" t="s">
        <v>330</v>
      </c>
      <c r="S398" s="9" t="s">
        <v>472</v>
      </c>
      <c r="T398" s="9" t="s">
        <v>147</v>
      </c>
      <c r="U398" s="9" t="s">
        <v>148</v>
      </c>
      <c r="V398" s="9" t="s">
        <v>473</v>
      </c>
      <c r="W398" s="9" t="s">
        <v>921</v>
      </c>
      <c r="X398" s="9" t="s">
        <v>922</v>
      </c>
      <c r="Y398" s="9" t="s">
        <v>923</v>
      </c>
      <c r="Z398" s="9" t="s">
        <v>461</v>
      </c>
      <c r="AA398" s="9" t="s">
        <v>154</v>
      </c>
      <c r="AB398" s="19" t="n">
        <v>465</v>
      </c>
      <c r="AC398" s="9"/>
      <c r="AD398" s="9"/>
      <c r="AE398" s="9" t="s">
        <v>165</v>
      </c>
    </row>
    <row r="399" customFormat="false" ht="21.75" hidden="false" customHeight="true" outlineLevel="0" collapsed="false">
      <c r="B399" s="14" t="n">
        <v>395</v>
      </c>
      <c r="C399" s="7" t="s">
        <v>47</v>
      </c>
      <c r="D399" s="7" t="s">
        <v>88</v>
      </c>
      <c r="E399" s="7" t="s">
        <v>89</v>
      </c>
      <c r="F399" s="7" t="s">
        <v>61</v>
      </c>
      <c r="G399" s="7" t="s">
        <v>928</v>
      </c>
      <c r="H399" s="7" t="s">
        <v>163</v>
      </c>
      <c r="I399" s="7" t="s">
        <v>164</v>
      </c>
      <c r="J399" s="7" t="s">
        <v>468</v>
      </c>
      <c r="K399" s="7" t="s">
        <v>918</v>
      </c>
      <c r="L399" s="7" t="s">
        <v>205</v>
      </c>
      <c r="M399" s="7" t="s">
        <v>116</v>
      </c>
      <c r="N399" s="7" t="s">
        <v>919</v>
      </c>
      <c r="O399" s="7" t="s">
        <v>920</v>
      </c>
      <c r="P399" s="7" t="s">
        <v>144</v>
      </c>
      <c r="Q399" s="7" t="s">
        <v>329</v>
      </c>
      <c r="R399" s="7" t="s">
        <v>330</v>
      </c>
      <c r="S399" s="7" t="s">
        <v>472</v>
      </c>
      <c r="T399" s="7" t="s">
        <v>147</v>
      </c>
      <c r="U399" s="7" t="s">
        <v>148</v>
      </c>
      <c r="V399" s="7" t="s">
        <v>473</v>
      </c>
      <c r="W399" s="7" t="s">
        <v>921</v>
      </c>
      <c r="X399" s="7" t="s">
        <v>922</v>
      </c>
      <c r="Y399" s="7" t="s">
        <v>923</v>
      </c>
      <c r="Z399" s="7" t="s">
        <v>461</v>
      </c>
      <c r="AA399" s="7" t="s">
        <v>154</v>
      </c>
      <c r="AB399" s="18" t="n">
        <v>680</v>
      </c>
      <c r="AC399" s="7"/>
      <c r="AD399" s="7"/>
      <c r="AE399" s="7" t="s">
        <v>167</v>
      </c>
    </row>
    <row r="400" customFormat="false" ht="21.75" hidden="false" customHeight="true" outlineLevel="0" collapsed="false">
      <c r="B400" s="15" t="n">
        <v>396</v>
      </c>
      <c r="C400" s="9" t="s">
        <v>47</v>
      </c>
      <c r="D400" s="9" t="s">
        <v>88</v>
      </c>
      <c r="E400" s="9" t="s">
        <v>89</v>
      </c>
      <c r="F400" s="9" t="s">
        <v>62</v>
      </c>
      <c r="G400" s="9" t="s">
        <v>925</v>
      </c>
      <c r="H400" s="9" t="s">
        <v>136</v>
      </c>
      <c r="I400" s="9" t="s">
        <v>137</v>
      </c>
      <c r="J400" s="9" t="s">
        <v>468</v>
      </c>
      <c r="K400" s="9" t="s">
        <v>488</v>
      </c>
      <c r="L400" s="9" t="s">
        <v>205</v>
      </c>
      <c r="M400" s="9" t="s">
        <v>116</v>
      </c>
      <c r="N400" s="9" t="s">
        <v>929</v>
      </c>
      <c r="O400" s="9" t="s">
        <v>920</v>
      </c>
      <c r="P400" s="9" t="s">
        <v>144</v>
      </c>
      <c r="Q400" s="9" t="s">
        <v>329</v>
      </c>
      <c r="R400" s="9" t="s">
        <v>330</v>
      </c>
      <c r="S400" s="9" t="s">
        <v>472</v>
      </c>
      <c r="T400" s="9" t="s">
        <v>147</v>
      </c>
      <c r="U400" s="9" t="s">
        <v>148</v>
      </c>
      <c r="V400" s="9" t="s">
        <v>344</v>
      </c>
      <c r="W400" s="9" t="s">
        <v>921</v>
      </c>
      <c r="X400" s="9" t="s">
        <v>922</v>
      </c>
      <c r="Y400" s="9" t="s">
        <v>336</v>
      </c>
      <c r="Z400" s="9" t="s">
        <v>461</v>
      </c>
      <c r="AA400" s="9" t="s">
        <v>154</v>
      </c>
      <c r="AB400" s="19" t="n">
        <v>170</v>
      </c>
      <c r="AC400" s="9"/>
      <c r="AD400" s="9"/>
      <c r="AE400" s="9" t="s">
        <v>155</v>
      </c>
    </row>
    <row r="401" customFormat="false" ht="21.75" hidden="false" customHeight="true" outlineLevel="0" collapsed="false">
      <c r="B401" s="14" t="n">
        <v>397</v>
      </c>
      <c r="C401" s="7" t="s">
        <v>47</v>
      </c>
      <c r="D401" s="7" t="s">
        <v>88</v>
      </c>
      <c r="E401" s="7" t="s">
        <v>89</v>
      </c>
      <c r="F401" s="7" t="s">
        <v>62</v>
      </c>
      <c r="G401" s="7" t="s">
        <v>927</v>
      </c>
      <c r="H401" s="7" t="s">
        <v>157</v>
      </c>
      <c r="I401" s="7" t="s">
        <v>158</v>
      </c>
      <c r="J401" s="7" t="s">
        <v>468</v>
      </c>
      <c r="K401" s="7" t="s">
        <v>488</v>
      </c>
      <c r="L401" s="7" t="s">
        <v>205</v>
      </c>
      <c r="M401" s="7" t="s">
        <v>116</v>
      </c>
      <c r="N401" s="7" t="s">
        <v>929</v>
      </c>
      <c r="O401" s="7" t="s">
        <v>920</v>
      </c>
      <c r="P401" s="7" t="s">
        <v>144</v>
      </c>
      <c r="Q401" s="7" t="s">
        <v>329</v>
      </c>
      <c r="R401" s="7" t="s">
        <v>330</v>
      </c>
      <c r="S401" s="7" t="s">
        <v>472</v>
      </c>
      <c r="T401" s="7" t="s">
        <v>147</v>
      </c>
      <c r="U401" s="7" t="s">
        <v>148</v>
      </c>
      <c r="V401" s="7" t="s">
        <v>344</v>
      </c>
      <c r="W401" s="7" t="s">
        <v>921</v>
      </c>
      <c r="X401" s="7" t="s">
        <v>922</v>
      </c>
      <c r="Y401" s="7" t="s">
        <v>336</v>
      </c>
      <c r="Z401" s="7" t="s">
        <v>461</v>
      </c>
      <c r="AA401" s="7" t="s">
        <v>154</v>
      </c>
      <c r="AB401" s="18" t="n">
        <v>255</v>
      </c>
      <c r="AC401" s="7"/>
      <c r="AD401" s="7"/>
      <c r="AE401" s="7" t="s">
        <v>159</v>
      </c>
    </row>
    <row r="402" customFormat="false" ht="21.75" hidden="false" customHeight="true" outlineLevel="0" collapsed="false">
      <c r="B402" s="15" t="n">
        <v>398</v>
      </c>
      <c r="C402" s="9" t="s">
        <v>47</v>
      </c>
      <c r="D402" s="9" t="s">
        <v>88</v>
      </c>
      <c r="E402" s="9" t="s">
        <v>89</v>
      </c>
      <c r="F402" s="9" t="s">
        <v>62</v>
      </c>
      <c r="G402" s="9" t="s">
        <v>930</v>
      </c>
      <c r="H402" s="9" t="s">
        <v>157</v>
      </c>
      <c r="I402" s="9" t="s">
        <v>158</v>
      </c>
      <c r="J402" s="9" t="s">
        <v>468</v>
      </c>
      <c r="K402" s="9" t="s">
        <v>488</v>
      </c>
      <c r="L402" s="9" t="s">
        <v>205</v>
      </c>
      <c r="M402" s="9" t="s">
        <v>116</v>
      </c>
      <c r="N402" s="9" t="s">
        <v>929</v>
      </c>
      <c r="O402" s="9" t="s">
        <v>920</v>
      </c>
      <c r="P402" s="9" t="s">
        <v>144</v>
      </c>
      <c r="Q402" s="9" t="s">
        <v>329</v>
      </c>
      <c r="R402" s="9" t="s">
        <v>330</v>
      </c>
      <c r="S402" s="9" t="s">
        <v>472</v>
      </c>
      <c r="T402" s="9" t="s">
        <v>147</v>
      </c>
      <c r="U402" s="9" t="s">
        <v>148</v>
      </c>
      <c r="V402" s="9" t="s">
        <v>344</v>
      </c>
      <c r="W402" s="9" t="s">
        <v>921</v>
      </c>
      <c r="X402" s="9" t="s">
        <v>922</v>
      </c>
      <c r="Y402" s="9" t="s">
        <v>336</v>
      </c>
      <c r="Z402" s="9" t="s">
        <v>461</v>
      </c>
      <c r="AA402" s="9" t="s">
        <v>154</v>
      </c>
      <c r="AB402" s="19" t="n">
        <v>340</v>
      </c>
      <c r="AC402" s="9"/>
      <c r="AD402" s="9"/>
      <c r="AE402" s="9" t="s">
        <v>931</v>
      </c>
    </row>
    <row r="403" customFormat="false" ht="21.75" hidden="false" customHeight="true" outlineLevel="0" collapsed="false">
      <c r="B403" s="14" t="n">
        <v>399</v>
      </c>
      <c r="C403" s="7" t="s">
        <v>47</v>
      </c>
      <c r="D403" s="7" t="s">
        <v>88</v>
      </c>
      <c r="E403" s="7" t="s">
        <v>89</v>
      </c>
      <c r="F403" s="7" t="s">
        <v>62</v>
      </c>
      <c r="G403" s="7" t="s">
        <v>932</v>
      </c>
      <c r="H403" s="7" t="s">
        <v>163</v>
      </c>
      <c r="I403" s="7" t="s">
        <v>164</v>
      </c>
      <c r="J403" s="7" t="s">
        <v>468</v>
      </c>
      <c r="K403" s="7" t="s">
        <v>488</v>
      </c>
      <c r="L403" s="7" t="s">
        <v>205</v>
      </c>
      <c r="M403" s="7" t="s">
        <v>116</v>
      </c>
      <c r="N403" s="7" t="s">
        <v>929</v>
      </c>
      <c r="O403" s="7" t="s">
        <v>920</v>
      </c>
      <c r="P403" s="7" t="s">
        <v>144</v>
      </c>
      <c r="Q403" s="7" t="s">
        <v>329</v>
      </c>
      <c r="R403" s="7" t="s">
        <v>330</v>
      </c>
      <c r="S403" s="7" t="s">
        <v>472</v>
      </c>
      <c r="T403" s="7" t="s">
        <v>147</v>
      </c>
      <c r="U403" s="7" t="s">
        <v>148</v>
      </c>
      <c r="V403" s="7" t="s">
        <v>344</v>
      </c>
      <c r="W403" s="7" t="s">
        <v>921</v>
      </c>
      <c r="X403" s="7" t="s">
        <v>922</v>
      </c>
      <c r="Y403" s="7" t="s">
        <v>336</v>
      </c>
      <c r="Z403" s="7" t="s">
        <v>461</v>
      </c>
      <c r="AA403" s="7" t="s">
        <v>154</v>
      </c>
      <c r="AB403" s="18" t="n">
        <v>510</v>
      </c>
      <c r="AC403" s="7"/>
      <c r="AD403" s="7"/>
      <c r="AE403" s="7" t="s">
        <v>165</v>
      </c>
    </row>
    <row r="404" customFormat="false" ht="21.75" hidden="false" customHeight="true" outlineLevel="0" collapsed="false">
      <c r="B404" s="15" t="n">
        <v>400</v>
      </c>
      <c r="C404" s="9" t="s">
        <v>47</v>
      </c>
      <c r="D404" s="9" t="s">
        <v>88</v>
      </c>
      <c r="E404" s="9" t="s">
        <v>89</v>
      </c>
      <c r="F404" s="9" t="s">
        <v>62</v>
      </c>
      <c r="G404" s="9" t="s">
        <v>933</v>
      </c>
      <c r="H404" s="9" t="s">
        <v>163</v>
      </c>
      <c r="I404" s="9" t="s">
        <v>164</v>
      </c>
      <c r="J404" s="9" t="s">
        <v>468</v>
      </c>
      <c r="K404" s="9" t="s">
        <v>488</v>
      </c>
      <c r="L404" s="9" t="s">
        <v>205</v>
      </c>
      <c r="M404" s="9" t="s">
        <v>116</v>
      </c>
      <c r="N404" s="9" t="s">
        <v>929</v>
      </c>
      <c r="O404" s="9" t="s">
        <v>920</v>
      </c>
      <c r="P404" s="9" t="s">
        <v>144</v>
      </c>
      <c r="Q404" s="9" t="s">
        <v>329</v>
      </c>
      <c r="R404" s="9" t="s">
        <v>330</v>
      </c>
      <c r="S404" s="9" t="s">
        <v>472</v>
      </c>
      <c r="T404" s="9" t="s">
        <v>147</v>
      </c>
      <c r="U404" s="9" t="s">
        <v>148</v>
      </c>
      <c r="V404" s="9" t="s">
        <v>344</v>
      </c>
      <c r="W404" s="9" t="s">
        <v>921</v>
      </c>
      <c r="X404" s="9" t="s">
        <v>922</v>
      </c>
      <c r="Y404" s="9" t="s">
        <v>336</v>
      </c>
      <c r="Z404" s="9" t="s">
        <v>461</v>
      </c>
      <c r="AA404" s="9" t="s">
        <v>154</v>
      </c>
      <c r="AB404" s="19" t="n">
        <v>750</v>
      </c>
      <c r="AC404" s="9"/>
      <c r="AD404" s="9"/>
      <c r="AE404" s="9" t="s">
        <v>167</v>
      </c>
    </row>
    <row r="405" customFormat="false" ht="21.75" hidden="false" customHeight="true" outlineLevel="0" collapsed="false">
      <c r="B405" s="14" t="n">
        <v>401</v>
      </c>
      <c r="C405" s="7" t="s">
        <v>47</v>
      </c>
      <c r="D405" s="7" t="s">
        <v>88</v>
      </c>
      <c r="E405" s="7" t="s">
        <v>89</v>
      </c>
      <c r="F405" s="7" t="s">
        <v>63</v>
      </c>
      <c r="G405" s="7" t="s">
        <v>934</v>
      </c>
      <c r="H405" s="7" t="s">
        <v>136</v>
      </c>
      <c r="I405" s="7" t="s">
        <v>137</v>
      </c>
      <c r="J405" s="7" t="s">
        <v>468</v>
      </c>
      <c r="K405" s="7" t="s">
        <v>488</v>
      </c>
      <c r="L405" s="7" t="s">
        <v>205</v>
      </c>
      <c r="M405" s="7" t="s">
        <v>116</v>
      </c>
      <c r="N405" s="7" t="s">
        <v>929</v>
      </c>
      <c r="O405" s="7" t="s">
        <v>920</v>
      </c>
      <c r="P405" s="7" t="s">
        <v>144</v>
      </c>
      <c r="Q405" s="7" t="s">
        <v>329</v>
      </c>
      <c r="R405" s="7" t="s">
        <v>330</v>
      </c>
      <c r="S405" s="7" t="s">
        <v>472</v>
      </c>
      <c r="T405" s="7" t="s">
        <v>356</v>
      </c>
      <c r="U405" s="7" t="s">
        <v>148</v>
      </c>
      <c r="V405" s="7" t="s">
        <v>473</v>
      </c>
      <c r="W405" s="7" t="s">
        <v>921</v>
      </c>
      <c r="X405" s="7" t="s">
        <v>935</v>
      </c>
      <c r="Y405" s="7" t="s">
        <v>389</v>
      </c>
      <c r="Z405" s="7" t="s">
        <v>461</v>
      </c>
      <c r="AA405" s="7" t="s">
        <v>183</v>
      </c>
      <c r="AB405" s="18" t="n">
        <v>150</v>
      </c>
      <c r="AC405" s="7"/>
      <c r="AD405" s="7"/>
      <c r="AE405" s="7" t="s">
        <v>155</v>
      </c>
    </row>
    <row r="406" customFormat="false" ht="21.75" hidden="false" customHeight="true" outlineLevel="0" collapsed="false">
      <c r="B406" s="15" t="n">
        <v>402</v>
      </c>
      <c r="C406" s="9" t="s">
        <v>47</v>
      </c>
      <c r="D406" s="9" t="s">
        <v>88</v>
      </c>
      <c r="E406" s="9" t="s">
        <v>89</v>
      </c>
      <c r="F406" s="9" t="s">
        <v>63</v>
      </c>
      <c r="G406" s="9" t="s">
        <v>936</v>
      </c>
      <c r="H406" s="9" t="s">
        <v>157</v>
      </c>
      <c r="I406" s="9" t="s">
        <v>158</v>
      </c>
      <c r="J406" s="9" t="s">
        <v>468</v>
      </c>
      <c r="K406" s="9" t="s">
        <v>488</v>
      </c>
      <c r="L406" s="9" t="s">
        <v>205</v>
      </c>
      <c r="M406" s="9" t="s">
        <v>116</v>
      </c>
      <c r="N406" s="9" t="s">
        <v>929</v>
      </c>
      <c r="O406" s="9" t="s">
        <v>920</v>
      </c>
      <c r="P406" s="9" t="s">
        <v>144</v>
      </c>
      <c r="Q406" s="9" t="s">
        <v>329</v>
      </c>
      <c r="R406" s="9" t="s">
        <v>330</v>
      </c>
      <c r="S406" s="9" t="s">
        <v>472</v>
      </c>
      <c r="T406" s="9" t="s">
        <v>356</v>
      </c>
      <c r="U406" s="9" t="s">
        <v>148</v>
      </c>
      <c r="V406" s="9" t="s">
        <v>473</v>
      </c>
      <c r="W406" s="9" t="s">
        <v>921</v>
      </c>
      <c r="X406" s="9" t="s">
        <v>935</v>
      </c>
      <c r="Y406" s="9" t="s">
        <v>389</v>
      </c>
      <c r="Z406" s="9" t="s">
        <v>461</v>
      </c>
      <c r="AA406" s="9" t="s">
        <v>183</v>
      </c>
      <c r="AB406" s="19" t="n">
        <v>225</v>
      </c>
      <c r="AC406" s="9"/>
      <c r="AD406" s="9"/>
      <c r="AE406" s="9" t="s">
        <v>159</v>
      </c>
    </row>
    <row r="407" customFormat="false" ht="21.75" hidden="false" customHeight="true" outlineLevel="0" collapsed="false">
      <c r="B407" s="14" t="n">
        <v>403</v>
      </c>
      <c r="C407" s="7" t="s">
        <v>47</v>
      </c>
      <c r="D407" s="7" t="s">
        <v>88</v>
      </c>
      <c r="E407" s="7" t="s">
        <v>89</v>
      </c>
      <c r="F407" s="7" t="s">
        <v>63</v>
      </c>
      <c r="G407" s="7" t="s">
        <v>937</v>
      </c>
      <c r="H407" s="7" t="s">
        <v>157</v>
      </c>
      <c r="I407" s="7" t="s">
        <v>158</v>
      </c>
      <c r="J407" s="7" t="s">
        <v>468</v>
      </c>
      <c r="K407" s="7" t="s">
        <v>488</v>
      </c>
      <c r="L407" s="7" t="s">
        <v>205</v>
      </c>
      <c r="M407" s="7" t="s">
        <v>116</v>
      </c>
      <c r="N407" s="7" t="s">
        <v>929</v>
      </c>
      <c r="O407" s="7" t="s">
        <v>920</v>
      </c>
      <c r="P407" s="7" t="s">
        <v>144</v>
      </c>
      <c r="Q407" s="7" t="s">
        <v>329</v>
      </c>
      <c r="R407" s="7" t="s">
        <v>330</v>
      </c>
      <c r="S407" s="7" t="s">
        <v>472</v>
      </c>
      <c r="T407" s="7" t="s">
        <v>356</v>
      </c>
      <c r="U407" s="7" t="s">
        <v>148</v>
      </c>
      <c r="V407" s="7" t="s">
        <v>473</v>
      </c>
      <c r="W407" s="7" t="s">
        <v>921</v>
      </c>
      <c r="X407" s="7" t="s">
        <v>935</v>
      </c>
      <c r="Y407" s="7" t="s">
        <v>389</v>
      </c>
      <c r="Z407" s="7" t="s">
        <v>461</v>
      </c>
      <c r="AA407" s="7" t="s">
        <v>183</v>
      </c>
      <c r="AB407" s="18" t="n">
        <v>300</v>
      </c>
      <c r="AC407" s="7"/>
      <c r="AD407" s="7"/>
      <c r="AE407" s="7" t="s">
        <v>938</v>
      </c>
    </row>
    <row r="408" customFormat="false" ht="21.75" hidden="false" customHeight="true" outlineLevel="0" collapsed="false">
      <c r="B408" s="15" t="n">
        <v>404</v>
      </c>
      <c r="C408" s="9" t="s">
        <v>47</v>
      </c>
      <c r="D408" s="9" t="s">
        <v>88</v>
      </c>
      <c r="E408" s="9" t="s">
        <v>89</v>
      </c>
      <c r="F408" s="9" t="s">
        <v>63</v>
      </c>
      <c r="G408" s="9" t="s">
        <v>939</v>
      </c>
      <c r="H408" s="9" t="s">
        <v>163</v>
      </c>
      <c r="I408" s="9" t="s">
        <v>164</v>
      </c>
      <c r="J408" s="9" t="s">
        <v>468</v>
      </c>
      <c r="K408" s="9" t="s">
        <v>488</v>
      </c>
      <c r="L408" s="9" t="s">
        <v>205</v>
      </c>
      <c r="M408" s="9" t="s">
        <v>116</v>
      </c>
      <c r="N408" s="9" t="s">
        <v>929</v>
      </c>
      <c r="O408" s="9" t="s">
        <v>920</v>
      </c>
      <c r="P408" s="9" t="s">
        <v>144</v>
      </c>
      <c r="Q408" s="9" t="s">
        <v>329</v>
      </c>
      <c r="R408" s="9" t="s">
        <v>330</v>
      </c>
      <c r="S408" s="9" t="s">
        <v>472</v>
      </c>
      <c r="T408" s="9" t="s">
        <v>356</v>
      </c>
      <c r="U408" s="9" t="s">
        <v>148</v>
      </c>
      <c r="V408" s="9" t="s">
        <v>473</v>
      </c>
      <c r="W408" s="9" t="s">
        <v>921</v>
      </c>
      <c r="X408" s="9" t="s">
        <v>935</v>
      </c>
      <c r="Y408" s="9" t="s">
        <v>389</v>
      </c>
      <c r="Z408" s="9" t="s">
        <v>461</v>
      </c>
      <c r="AA408" s="9" t="s">
        <v>183</v>
      </c>
      <c r="AB408" s="19" t="n">
        <v>450</v>
      </c>
      <c r="AC408" s="9"/>
      <c r="AD408" s="9"/>
      <c r="AE408" s="9" t="s">
        <v>165</v>
      </c>
    </row>
    <row r="409" customFormat="false" ht="21.75" hidden="false" customHeight="true" outlineLevel="0" collapsed="false">
      <c r="B409" s="14" t="n">
        <v>405</v>
      </c>
      <c r="C409" s="7" t="s">
        <v>47</v>
      </c>
      <c r="D409" s="7" t="s">
        <v>88</v>
      </c>
      <c r="E409" s="7" t="s">
        <v>89</v>
      </c>
      <c r="F409" s="7" t="s">
        <v>63</v>
      </c>
      <c r="G409" s="7" t="s">
        <v>940</v>
      </c>
      <c r="H409" s="7" t="s">
        <v>163</v>
      </c>
      <c r="I409" s="7" t="s">
        <v>164</v>
      </c>
      <c r="J409" s="7" t="s">
        <v>468</v>
      </c>
      <c r="K409" s="7" t="s">
        <v>488</v>
      </c>
      <c r="L409" s="7" t="s">
        <v>205</v>
      </c>
      <c r="M409" s="7" t="s">
        <v>116</v>
      </c>
      <c r="N409" s="7" t="s">
        <v>929</v>
      </c>
      <c r="O409" s="7" t="s">
        <v>920</v>
      </c>
      <c r="P409" s="7" t="s">
        <v>144</v>
      </c>
      <c r="Q409" s="7" t="s">
        <v>329</v>
      </c>
      <c r="R409" s="7" t="s">
        <v>330</v>
      </c>
      <c r="S409" s="7" t="s">
        <v>472</v>
      </c>
      <c r="T409" s="7" t="s">
        <v>356</v>
      </c>
      <c r="U409" s="7" t="s">
        <v>148</v>
      </c>
      <c r="V409" s="7" t="s">
        <v>473</v>
      </c>
      <c r="W409" s="7" t="s">
        <v>921</v>
      </c>
      <c r="X409" s="7" t="s">
        <v>935</v>
      </c>
      <c r="Y409" s="7" t="s">
        <v>389</v>
      </c>
      <c r="Z409" s="7" t="s">
        <v>461</v>
      </c>
      <c r="AA409" s="7" t="s">
        <v>183</v>
      </c>
      <c r="AB409" s="18" t="n">
        <v>660</v>
      </c>
      <c r="AC409" s="7"/>
      <c r="AD409" s="7"/>
      <c r="AE409" s="7" t="s">
        <v>167</v>
      </c>
    </row>
    <row r="410" customFormat="false" ht="21.75" hidden="false" customHeight="true" outlineLevel="0" collapsed="false">
      <c r="B410" s="15" t="n">
        <v>406</v>
      </c>
      <c r="C410" s="9" t="s">
        <v>47</v>
      </c>
      <c r="D410" s="9" t="s">
        <v>88</v>
      </c>
      <c r="E410" s="9" t="s">
        <v>89</v>
      </c>
      <c r="F410" s="9" t="s">
        <v>64</v>
      </c>
      <c r="G410" s="9" t="s">
        <v>941</v>
      </c>
      <c r="H410" s="9" t="s">
        <v>136</v>
      </c>
      <c r="I410" s="9" t="s">
        <v>137</v>
      </c>
      <c r="J410" s="9" t="s">
        <v>203</v>
      </c>
      <c r="K410" s="9" t="s">
        <v>365</v>
      </c>
      <c r="L410" s="9" t="s">
        <v>942</v>
      </c>
      <c r="M410" s="9" t="s">
        <v>116</v>
      </c>
      <c r="N410" s="9" t="s">
        <v>511</v>
      </c>
      <c r="O410" s="9" t="s">
        <v>920</v>
      </c>
      <c r="P410" s="9" t="s">
        <v>144</v>
      </c>
      <c r="Q410" s="9" t="s">
        <v>329</v>
      </c>
      <c r="R410" s="9" t="s">
        <v>330</v>
      </c>
      <c r="S410" s="9" t="s">
        <v>472</v>
      </c>
      <c r="T410" s="9" t="s">
        <v>193</v>
      </c>
      <c r="U410" s="9" t="s">
        <v>194</v>
      </c>
      <c r="V410" s="9" t="s">
        <v>195</v>
      </c>
      <c r="W410" s="9" t="s">
        <v>921</v>
      </c>
      <c r="X410" s="9" t="s">
        <v>943</v>
      </c>
      <c r="Y410" s="9" t="s">
        <v>626</v>
      </c>
      <c r="Z410" s="9" t="s">
        <v>461</v>
      </c>
      <c r="AA410" s="9" t="s">
        <v>183</v>
      </c>
      <c r="AB410" s="19" t="n">
        <v>725</v>
      </c>
      <c r="AC410" s="9"/>
      <c r="AD410" s="9"/>
      <c r="AE410" s="9" t="s">
        <v>155</v>
      </c>
    </row>
    <row r="411" customFormat="false" ht="21.75" hidden="false" customHeight="true" outlineLevel="0" collapsed="false">
      <c r="B411" s="14" t="n">
        <v>407</v>
      </c>
      <c r="C411" s="7" t="s">
        <v>47</v>
      </c>
      <c r="D411" s="7" t="s">
        <v>88</v>
      </c>
      <c r="E411" s="7" t="s">
        <v>89</v>
      </c>
      <c r="F411" s="7" t="s">
        <v>64</v>
      </c>
      <c r="G411" s="7" t="s">
        <v>944</v>
      </c>
      <c r="H411" s="7" t="s">
        <v>136</v>
      </c>
      <c r="I411" s="7" t="s">
        <v>137</v>
      </c>
      <c r="J411" s="7" t="s">
        <v>203</v>
      </c>
      <c r="K411" s="7" t="s">
        <v>365</v>
      </c>
      <c r="L411" s="7" t="s">
        <v>942</v>
      </c>
      <c r="M411" s="7" t="s">
        <v>116</v>
      </c>
      <c r="N411" s="7" t="s">
        <v>511</v>
      </c>
      <c r="O411" s="7" t="s">
        <v>920</v>
      </c>
      <c r="P411" s="7" t="s">
        <v>144</v>
      </c>
      <c r="Q411" s="7" t="s">
        <v>329</v>
      </c>
      <c r="R411" s="7" t="s">
        <v>330</v>
      </c>
      <c r="S411" s="7" t="s">
        <v>472</v>
      </c>
      <c r="T411" s="7" t="s">
        <v>193</v>
      </c>
      <c r="U411" s="7" t="s">
        <v>194</v>
      </c>
      <c r="V411" s="7" t="s">
        <v>195</v>
      </c>
      <c r="W411" s="7" t="s">
        <v>921</v>
      </c>
      <c r="X411" s="7" t="s">
        <v>943</v>
      </c>
      <c r="Y411" s="7" t="s">
        <v>626</v>
      </c>
      <c r="Z411" s="7" t="s">
        <v>461</v>
      </c>
      <c r="AA411" s="7" t="s">
        <v>183</v>
      </c>
      <c r="AB411" s="18" t="n">
        <v>1090</v>
      </c>
      <c r="AC411" s="7"/>
      <c r="AD411" s="7"/>
      <c r="AE411" s="7" t="s">
        <v>159</v>
      </c>
    </row>
    <row r="412" customFormat="false" ht="21.75" hidden="false" customHeight="true" outlineLevel="0" collapsed="false">
      <c r="B412" s="15" t="n">
        <v>408</v>
      </c>
      <c r="C412" s="9" t="s">
        <v>47</v>
      </c>
      <c r="D412" s="9" t="s">
        <v>88</v>
      </c>
      <c r="E412" s="9" t="s">
        <v>89</v>
      </c>
      <c r="F412" s="9" t="s">
        <v>64</v>
      </c>
      <c r="G412" s="9" t="s">
        <v>945</v>
      </c>
      <c r="H412" s="9" t="s">
        <v>157</v>
      </c>
      <c r="I412" s="9" t="s">
        <v>158</v>
      </c>
      <c r="J412" s="9" t="s">
        <v>203</v>
      </c>
      <c r="K412" s="9" t="s">
        <v>365</v>
      </c>
      <c r="L412" s="9" t="s">
        <v>942</v>
      </c>
      <c r="M412" s="9" t="s">
        <v>116</v>
      </c>
      <c r="N412" s="9" t="s">
        <v>511</v>
      </c>
      <c r="O412" s="9" t="s">
        <v>920</v>
      </c>
      <c r="P412" s="9" t="s">
        <v>144</v>
      </c>
      <c r="Q412" s="9" t="s">
        <v>329</v>
      </c>
      <c r="R412" s="9" t="s">
        <v>330</v>
      </c>
      <c r="S412" s="9" t="s">
        <v>472</v>
      </c>
      <c r="T412" s="9" t="s">
        <v>193</v>
      </c>
      <c r="U412" s="9" t="s">
        <v>194</v>
      </c>
      <c r="V412" s="9" t="s">
        <v>195</v>
      </c>
      <c r="W412" s="9" t="s">
        <v>921</v>
      </c>
      <c r="X412" s="9" t="s">
        <v>943</v>
      </c>
      <c r="Y412" s="9" t="s">
        <v>626</v>
      </c>
      <c r="Z412" s="9" t="s">
        <v>461</v>
      </c>
      <c r="AA412" s="9" t="s">
        <v>183</v>
      </c>
      <c r="AB412" s="19" t="n">
        <v>1450</v>
      </c>
      <c r="AC412" s="9"/>
      <c r="AD412" s="9"/>
      <c r="AE412" s="9" t="s">
        <v>946</v>
      </c>
    </row>
    <row r="413" customFormat="false" ht="21.75" hidden="false" customHeight="true" outlineLevel="0" collapsed="false">
      <c r="B413" s="14" t="n">
        <v>409</v>
      </c>
      <c r="C413" s="7" t="s">
        <v>47</v>
      </c>
      <c r="D413" s="7" t="s">
        <v>88</v>
      </c>
      <c r="E413" s="7" t="s">
        <v>89</v>
      </c>
      <c r="F413" s="7" t="s">
        <v>64</v>
      </c>
      <c r="G413" s="7" t="s">
        <v>947</v>
      </c>
      <c r="H413" s="7" t="s">
        <v>157</v>
      </c>
      <c r="I413" s="7" t="s">
        <v>158</v>
      </c>
      <c r="J413" s="7" t="s">
        <v>203</v>
      </c>
      <c r="K413" s="7" t="s">
        <v>365</v>
      </c>
      <c r="L413" s="7" t="s">
        <v>942</v>
      </c>
      <c r="M413" s="7" t="s">
        <v>116</v>
      </c>
      <c r="N413" s="7" t="s">
        <v>511</v>
      </c>
      <c r="O413" s="7" t="s">
        <v>920</v>
      </c>
      <c r="P413" s="7" t="s">
        <v>144</v>
      </c>
      <c r="Q413" s="7" t="s">
        <v>329</v>
      </c>
      <c r="R413" s="7" t="s">
        <v>330</v>
      </c>
      <c r="S413" s="7" t="s">
        <v>472</v>
      </c>
      <c r="T413" s="7" t="s">
        <v>193</v>
      </c>
      <c r="U413" s="7" t="s">
        <v>194</v>
      </c>
      <c r="V413" s="7" t="s">
        <v>195</v>
      </c>
      <c r="W413" s="7" t="s">
        <v>921</v>
      </c>
      <c r="X413" s="7" t="s">
        <v>943</v>
      </c>
      <c r="Y413" s="7" t="s">
        <v>626</v>
      </c>
      <c r="Z413" s="7" t="s">
        <v>461</v>
      </c>
      <c r="AA413" s="7" t="s">
        <v>183</v>
      </c>
      <c r="AB413" s="18" t="n">
        <v>2175</v>
      </c>
      <c r="AC413" s="7"/>
      <c r="AD413" s="7"/>
      <c r="AE413" s="7" t="s">
        <v>165</v>
      </c>
    </row>
    <row r="414" customFormat="false" ht="21.75" hidden="false" customHeight="true" outlineLevel="0" collapsed="false">
      <c r="B414" s="15" t="n">
        <v>410</v>
      </c>
      <c r="C414" s="9" t="s">
        <v>47</v>
      </c>
      <c r="D414" s="9" t="s">
        <v>88</v>
      </c>
      <c r="E414" s="9" t="s">
        <v>89</v>
      </c>
      <c r="F414" s="9" t="s">
        <v>64</v>
      </c>
      <c r="G414" s="9" t="s">
        <v>948</v>
      </c>
      <c r="H414" s="9" t="s">
        <v>163</v>
      </c>
      <c r="I414" s="9" t="s">
        <v>164</v>
      </c>
      <c r="J414" s="9" t="s">
        <v>203</v>
      </c>
      <c r="K414" s="9" t="s">
        <v>365</v>
      </c>
      <c r="L414" s="9" t="s">
        <v>942</v>
      </c>
      <c r="M414" s="9" t="s">
        <v>116</v>
      </c>
      <c r="N414" s="9" t="s">
        <v>511</v>
      </c>
      <c r="O414" s="9" t="s">
        <v>920</v>
      </c>
      <c r="P414" s="9" t="s">
        <v>144</v>
      </c>
      <c r="Q414" s="9" t="s">
        <v>329</v>
      </c>
      <c r="R414" s="9" t="s">
        <v>330</v>
      </c>
      <c r="S414" s="9" t="s">
        <v>472</v>
      </c>
      <c r="T414" s="9" t="s">
        <v>193</v>
      </c>
      <c r="U414" s="9" t="s">
        <v>194</v>
      </c>
      <c r="V414" s="9" t="s">
        <v>195</v>
      </c>
      <c r="W414" s="9" t="s">
        <v>921</v>
      </c>
      <c r="X414" s="9" t="s">
        <v>943</v>
      </c>
      <c r="Y414" s="9" t="s">
        <v>626</v>
      </c>
      <c r="Z414" s="9" t="s">
        <v>461</v>
      </c>
      <c r="AA414" s="9" t="s">
        <v>183</v>
      </c>
      <c r="AB414" s="19" t="n">
        <v>3190</v>
      </c>
      <c r="AC414" s="9"/>
      <c r="AD414" s="9"/>
      <c r="AE414" s="9" t="s">
        <v>167</v>
      </c>
    </row>
    <row r="415" customFormat="false" ht="21.75" hidden="false" customHeight="true" outlineLevel="0" collapsed="false">
      <c r="B415" s="14" t="n">
        <v>411</v>
      </c>
      <c r="C415" s="7" t="s">
        <v>47</v>
      </c>
      <c r="D415" s="7" t="s">
        <v>88</v>
      </c>
      <c r="E415" s="7" t="s">
        <v>89</v>
      </c>
      <c r="F415" s="7" t="s">
        <v>65</v>
      </c>
      <c r="G415" s="7" t="s">
        <v>949</v>
      </c>
      <c r="H415" s="7" t="s">
        <v>136</v>
      </c>
      <c r="I415" s="7" t="s">
        <v>137</v>
      </c>
      <c r="J415" s="7" t="s">
        <v>203</v>
      </c>
      <c r="K415" s="7" t="s">
        <v>950</v>
      </c>
      <c r="L415" s="7" t="s">
        <v>169</v>
      </c>
      <c r="M415" s="7" t="s">
        <v>116</v>
      </c>
      <c r="N415" s="7" t="s">
        <v>511</v>
      </c>
      <c r="O415" s="7" t="s">
        <v>920</v>
      </c>
      <c r="P415" s="7" t="s">
        <v>144</v>
      </c>
      <c r="Q415" s="7" t="s">
        <v>329</v>
      </c>
      <c r="R415" s="7" t="s">
        <v>330</v>
      </c>
      <c r="S415" s="7" t="s">
        <v>472</v>
      </c>
      <c r="T415" s="7" t="s">
        <v>356</v>
      </c>
      <c r="U415" s="7" t="s">
        <v>148</v>
      </c>
      <c r="V415" s="7" t="s">
        <v>951</v>
      </c>
      <c r="W415" s="7" t="s">
        <v>921</v>
      </c>
      <c r="X415" s="7" t="s">
        <v>952</v>
      </c>
      <c r="Y415" s="7" t="s">
        <v>336</v>
      </c>
      <c r="Z415" s="7" t="s">
        <v>461</v>
      </c>
      <c r="AA415" s="7" t="s">
        <v>154</v>
      </c>
      <c r="AB415" s="18" t="n">
        <v>345</v>
      </c>
      <c r="AC415" s="7"/>
      <c r="AD415" s="7"/>
      <c r="AE415" s="7" t="s">
        <v>155</v>
      </c>
    </row>
    <row r="416" customFormat="false" ht="21.75" hidden="false" customHeight="true" outlineLevel="0" collapsed="false">
      <c r="B416" s="15" t="n">
        <v>412</v>
      </c>
      <c r="C416" s="9" t="s">
        <v>47</v>
      </c>
      <c r="D416" s="9" t="s">
        <v>88</v>
      </c>
      <c r="E416" s="9" t="s">
        <v>89</v>
      </c>
      <c r="F416" s="9" t="s">
        <v>65</v>
      </c>
      <c r="G416" s="9" t="s">
        <v>953</v>
      </c>
      <c r="H416" s="9" t="s">
        <v>136</v>
      </c>
      <c r="I416" s="9" t="s">
        <v>137</v>
      </c>
      <c r="J416" s="9" t="s">
        <v>203</v>
      </c>
      <c r="K416" s="9" t="s">
        <v>950</v>
      </c>
      <c r="L416" s="9" t="s">
        <v>169</v>
      </c>
      <c r="M416" s="9" t="s">
        <v>116</v>
      </c>
      <c r="N416" s="9" t="s">
        <v>511</v>
      </c>
      <c r="O416" s="9" t="s">
        <v>920</v>
      </c>
      <c r="P416" s="9" t="s">
        <v>144</v>
      </c>
      <c r="Q416" s="9" t="s">
        <v>329</v>
      </c>
      <c r="R416" s="9" t="s">
        <v>330</v>
      </c>
      <c r="S416" s="9" t="s">
        <v>472</v>
      </c>
      <c r="T416" s="9" t="s">
        <v>356</v>
      </c>
      <c r="U416" s="9" t="s">
        <v>148</v>
      </c>
      <c r="V416" s="9" t="s">
        <v>951</v>
      </c>
      <c r="W416" s="9" t="s">
        <v>921</v>
      </c>
      <c r="X416" s="9" t="s">
        <v>952</v>
      </c>
      <c r="Y416" s="9" t="s">
        <v>336</v>
      </c>
      <c r="Z416" s="9" t="s">
        <v>461</v>
      </c>
      <c r="AA416" s="9" t="s">
        <v>154</v>
      </c>
      <c r="AB416" s="19" t="n">
        <v>520</v>
      </c>
      <c r="AC416" s="9"/>
      <c r="AD416" s="9"/>
      <c r="AE416" s="9" t="s">
        <v>159</v>
      </c>
    </row>
    <row r="417" customFormat="false" ht="21.75" hidden="false" customHeight="true" outlineLevel="0" collapsed="false">
      <c r="B417" s="14" t="n">
        <v>413</v>
      </c>
      <c r="C417" s="7" t="s">
        <v>47</v>
      </c>
      <c r="D417" s="7" t="s">
        <v>88</v>
      </c>
      <c r="E417" s="7" t="s">
        <v>89</v>
      </c>
      <c r="F417" s="7" t="s">
        <v>65</v>
      </c>
      <c r="G417" s="7" t="s">
        <v>954</v>
      </c>
      <c r="H417" s="7" t="s">
        <v>157</v>
      </c>
      <c r="I417" s="7" t="s">
        <v>158</v>
      </c>
      <c r="J417" s="7" t="s">
        <v>203</v>
      </c>
      <c r="K417" s="7" t="s">
        <v>950</v>
      </c>
      <c r="L417" s="7" t="s">
        <v>169</v>
      </c>
      <c r="M417" s="7" t="s">
        <v>116</v>
      </c>
      <c r="N417" s="7" t="s">
        <v>511</v>
      </c>
      <c r="O417" s="7" t="s">
        <v>920</v>
      </c>
      <c r="P417" s="7" t="s">
        <v>144</v>
      </c>
      <c r="Q417" s="7" t="s">
        <v>329</v>
      </c>
      <c r="R417" s="7" t="s">
        <v>330</v>
      </c>
      <c r="S417" s="7" t="s">
        <v>472</v>
      </c>
      <c r="T417" s="7" t="s">
        <v>356</v>
      </c>
      <c r="U417" s="7" t="s">
        <v>148</v>
      </c>
      <c r="V417" s="7" t="s">
        <v>951</v>
      </c>
      <c r="W417" s="7" t="s">
        <v>921</v>
      </c>
      <c r="X417" s="7" t="s">
        <v>952</v>
      </c>
      <c r="Y417" s="7" t="s">
        <v>336</v>
      </c>
      <c r="Z417" s="7" t="s">
        <v>461</v>
      </c>
      <c r="AA417" s="7" t="s">
        <v>154</v>
      </c>
      <c r="AB417" s="18" t="n">
        <v>690</v>
      </c>
      <c r="AC417" s="7"/>
      <c r="AD417" s="7"/>
      <c r="AE417" s="7" t="s">
        <v>955</v>
      </c>
    </row>
    <row r="418" customFormat="false" ht="21.75" hidden="false" customHeight="true" outlineLevel="0" collapsed="false">
      <c r="B418" s="15" t="n">
        <v>414</v>
      </c>
      <c r="C418" s="9" t="s">
        <v>47</v>
      </c>
      <c r="D418" s="9" t="s">
        <v>88</v>
      </c>
      <c r="E418" s="9" t="s">
        <v>89</v>
      </c>
      <c r="F418" s="9" t="s">
        <v>65</v>
      </c>
      <c r="G418" s="9" t="s">
        <v>956</v>
      </c>
      <c r="H418" s="9" t="s">
        <v>157</v>
      </c>
      <c r="I418" s="9" t="s">
        <v>158</v>
      </c>
      <c r="J418" s="9" t="s">
        <v>203</v>
      </c>
      <c r="K418" s="9" t="s">
        <v>950</v>
      </c>
      <c r="L418" s="9" t="s">
        <v>169</v>
      </c>
      <c r="M418" s="9" t="s">
        <v>116</v>
      </c>
      <c r="N418" s="9" t="s">
        <v>511</v>
      </c>
      <c r="O418" s="9" t="s">
        <v>920</v>
      </c>
      <c r="P418" s="9" t="s">
        <v>144</v>
      </c>
      <c r="Q418" s="9" t="s">
        <v>329</v>
      </c>
      <c r="R418" s="9" t="s">
        <v>330</v>
      </c>
      <c r="S418" s="9" t="s">
        <v>472</v>
      </c>
      <c r="T418" s="9" t="s">
        <v>356</v>
      </c>
      <c r="U418" s="9" t="s">
        <v>148</v>
      </c>
      <c r="V418" s="9" t="s">
        <v>951</v>
      </c>
      <c r="W418" s="9" t="s">
        <v>921</v>
      </c>
      <c r="X418" s="9" t="s">
        <v>952</v>
      </c>
      <c r="Y418" s="9" t="s">
        <v>336</v>
      </c>
      <c r="Z418" s="9" t="s">
        <v>461</v>
      </c>
      <c r="AA418" s="9" t="s">
        <v>154</v>
      </c>
      <c r="AB418" s="19" t="n">
        <v>1035</v>
      </c>
      <c r="AC418" s="9"/>
      <c r="AD418" s="9"/>
      <c r="AE418" s="9" t="s">
        <v>165</v>
      </c>
    </row>
    <row r="419" customFormat="false" ht="21.75" hidden="false" customHeight="true" outlineLevel="0" collapsed="false">
      <c r="B419" s="14" t="n">
        <v>415</v>
      </c>
      <c r="C419" s="7" t="s">
        <v>47</v>
      </c>
      <c r="D419" s="7" t="s">
        <v>88</v>
      </c>
      <c r="E419" s="7" t="s">
        <v>89</v>
      </c>
      <c r="F419" s="7" t="s">
        <v>65</v>
      </c>
      <c r="G419" s="7" t="s">
        <v>957</v>
      </c>
      <c r="H419" s="7" t="s">
        <v>163</v>
      </c>
      <c r="I419" s="7" t="s">
        <v>164</v>
      </c>
      <c r="J419" s="7" t="s">
        <v>203</v>
      </c>
      <c r="K419" s="7" t="s">
        <v>950</v>
      </c>
      <c r="L419" s="7" t="s">
        <v>169</v>
      </c>
      <c r="M419" s="7" t="s">
        <v>116</v>
      </c>
      <c r="N419" s="7" t="s">
        <v>511</v>
      </c>
      <c r="O419" s="7" t="s">
        <v>920</v>
      </c>
      <c r="P419" s="7" t="s">
        <v>144</v>
      </c>
      <c r="Q419" s="7" t="s">
        <v>329</v>
      </c>
      <c r="R419" s="7" t="s">
        <v>330</v>
      </c>
      <c r="S419" s="7" t="s">
        <v>472</v>
      </c>
      <c r="T419" s="7" t="s">
        <v>356</v>
      </c>
      <c r="U419" s="7" t="s">
        <v>148</v>
      </c>
      <c r="V419" s="7" t="s">
        <v>951</v>
      </c>
      <c r="W419" s="7" t="s">
        <v>921</v>
      </c>
      <c r="X419" s="7" t="s">
        <v>952</v>
      </c>
      <c r="Y419" s="7" t="s">
        <v>336</v>
      </c>
      <c r="Z419" s="7" t="s">
        <v>461</v>
      </c>
      <c r="AA419" s="7" t="s">
        <v>154</v>
      </c>
      <c r="AB419" s="18" t="n">
        <v>1520</v>
      </c>
      <c r="AC419" s="7"/>
      <c r="AD419" s="7"/>
      <c r="AE419" s="7" t="s">
        <v>167</v>
      </c>
    </row>
    <row r="420" customFormat="false" ht="21.75" hidden="false" customHeight="true" outlineLevel="0" collapsed="false">
      <c r="B420" s="15" t="n">
        <v>416</v>
      </c>
      <c r="C420" s="9" t="s">
        <v>47</v>
      </c>
      <c r="D420" s="9" t="s">
        <v>88</v>
      </c>
      <c r="E420" s="9" t="s">
        <v>89</v>
      </c>
      <c r="F420" s="9" t="s">
        <v>66</v>
      </c>
      <c r="G420" s="9" t="s">
        <v>958</v>
      </c>
      <c r="H420" s="9" t="s">
        <v>136</v>
      </c>
      <c r="I420" s="9" t="s">
        <v>137</v>
      </c>
      <c r="J420" s="9" t="s">
        <v>396</v>
      </c>
      <c r="K420" s="9" t="s">
        <v>217</v>
      </c>
      <c r="L420" s="9" t="s">
        <v>218</v>
      </c>
      <c r="M420" s="9" t="s">
        <v>116</v>
      </c>
      <c r="N420" s="9" t="s">
        <v>959</v>
      </c>
      <c r="O420" s="9" t="s">
        <v>920</v>
      </c>
      <c r="P420" s="9" t="s">
        <v>144</v>
      </c>
      <c r="Q420" s="9" t="s">
        <v>329</v>
      </c>
      <c r="R420" s="9" t="s">
        <v>330</v>
      </c>
      <c r="S420" s="9" t="s">
        <v>472</v>
      </c>
      <c r="T420" s="9" t="s">
        <v>223</v>
      </c>
      <c r="U420" s="9" t="s">
        <v>148</v>
      </c>
      <c r="V420" s="9" t="s">
        <v>344</v>
      </c>
      <c r="W420" s="9" t="s">
        <v>921</v>
      </c>
      <c r="X420" s="9" t="s">
        <v>960</v>
      </c>
      <c r="Y420" s="9" t="s">
        <v>336</v>
      </c>
      <c r="Z420" s="9" t="s">
        <v>461</v>
      </c>
      <c r="AA420" s="9" t="s">
        <v>223</v>
      </c>
      <c r="AB420" s="19" t="n">
        <v>260</v>
      </c>
      <c r="AC420" s="9"/>
      <c r="AD420" s="9"/>
      <c r="AE420" s="9" t="s">
        <v>155</v>
      </c>
    </row>
    <row r="421" customFormat="false" ht="21.75" hidden="false" customHeight="true" outlineLevel="0" collapsed="false">
      <c r="B421" s="14" t="n">
        <v>417</v>
      </c>
      <c r="C421" s="7" t="s">
        <v>47</v>
      </c>
      <c r="D421" s="7" t="s">
        <v>88</v>
      </c>
      <c r="E421" s="7" t="s">
        <v>89</v>
      </c>
      <c r="F421" s="7" t="s">
        <v>66</v>
      </c>
      <c r="G421" s="7" t="s">
        <v>961</v>
      </c>
      <c r="H421" s="7" t="s">
        <v>157</v>
      </c>
      <c r="I421" s="7" t="s">
        <v>158</v>
      </c>
      <c r="J421" s="7" t="s">
        <v>396</v>
      </c>
      <c r="K421" s="7" t="s">
        <v>217</v>
      </c>
      <c r="L421" s="7" t="s">
        <v>218</v>
      </c>
      <c r="M421" s="7" t="s">
        <v>116</v>
      </c>
      <c r="N421" s="7" t="s">
        <v>959</v>
      </c>
      <c r="O421" s="7" t="s">
        <v>920</v>
      </c>
      <c r="P421" s="7" t="s">
        <v>144</v>
      </c>
      <c r="Q421" s="7" t="s">
        <v>329</v>
      </c>
      <c r="R421" s="7" t="s">
        <v>330</v>
      </c>
      <c r="S421" s="7" t="s">
        <v>472</v>
      </c>
      <c r="T421" s="7" t="s">
        <v>223</v>
      </c>
      <c r="U421" s="7" t="s">
        <v>148</v>
      </c>
      <c r="V421" s="7" t="s">
        <v>344</v>
      </c>
      <c r="W421" s="7" t="s">
        <v>921</v>
      </c>
      <c r="X421" s="7" t="s">
        <v>960</v>
      </c>
      <c r="Y421" s="7" t="s">
        <v>336</v>
      </c>
      <c r="Z421" s="7" t="s">
        <v>461</v>
      </c>
      <c r="AA421" s="7" t="s">
        <v>223</v>
      </c>
      <c r="AB421" s="18" t="n">
        <v>390</v>
      </c>
      <c r="AC421" s="7"/>
      <c r="AD421" s="7"/>
      <c r="AE421" s="7" t="s">
        <v>159</v>
      </c>
    </row>
    <row r="422" customFormat="false" ht="21.75" hidden="false" customHeight="true" outlineLevel="0" collapsed="false">
      <c r="B422" s="15" t="n">
        <v>418</v>
      </c>
      <c r="C422" s="9" t="s">
        <v>47</v>
      </c>
      <c r="D422" s="9" t="s">
        <v>88</v>
      </c>
      <c r="E422" s="9" t="s">
        <v>89</v>
      </c>
      <c r="F422" s="9" t="s">
        <v>66</v>
      </c>
      <c r="G422" s="9" t="s">
        <v>962</v>
      </c>
      <c r="H422" s="9" t="s">
        <v>157</v>
      </c>
      <c r="I422" s="9" t="s">
        <v>158</v>
      </c>
      <c r="J422" s="9" t="s">
        <v>396</v>
      </c>
      <c r="K422" s="9" t="s">
        <v>217</v>
      </c>
      <c r="L422" s="9" t="s">
        <v>218</v>
      </c>
      <c r="M422" s="9" t="s">
        <v>116</v>
      </c>
      <c r="N422" s="9" t="s">
        <v>959</v>
      </c>
      <c r="O422" s="9" t="s">
        <v>920</v>
      </c>
      <c r="P422" s="9" t="s">
        <v>144</v>
      </c>
      <c r="Q422" s="9" t="s">
        <v>329</v>
      </c>
      <c r="R422" s="9" t="s">
        <v>330</v>
      </c>
      <c r="S422" s="9" t="s">
        <v>472</v>
      </c>
      <c r="T422" s="9" t="s">
        <v>223</v>
      </c>
      <c r="U422" s="9" t="s">
        <v>148</v>
      </c>
      <c r="V422" s="9" t="s">
        <v>344</v>
      </c>
      <c r="W422" s="9" t="s">
        <v>921</v>
      </c>
      <c r="X422" s="9" t="s">
        <v>960</v>
      </c>
      <c r="Y422" s="9" t="s">
        <v>336</v>
      </c>
      <c r="Z422" s="9" t="s">
        <v>461</v>
      </c>
      <c r="AA422" s="9" t="s">
        <v>223</v>
      </c>
      <c r="AB422" s="19" t="n">
        <v>520</v>
      </c>
      <c r="AC422" s="9"/>
      <c r="AD422" s="9"/>
      <c r="AE422" s="9" t="s">
        <v>963</v>
      </c>
    </row>
    <row r="423" customFormat="false" ht="21.75" hidden="false" customHeight="true" outlineLevel="0" collapsed="false">
      <c r="B423" s="14" t="n">
        <v>419</v>
      </c>
      <c r="C423" s="7" t="s">
        <v>47</v>
      </c>
      <c r="D423" s="7" t="s">
        <v>88</v>
      </c>
      <c r="E423" s="7" t="s">
        <v>89</v>
      </c>
      <c r="F423" s="7" t="s">
        <v>66</v>
      </c>
      <c r="G423" s="7" t="s">
        <v>964</v>
      </c>
      <c r="H423" s="7" t="s">
        <v>163</v>
      </c>
      <c r="I423" s="7" t="s">
        <v>164</v>
      </c>
      <c r="J423" s="7" t="s">
        <v>396</v>
      </c>
      <c r="K423" s="7" t="s">
        <v>217</v>
      </c>
      <c r="L423" s="7" t="s">
        <v>218</v>
      </c>
      <c r="M423" s="7" t="s">
        <v>116</v>
      </c>
      <c r="N423" s="7" t="s">
        <v>959</v>
      </c>
      <c r="O423" s="7" t="s">
        <v>920</v>
      </c>
      <c r="P423" s="7" t="s">
        <v>144</v>
      </c>
      <c r="Q423" s="7" t="s">
        <v>329</v>
      </c>
      <c r="R423" s="7" t="s">
        <v>330</v>
      </c>
      <c r="S423" s="7" t="s">
        <v>472</v>
      </c>
      <c r="T423" s="7" t="s">
        <v>223</v>
      </c>
      <c r="U423" s="7" t="s">
        <v>148</v>
      </c>
      <c r="V423" s="7" t="s">
        <v>344</v>
      </c>
      <c r="W423" s="7" t="s">
        <v>921</v>
      </c>
      <c r="X423" s="7" t="s">
        <v>960</v>
      </c>
      <c r="Y423" s="7" t="s">
        <v>336</v>
      </c>
      <c r="Z423" s="7" t="s">
        <v>461</v>
      </c>
      <c r="AA423" s="7" t="s">
        <v>223</v>
      </c>
      <c r="AB423" s="18" t="n">
        <v>780</v>
      </c>
      <c r="AC423" s="7"/>
      <c r="AD423" s="7"/>
      <c r="AE423" s="7" t="s">
        <v>165</v>
      </c>
    </row>
    <row r="424" customFormat="false" ht="21.75" hidden="false" customHeight="true" outlineLevel="0" collapsed="false">
      <c r="B424" s="15" t="n">
        <v>420</v>
      </c>
      <c r="C424" s="9" t="s">
        <v>47</v>
      </c>
      <c r="D424" s="9" t="s">
        <v>88</v>
      </c>
      <c r="E424" s="9" t="s">
        <v>89</v>
      </c>
      <c r="F424" s="9" t="s">
        <v>66</v>
      </c>
      <c r="G424" s="9" t="s">
        <v>965</v>
      </c>
      <c r="H424" s="9" t="s">
        <v>163</v>
      </c>
      <c r="I424" s="9" t="s">
        <v>164</v>
      </c>
      <c r="J424" s="9" t="s">
        <v>396</v>
      </c>
      <c r="K424" s="9" t="s">
        <v>217</v>
      </c>
      <c r="L424" s="9" t="s">
        <v>218</v>
      </c>
      <c r="M424" s="9" t="s">
        <v>116</v>
      </c>
      <c r="N424" s="9" t="s">
        <v>959</v>
      </c>
      <c r="O424" s="9" t="s">
        <v>920</v>
      </c>
      <c r="P424" s="9" t="s">
        <v>144</v>
      </c>
      <c r="Q424" s="9" t="s">
        <v>329</v>
      </c>
      <c r="R424" s="9" t="s">
        <v>330</v>
      </c>
      <c r="S424" s="9" t="s">
        <v>472</v>
      </c>
      <c r="T424" s="9" t="s">
        <v>223</v>
      </c>
      <c r="U424" s="9" t="s">
        <v>148</v>
      </c>
      <c r="V424" s="9" t="s">
        <v>344</v>
      </c>
      <c r="W424" s="9" t="s">
        <v>921</v>
      </c>
      <c r="X424" s="9" t="s">
        <v>960</v>
      </c>
      <c r="Y424" s="9" t="s">
        <v>336</v>
      </c>
      <c r="Z424" s="9" t="s">
        <v>461</v>
      </c>
      <c r="AA424" s="9" t="s">
        <v>223</v>
      </c>
      <c r="AB424" s="19" t="n">
        <v>1145</v>
      </c>
      <c r="AC424" s="9"/>
      <c r="AD424" s="9"/>
      <c r="AE424" s="9" t="s">
        <v>167</v>
      </c>
    </row>
    <row r="425" customFormat="false" ht="21.75" hidden="false" customHeight="true" outlineLevel="0" collapsed="false">
      <c r="B425" s="14" t="n">
        <v>421</v>
      </c>
      <c r="C425" s="7" t="s">
        <v>47</v>
      </c>
      <c r="D425" s="7" t="s">
        <v>88</v>
      </c>
      <c r="E425" s="7" t="s">
        <v>89</v>
      </c>
      <c r="F425" s="7" t="s">
        <v>67</v>
      </c>
      <c r="G425" s="7" t="s">
        <v>966</v>
      </c>
      <c r="H425" s="7" t="s">
        <v>230</v>
      </c>
      <c r="I425" s="7" t="s">
        <v>231</v>
      </c>
      <c r="J425" s="7" t="s">
        <v>396</v>
      </c>
      <c r="K425" s="7" t="s">
        <v>527</v>
      </c>
      <c r="L425" s="7" t="s">
        <v>528</v>
      </c>
      <c r="M425" s="7" t="s">
        <v>116</v>
      </c>
      <c r="N425" s="7" t="s">
        <v>529</v>
      </c>
      <c r="O425" s="7" t="s">
        <v>920</v>
      </c>
      <c r="P425" s="7" t="s">
        <v>144</v>
      </c>
      <c r="Q425" s="7" t="s">
        <v>329</v>
      </c>
      <c r="R425" s="7" t="s">
        <v>330</v>
      </c>
      <c r="S425" s="7" t="s">
        <v>472</v>
      </c>
      <c r="T425" s="7" t="s">
        <v>147</v>
      </c>
      <c r="U425" s="7" t="s">
        <v>148</v>
      </c>
      <c r="V425" s="7" t="s">
        <v>236</v>
      </c>
      <c r="W425" s="7" t="s">
        <v>921</v>
      </c>
      <c r="X425" s="7" t="s">
        <v>967</v>
      </c>
      <c r="Y425" s="7" t="s">
        <v>968</v>
      </c>
      <c r="Z425" s="7" t="s">
        <v>461</v>
      </c>
      <c r="AA425" s="7" t="s">
        <v>154</v>
      </c>
      <c r="AB425" s="18" t="n">
        <v>310</v>
      </c>
      <c r="AC425" s="7"/>
      <c r="AD425" s="7"/>
      <c r="AE425" s="7" t="s">
        <v>155</v>
      </c>
    </row>
    <row r="426" customFormat="false" ht="21.75" hidden="false" customHeight="true" outlineLevel="0" collapsed="false">
      <c r="B426" s="15" t="n">
        <v>422</v>
      </c>
      <c r="C426" s="9" t="s">
        <v>47</v>
      </c>
      <c r="D426" s="9" t="s">
        <v>88</v>
      </c>
      <c r="E426" s="9" t="s">
        <v>89</v>
      </c>
      <c r="F426" s="9" t="s">
        <v>67</v>
      </c>
      <c r="G426" s="9" t="s">
        <v>969</v>
      </c>
      <c r="H426" s="9" t="s">
        <v>230</v>
      </c>
      <c r="I426" s="9" t="s">
        <v>231</v>
      </c>
      <c r="J426" s="9" t="s">
        <v>396</v>
      </c>
      <c r="K426" s="9" t="s">
        <v>527</v>
      </c>
      <c r="L426" s="9" t="s">
        <v>528</v>
      </c>
      <c r="M426" s="9" t="s">
        <v>116</v>
      </c>
      <c r="N426" s="9" t="s">
        <v>529</v>
      </c>
      <c r="O426" s="9" t="s">
        <v>920</v>
      </c>
      <c r="P426" s="9" t="s">
        <v>144</v>
      </c>
      <c r="Q426" s="9" t="s">
        <v>329</v>
      </c>
      <c r="R426" s="9" t="s">
        <v>330</v>
      </c>
      <c r="S426" s="9" t="s">
        <v>472</v>
      </c>
      <c r="T426" s="9" t="s">
        <v>147</v>
      </c>
      <c r="U426" s="9" t="s">
        <v>148</v>
      </c>
      <c r="V426" s="9" t="s">
        <v>236</v>
      </c>
      <c r="W426" s="9" t="s">
        <v>921</v>
      </c>
      <c r="X426" s="9" t="s">
        <v>967</v>
      </c>
      <c r="Y426" s="9" t="s">
        <v>968</v>
      </c>
      <c r="Z426" s="9" t="s">
        <v>461</v>
      </c>
      <c r="AA426" s="9" t="s">
        <v>154</v>
      </c>
      <c r="AB426" s="19" t="n">
        <v>465</v>
      </c>
      <c r="AC426" s="9"/>
      <c r="AD426" s="9"/>
      <c r="AE426" s="9" t="s">
        <v>159</v>
      </c>
    </row>
    <row r="427" customFormat="false" ht="21.75" hidden="false" customHeight="true" outlineLevel="0" collapsed="false">
      <c r="B427" s="14" t="n">
        <v>423</v>
      </c>
      <c r="C427" s="7" t="s">
        <v>47</v>
      </c>
      <c r="D427" s="7" t="s">
        <v>88</v>
      </c>
      <c r="E427" s="7" t="s">
        <v>89</v>
      </c>
      <c r="F427" s="7" t="s">
        <v>67</v>
      </c>
      <c r="G427" s="7" t="s">
        <v>970</v>
      </c>
      <c r="H427" s="7" t="s">
        <v>240</v>
      </c>
      <c r="I427" s="7" t="s">
        <v>241</v>
      </c>
      <c r="J427" s="7" t="s">
        <v>396</v>
      </c>
      <c r="K427" s="7" t="s">
        <v>527</v>
      </c>
      <c r="L427" s="7" t="s">
        <v>528</v>
      </c>
      <c r="M427" s="7" t="s">
        <v>116</v>
      </c>
      <c r="N427" s="7" t="s">
        <v>529</v>
      </c>
      <c r="O427" s="7" t="s">
        <v>920</v>
      </c>
      <c r="P427" s="7" t="s">
        <v>144</v>
      </c>
      <c r="Q427" s="7" t="s">
        <v>329</v>
      </c>
      <c r="R427" s="7" t="s">
        <v>330</v>
      </c>
      <c r="S427" s="7" t="s">
        <v>472</v>
      </c>
      <c r="T427" s="7" t="s">
        <v>147</v>
      </c>
      <c r="U427" s="7" t="s">
        <v>148</v>
      </c>
      <c r="V427" s="7" t="s">
        <v>236</v>
      </c>
      <c r="W427" s="7" t="s">
        <v>921</v>
      </c>
      <c r="X427" s="7" t="s">
        <v>967</v>
      </c>
      <c r="Y427" s="7" t="s">
        <v>968</v>
      </c>
      <c r="Z427" s="7" t="s">
        <v>461</v>
      </c>
      <c r="AA427" s="7" t="s">
        <v>154</v>
      </c>
      <c r="AB427" s="18" t="n">
        <v>620</v>
      </c>
      <c r="AC427" s="7"/>
      <c r="AD427" s="7"/>
      <c r="AE427" s="7" t="s">
        <v>533</v>
      </c>
    </row>
    <row r="428" customFormat="false" ht="21.75" hidden="false" customHeight="true" outlineLevel="0" collapsed="false">
      <c r="B428" s="15" t="n">
        <v>424</v>
      </c>
      <c r="C428" s="9" t="s">
        <v>47</v>
      </c>
      <c r="D428" s="9" t="s">
        <v>88</v>
      </c>
      <c r="E428" s="9" t="s">
        <v>89</v>
      </c>
      <c r="F428" s="9" t="s">
        <v>67</v>
      </c>
      <c r="G428" s="9" t="s">
        <v>971</v>
      </c>
      <c r="H428" s="9" t="s">
        <v>240</v>
      </c>
      <c r="I428" s="9" t="s">
        <v>241</v>
      </c>
      <c r="J428" s="9" t="s">
        <v>396</v>
      </c>
      <c r="K428" s="9" t="s">
        <v>527</v>
      </c>
      <c r="L428" s="9" t="s">
        <v>528</v>
      </c>
      <c r="M428" s="9" t="s">
        <v>116</v>
      </c>
      <c r="N428" s="9" t="s">
        <v>529</v>
      </c>
      <c r="O428" s="9" t="s">
        <v>920</v>
      </c>
      <c r="P428" s="9" t="s">
        <v>144</v>
      </c>
      <c r="Q428" s="9" t="s">
        <v>329</v>
      </c>
      <c r="R428" s="9" t="s">
        <v>330</v>
      </c>
      <c r="S428" s="9" t="s">
        <v>472</v>
      </c>
      <c r="T428" s="9" t="s">
        <v>147</v>
      </c>
      <c r="U428" s="9" t="s">
        <v>148</v>
      </c>
      <c r="V428" s="9" t="s">
        <v>236</v>
      </c>
      <c r="W428" s="9" t="s">
        <v>921</v>
      </c>
      <c r="X428" s="9" t="s">
        <v>967</v>
      </c>
      <c r="Y428" s="9" t="s">
        <v>968</v>
      </c>
      <c r="Z428" s="9" t="s">
        <v>461</v>
      </c>
      <c r="AA428" s="9" t="s">
        <v>154</v>
      </c>
      <c r="AB428" s="19" t="n">
        <v>930</v>
      </c>
      <c r="AC428" s="9"/>
      <c r="AD428" s="9"/>
      <c r="AE428" s="9" t="s">
        <v>165</v>
      </c>
    </row>
    <row r="429" customFormat="false" ht="21.75" hidden="false" customHeight="true" outlineLevel="0" collapsed="false">
      <c r="B429" s="14" t="n">
        <v>425</v>
      </c>
      <c r="C429" s="7" t="s">
        <v>47</v>
      </c>
      <c r="D429" s="7" t="s">
        <v>88</v>
      </c>
      <c r="E429" s="7" t="s">
        <v>89</v>
      </c>
      <c r="F429" s="7" t="s">
        <v>67</v>
      </c>
      <c r="G429" s="7" t="s">
        <v>972</v>
      </c>
      <c r="H429" s="7" t="s">
        <v>240</v>
      </c>
      <c r="I429" s="7" t="s">
        <v>241</v>
      </c>
      <c r="J429" s="7" t="s">
        <v>396</v>
      </c>
      <c r="K429" s="7" t="s">
        <v>527</v>
      </c>
      <c r="L429" s="7" t="s">
        <v>528</v>
      </c>
      <c r="M429" s="7" t="s">
        <v>116</v>
      </c>
      <c r="N429" s="7" t="s">
        <v>529</v>
      </c>
      <c r="O429" s="7" t="s">
        <v>920</v>
      </c>
      <c r="P429" s="7" t="s">
        <v>144</v>
      </c>
      <c r="Q429" s="7" t="s">
        <v>329</v>
      </c>
      <c r="R429" s="7" t="s">
        <v>330</v>
      </c>
      <c r="S429" s="7" t="s">
        <v>472</v>
      </c>
      <c r="T429" s="7" t="s">
        <v>147</v>
      </c>
      <c r="U429" s="7" t="s">
        <v>148</v>
      </c>
      <c r="V429" s="7" t="s">
        <v>236</v>
      </c>
      <c r="W429" s="7" t="s">
        <v>921</v>
      </c>
      <c r="X429" s="7" t="s">
        <v>967</v>
      </c>
      <c r="Y429" s="7" t="s">
        <v>968</v>
      </c>
      <c r="Z429" s="7" t="s">
        <v>461</v>
      </c>
      <c r="AA429" s="7" t="s">
        <v>154</v>
      </c>
      <c r="AB429" s="18" t="n">
        <v>1365</v>
      </c>
      <c r="AC429" s="7"/>
      <c r="AD429" s="7"/>
      <c r="AE429" s="7" t="s">
        <v>167</v>
      </c>
    </row>
    <row r="430" customFormat="false" ht="21.75" hidden="false" customHeight="true" outlineLevel="0" collapsed="false">
      <c r="B430" s="15" t="n">
        <v>426</v>
      </c>
      <c r="C430" s="9" t="s">
        <v>47</v>
      </c>
      <c r="D430" s="9" t="s">
        <v>88</v>
      </c>
      <c r="E430" s="9" t="s">
        <v>89</v>
      </c>
      <c r="F430" s="9" t="s">
        <v>68</v>
      </c>
      <c r="G430" s="9" t="s">
        <v>973</v>
      </c>
      <c r="H430" s="9" t="s">
        <v>246</v>
      </c>
      <c r="I430" s="9" t="s">
        <v>247</v>
      </c>
      <c r="J430" s="9" t="s">
        <v>974</v>
      </c>
      <c r="K430" s="9" t="s">
        <v>643</v>
      </c>
      <c r="L430" s="9" t="s">
        <v>528</v>
      </c>
      <c r="M430" s="9" t="s">
        <v>116</v>
      </c>
      <c r="N430" s="9" t="s">
        <v>887</v>
      </c>
      <c r="O430" s="9" t="s">
        <v>920</v>
      </c>
      <c r="P430" s="9" t="s">
        <v>144</v>
      </c>
      <c r="Q430" s="9" t="s">
        <v>329</v>
      </c>
      <c r="R430" s="9" t="s">
        <v>330</v>
      </c>
      <c r="S430" s="9" t="s">
        <v>472</v>
      </c>
      <c r="T430" s="9" t="s">
        <v>356</v>
      </c>
      <c r="U430" s="9" t="s">
        <v>194</v>
      </c>
      <c r="V430" s="9" t="s">
        <v>208</v>
      </c>
      <c r="W430" s="9" t="s">
        <v>921</v>
      </c>
      <c r="X430" s="9" t="s">
        <v>975</v>
      </c>
      <c r="Y430" s="9" t="s">
        <v>976</v>
      </c>
      <c r="Z430" s="9" t="s">
        <v>461</v>
      </c>
      <c r="AA430" s="9" t="s">
        <v>183</v>
      </c>
      <c r="AB430" s="19" t="n">
        <v>1100</v>
      </c>
      <c r="AC430" s="9"/>
      <c r="AD430" s="9"/>
      <c r="AE430" s="9" t="s">
        <v>155</v>
      </c>
    </row>
    <row r="431" customFormat="false" ht="21.75" hidden="false" customHeight="true" outlineLevel="0" collapsed="false">
      <c r="B431" s="14" t="n">
        <v>427</v>
      </c>
      <c r="C431" s="7" t="s">
        <v>47</v>
      </c>
      <c r="D431" s="7" t="s">
        <v>88</v>
      </c>
      <c r="E431" s="7" t="s">
        <v>89</v>
      </c>
      <c r="F431" s="7" t="s">
        <v>68</v>
      </c>
      <c r="G431" s="7" t="s">
        <v>977</v>
      </c>
      <c r="H431" s="7" t="s">
        <v>254</v>
      </c>
      <c r="I431" s="7" t="s">
        <v>255</v>
      </c>
      <c r="J431" s="7" t="s">
        <v>974</v>
      </c>
      <c r="K431" s="7" t="s">
        <v>643</v>
      </c>
      <c r="L431" s="7" t="s">
        <v>528</v>
      </c>
      <c r="M431" s="7" t="s">
        <v>116</v>
      </c>
      <c r="N431" s="7" t="s">
        <v>887</v>
      </c>
      <c r="O431" s="7" t="s">
        <v>920</v>
      </c>
      <c r="P431" s="7" t="s">
        <v>144</v>
      </c>
      <c r="Q431" s="7" t="s">
        <v>329</v>
      </c>
      <c r="R431" s="7" t="s">
        <v>330</v>
      </c>
      <c r="S431" s="7" t="s">
        <v>472</v>
      </c>
      <c r="T431" s="7" t="s">
        <v>356</v>
      </c>
      <c r="U431" s="7" t="s">
        <v>194</v>
      </c>
      <c r="V431" s="7" t="s">
        <v>208</v>
      </c>
      <c r="W431" s="7" t="s">
        <v>921</v>
      </c>
      <c r="X431" s="7" t="s">
        <v>975</v>
      </c>
      <c r="Y431" s="7" t="s">
        <v>976</v>
      </c>
      <c r="Z431" s="7" t="s">
        <v>461</v>
      </c>
      <c r="AA431" s="7" t="s">
        <v>183</v>
      </c>
      <c r="AB431" s="18" t="n">
        <v>1650</v>
      </c>
      <c r="AC431" s="7"/>
      <c r="AD431" s="7"/>
      <c r="AE431" s="7" t="s">
        <v>159</v>
      </c>
    </row>
    <row r="432" customFormat="false" ht="21.75" hidden="false" customHeight="true" outlineLevel="0" collapsed="false">
      <c r="B432" s="15" t="n">
        <v>428</v>
      </c>
      <c r="C432" s="9" t="s">
        <v>47</v>
      </c>
      <c r="D432" s="9" t="s">
        <v>88</v>
      </c>
      <c r="E432" s="9" t="s">
        <v>89</v>
      </c>
      <c r="F432" s="9" t="s">
        <v>68</v>
      </c>
      <c r="G432" s="9" t="s">
        <v>978</v>
      </c>
      <c r="H432" s="9" t="s">
        <v>257</v>
      </c>
      <c r="I432" s="9" t="s">
        <v>258</v>
      </c>
      <c r="J432" s="9" t="s">
        <v>974</v>
      </c>
      <c r="K432" s="9" t="s">
        <v>643</v>
      </c>
      <c r="L432" s="9" t="s">
        <v>528</v>
      </c>
      <c r="M432" s="9" t="s">
        <v>116</v>
      </c>
      <c r="N432" s="9" t="s">
        <v>887</v>
      </c>
      <c r="O432" s="9" t="s">
        <v>920</v>
      </c>
      <c r="P432" s="9" t="s">
        <v>144</v>
      </c>
      <c r="Q432" s="9" t="s">
        <v>329</v>
      </c>
      <c r="R432" s="9" t="s">
        <v>330</v>
      </c>
      <c r="S432" s="9" t="s">
        <v>472</v>
      </c>
      <c r="T432" s="9" t="s">
        <v>356</v>
      </c>
      <c r="U432" s="9" t="s">
        <v>194</v>
      </c>
      <c r="V432" s="9" t="s">
        <v>208</v>
      </c>
      <c r="W432" s="9" t="s">
        <v>921</v>
      </c>
      <c r="X432" s="9" t="s">
        <v>975</v>
      </c>
      <c r="Y432" s="9" t="s">
        <v>976</v>
      </c>
      <c r="Z432" s="9" t="s">
        <v>461</v>
      </c>
      <c r="AA432" s="9" t="s">
        <v>183</v>
      </c>
      <c r="AB432" s="19" t="n">
        <v>2200</v>
      </c>
      <c r="AC432" s="9"/>
      <c r="AD432" s="9"/>
      <c r="AE432" s="9" t="s">
        <v>979</v>
      </c>
    </row>
    <row r="433" customFormat="false" ht="21.75" hidden="false" customHeight="true" outlineLevel="0" collapsed="false">
      <c r="B433" s="14" t="n">
        <v>429</v>
      </c>
      <c r="C433" s="7" t="s">
        <v>47</v>
      </c>
      <c r="D433" s="7" t="s">
        <v>88</v>
      </c>
      <c r="E433" s="7" t="s">
        <v>89</v>
      </c>
      <c r="F433" s="7" t="s">
        <v>68</v>
      </c>
      <c r="G433" s="7" t="s">
        <v>980</v>
      </c>
      <c r="H433" s="7" t="s">
        <v>257</v>
      </c>
      <c r="I433" s="7" t="s">
        <v>258</v>
      </c>
      <c r="J433" s="7" t="s">
        <v>974</v>
      </c>
      <c r="K433" s="7" t="s">
        <v>643</v>
      </c>
      <c r="L433" s="7" t="s">
        <v>528</v>
      </c>
      <c r="M433" s="7" t="s">
        <v>116</v>
      </c>
      <c r="N433" s="7" t="s">
        <v>887</v>
      </c>
      <c r="O433" s="7" t="s">
        <v>920</v>
      </c>
      <c r="P433" s="7" t="s">
        <v>144</v>
      </c>
      <c r="Q433" s="7" t="s">
        <v>329</v>
      </c>
      <c r="R433" s="7" t="s">
        <v>330</v>
      </c>
      <c r="S433" s="7" t="s">
        <v>472</v>
      </c>
      <c r="T433" s="7" t="s">
        <v>356</v>
      </c>
      <c r="U433" s="7" t="s">
        <v>194</v>
      </c>
      <c r="V433" s="7" t="s">
        <v>208</v>
      </c>
      <c r="W433" s="7" t="s">
        <v>921</v>
      </c>
      <c r="X433" s="7" t="s">
        <v>975</v>
      </c>
      <c r="Y433" s="7" t="s">
        <v>976</v>
      </c>
      <c r="Z433" s="7" t="s">
        <v>461</v>
      </c>
      <c r="AA433" s="7" t="s">
        <v>183</v>
      </c>
      <c r="AB433" s="18" t="n">
        <v>3300</v>
      </c>
      <c r="AC433" s="7"/>
      <c r="AD433" s="7"/>
      <c r="AE433" s="7" t="s">
        <v>165</v>
      </c>
    </row>
    <row r="434" customFormat="false" ht="21.75" hidden="false" customHeight="true" outlineLevel="0" collapsed="false">
      <c r="B434" s="15" t="n">
        <v>430</v>
      </c>
      <c r="C434" s="9" t="s">
        <v>47</v>
      </c>
      <c r="D434" s="9" t="s">
        <v>88</v>
      </c>
      <c r="E434" s="9" t="s">
        <v>89</v>
      </c>
      <c r="F434" s="9" t="s">
        <v>68</v>
      </c>
      <c r="G434" s="9" t="s">
        <v>981</v>
      </c>
      <c r="H434" s="9" t="s">
        <v>262</v>
      </c>
      <c r="I434" s="9" t="s">
        <v>263</v>
      </c>
      <c r="J434" s="9" t="s">
        <v>974</v>
      </c>
      <c r="K434" s="9" t="s">
        <v>643</v>
      </c>
      <c r="L434" s="9" t="s">
        <v>528</v>
      </c>
      <c r="M434" s="9" t="s">
        <v>116</v>
      </c>
      <c r="N434" s="9" t="s">
        <v>887</v>
      </c>
      <c r="O434" s="9" t="s">
        <v>920</v>
      </c>
      <c r="P434" s="9" t="s">
        <v>144</v>
      </c>
      <c r="Q434" s="9" t="s">
        <v>329</v>
      </c>
      <c r="R434" s="9" t="s">
        <v>330</v>
      </c>
      <c r="S434" s="9" t="s">
        <v>472</v>
      </c>
      <c r="T434" s="9" t="s">
        <v>356</v>
      </c>
      <c r="U434" s="9" t="s">
        <v>194</v>
      </c>
      <c r="V434" s="9" t="s">
        <v>208</v>
      </c>
      <c r="W434" s="9" t="s">
        <v>921</v>
      </c>
      <c r="X434" s="9" t="s">
        <v>975</v>
      </c>
      <c r="Y434" s="9" t="s">
        <v>976</v>
      </c>
      <c r="Z434" s="9" t="s">
        <v>461</v>
      </c>
      <c r="AA434" s="9" t="s">
        <v>183</v>
      </c>
      <c r="AB434" s="19" t="n">
        <v>4840</v>
      </c>
      <c r="AC434" s="9"/>
      <c r="AD434" s="9"/>
      <c r="AE434" s="9" t="s">
        <v>167</v>
      </c>
    </row>
    <row r="435" customFormat="false" ht="21.75" hidden="false" customHeight="true" outlineLevel="0" collapsed="false">
      <c r="B435" s="14" t="n">
        <v>431</v>
      </c>
      <c r="C435" s="7" t="s">
        <v>47</v>
      </c>
      <c r="D435" s="7" t="s">
        <v>88</v>
      </c>
      <c r="E435" s="7" t="s">
        <v>89</v>
      </c>
      <c r="F435" s="7" t="s">
        <v>69</v>
      </c>
      <c r="G435" s="7" t="s">
        <v>321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18"/>
      <c r="AC435" s="7"/>
      <c r="AD435" s="7"/>
      <c r="AE435" s="7" t="s">
        <v>982</v>
      </c>
    </row>
    <row r="436" customFormat="false" ht="21.75" hidden="false" customHeight="true" outlineLevel="0" collapsed="false">
      <c r="B436" s="15" t="n">
        <v>432</v>
      </c>
      <c r="C436" s="9" t="s">
        <v>47</v>
      </c>
      <c r="D436" s="9" t="s">
        <v>88</v>
      </c>
      <c r="E436" s="9" t="s">
        <v>89</v>
      </c>
      <c r="F436" s="9" t="s">
        <v>70</v>
      </c>
      <c r="G436" s="9" t="s">
        <v>983</v>
      </c>
      <c r="H436" s="9" t="s">
        <v>276</v>
      </c>
      <c r="I436" s="9" t="s">
        <v>277</v>
      </c>
      <c r="J436" s="9" t="s">
        <v>278</v>
      </c>
      <c r="K436" s="9" t="s">
        <v>550</v>
      </c>
      <c r="L436" s="9" t="s">
        <v>743</v>
      </c>
      <c r="M436" s="9" t="s">
        <v>281</v>
      </c>
      <c r="N436" s="9" t="s">
        <v>984</v>
      </c>
      <c r="O436" s="9" t="s">
        <v>920</v>
      </c>
      <c r="P436" s="9" t="s">
        <v>144</v>
      </c>
      <c r="Q436" s="9" t="s">
        <v>329</v>
      </c>
      <c r="R436" s="9" t="s">
        <v>330</v>
      </c>
      <c r="S436" s="9" t="s">
        <v>472</v>
      </c>
      <c r="T436" s="9" t="s">
        <v>356</v>
      </c>
      <c r="U436" s="9" t="s">
        <v>194</v>
      </c>
      <c r="V436" s="9" t="s">
        <v>368</v>
      </c>
      <c r="W436" s="9" t="s">
        <v>921</v>
      </c>
      <c r="X436" s="9" t="s">
        <v>985</v>
      </c>
      <c r="Y436" s="9" t="s">
        <v>986</v>
      </c>
      <c r="Z436" s="9" t="s">
        <v>461</v>
      </c>
      <c r="AA436" s="9" t="s">
        <v>183</v>
      </c>
      <c r="AB436" s="19" t="n">
        <v>2400</v>
      </c>
      <c r="AC436" s="9"/>
      <c r="AD436" s="9"/>
      <c r="AE436" s="9" t="s">
        <v>155</v>
      </c>
    </row>
    <row r="437" customFormat="false" ht="21.75" hidden="false" customHeight="true" outlineLevel="0" collapsed="false">
      <c r="B437" s="14" t="n">
        <v>433</v>
      </c>
      <c r="C437" s="7" t="s">
        <v>47</v>
      </c>
      <c r="D437" s="7" t="s">
        <v>88</v>
      </c>
      <c r="E437" s="7" t="s">
        <v>89</v>
      </c>
      <c r="F437" s="7" t="s">
        <v>70</v>
      </c>
      <c r="G437" s="7" t="s">
        <v>987</v>
      </c>
      <c r="H437" s="7" t="s">
        <v>276</v>
      </c>
      <c r="I437" s="7" t="s">
        <v>277</v>
      </c>
      <c r="J437" s="7" t="s">
        <v>278</v>
      </c>
      <c r="K437" s="7" t="s">
        <v>550</v>
      </c>
      <c r="L437" s="7" t="s">
        <v>743</v>
      </c>
      <c r="M437" s="7" t="s">
        <v>281</v>
      </c>
      <c r="N437" s="7" t="s">
        <v>984</v>
      </c>
      <c r="O437" s="7" t="s">
        <v>920</v>
      </c>
      <c r="P437" s="7" t="s">
        <v>144</v>
      </c>
      <c r="Q437" s="7" t="s">
        <v>329</v>
      </c>
      <c r="R437" s="7" t="s">
        <v>330</v>
      </c>
      <c r="S437" s="7" t="s">
        <v>472</v>
      </c>
      <c r="T437" s="7" t="s">
        <v>356</v>
      </c>
      <c r="U437" s="7" t="s">
        <v>194</v>
      </c>
      <c r="V437" s="7" t="s">
        <v>368</v>
      </c>
      <c r="W437" s="7" t="s">
        <v>921</v>
      </c>
      <c r="X437" s="7" t="s">
        <v>985</v>
      </c>
      <c r="Y437" s="7" t="s">
        <v>986</v>
      </c>
      <c r="Z437" s="7" t="s">
        <v>461</v>
      </c>
      <c r="AA437" s="7" t="s">
        <v>183</v>
      </c>
      <c r="AB437" s="18" t="n">
        <v>3600</v>
      </c>
      <c r="AC437" s="7"/>
      <c r="AD437" s="7"/>
      <c r="AE437" s="7" t="s">
        <v>159</v>
      </c>
    </row>
    <row r="438" customFormat="false" ht="21.75" hidden="false" customHeight="true" outlineLevel="0" collapsed="false">
      <c r="B438" s="15" t="n">
        <v>434</v>
      </c>
      <c r="C438" s="9" t="s">
        <v>47</v>
      </c>
      <c r="D438" s="9" t="s">
        <v>88</v>
      </c>
      <c r="E438" s="9" t="s">
        <v>89</v>
      </c>
      <c r="F438" s="9" t="s">
        <v>70</v>
      </c>
      <c r="G438" s="9" t="s">
        <v>988</v>
      </c>
      <c r="H438" s="9" t="s">
        <v>287</v>
      </c>
      <c r="I438" s="9" t="s">
        <v>288</v>
      </c>
      <c r="J438" s="9" t="s">
        <v>278</v>
      </c>
      <c r="K438" s="9" t="s">
        <v>550</v>
      </c>
      <c r="L438" s="9" t="s">
        <v>743</v>
      </c>
      <c r="M438" s="9" t="s">
        <v>281</v>
      </c>
      <c r="N438" s="9" t="s">
        <v>984</v>
      </c>
      <c r="O438" s="9" t="s">
        <v>920</v>
      </c>
      <c r="P438" s="9" t="s">
        <v>144</v>
      </c>
      <c r="Q438" s="9" t="s">
        <v>329</v>
      </c>
      <c r="R438" s="9" t="s">
        <v>330</v>
      </c>
      <c r="S438" s="9" t="s">
        <v>472</v>
      </c>
      <c r="T438" s="9" t="s">
        <v>356</v>
      </c>
      <c r="U438" s="9" t="s">
        <v>194</v>
      </c>
      <c r="V438" s="9" t="s">
        <v>368</v>
      </c>
      <c r="W438" s="9" t="s">
        <v>921</v>
      </c>
      <c r="X438" s="9" t="s">
        <v>985</v>
      </c>
      <c r="Y438" s="9" t="s">
        <v>986</v>
      </c>
      <c r="Z438" s="9" t="s">
        <v>461</v>
      </c>
      <c r="AA438" s="9" t="s">
        <v>183</v>
      </c>
      <c r="AB438" s="19" t="n">
        <v>4800</v>
      </c>
      <c r="AC438" s="9"/>
      <c r="AD438" s="9"/>
      <c r="AE438" s="9" t="s">
        <v>989</v>
      </c>
    </row>
    <row r="439" customFormat="false" ht="21.75" hidden="false" customHeight="true" outlineLevel="0" collapsed="false">
      <c r="B439" s="14" t="n">
        <v>435</v>
      </c>
      <c r="C439" s="7" t="s">
        <v>47</v>
      </c>
      <c r="D439" s="7" t="s">
        <v>88</v>
      </c>
      <c r="E439" s="7" t="s">
        <v>89</v>
      </c>
      <c r="F439" s="7" t="s">
        <v>70</v>
      </c>
      <c r="G439" s="7" t="s">
        <v>990</v>
      </c>
      <c r="H439" s="7" t="s">
        <v>287</v>
      </c>
      <c r="I439" s="7" t="s">
        <v>288</v>
      </c>
      <c r="J439" s="7" t="s">
        <v>278</v>
      </c>
      <c r="K439" s="7" t="s">
        <v>550</v>
      </c>
      <c r="L439" s="7" t="s">
        <v>743</v>
      </c>
      <c r="M439" s="7" t="s">
        <v>281</v>
      </c>
      <c r="N439" s="7" t="s">
        <v>984</v>
      </c>
      <c r="O439" s="7" t="s">
        <v>920</v>
      </c>
      <c r="P439" s="7" t="s">
        <v>144</v>
      </c>
      <c r="Q439" s="7" t="s">
        <v>329</v>
      </c>
      <c r="R439" s="7" t="s">
        <v>330</v>
      </c>
      <c r="S439" s="7" t="s">
        <v>472</v>
      </c>
      <c r="T439" s="7" t="s">
        <v>356</v>
      </c>
      <c r="U439" s="7" t="s">
        <v>194</v>
      </c>
      <c r="V439" s="7" t="s">
        <v>368</v>
      </c>
      <c r="W439" s="7" t="s">
        <v>921</v>
      </c>
      <c r="X439" s="7" t="s">
        <v>985</v>
      </c>
      <c r="Y439" s="7" t="s">
        <v>986</v>
      </c>
      <c r="Z439" s="7" t="s">
        <v>461</v>
      </c>
      <c r="AA439" s="7" t="s">
        <v>183</v>
      </c>
      <c r="AB439" s="18" t="n">
        <v>7200</v>
      </c>
      <c r="AC439" s="7"/>
      <c r="AD439" s="7"/>
      <c r="AE439" s="7" t="s">
        <v>165</v>
      </c>
    </row>
    <row r="440" customFormat="false" ht="21.75" hidden="false" customHeight="true" outlineLevel="0" collapsed="false">
      <c r="B440" s="15" t="n">
        <v>436</v>
      </c>
      <c r="C440" s="9" t="s">
        <v>47</v>
      </c>
      <c r="D440" s="9" t="s">
        <v>88</v>
      </c>
      <c r="E440" s="9" t="s">
        <v>89</v>
      </c>
      <c r="F440" s="9" t="s">
        <v>70</v>
      </c>
      <c r="G440" s="9" t="s">
        <v>991</v>
      </c>
      <c r="H440" s="9" t="s">
        <v>287</v>
      </c>
      <c r="I440" s="9" t="s">
        <v>288</v>
      </c>
      <c r="J440" s="9" t="s">
        <v>278</v>
      </c>
      <c r="K440" s="9" t="s">
        <v>550</v>
      </c>
      <c r="L440" s="9" t="s">
        <v>743</v>
      </c>
      <c r="M440" s="9" t="s">
        <v>281</v>
      </c>
      <c r="N440" s="9" t="s">
        <v>984</v>
      </c>
      <c r="O440" s="9" t="s">
        <v>920</v>
      </c>
      <c r="P440" s="9" t="s">
        <v>144</v>
      </c>
      <c r="Q440" s="9" t="s">
        <v>329</v>
      </c>
      <c r="R440" s="9" t="s">
        <v>330</v>
      </c>
      <c r="S440" s="9" t="s">
        <v>472</v>
      </c>
      <c r="T440" s="9" t="s">
        <v>356</v>
      </c>
      <c r="U440" s="9" t="s">
        <v>194</v>
      </c>
      <c r="V440" s="9" t="s">
        <v>368</v>
      </c>
      <c r="W440" s="9" t="s">
        <v>921</v>
      </c>
      <c r="X440" s="9" t="s">
        <v>985</v>
      </c>
      <c r="Y440" s="9" t="s">
        <v>986</v>
      </c>
      <c r="Z440" s="9" t="s">
        <v>461</v>
      </c>
      <c r="AA440" s="9" t="s">
        <v>183</v>
      </c>
      <c r="AB440" s="19" t="n">
        <v>10560</v>
      </c>
      <c r="AC440" s="9"/>
      <c r="AD440" s="9"/>
      <c r="AE440" s="9" t="s">
        <v>167</v>
      </c>
    </row>
    <row r="441" customFormat="false" ht="21.75" hidden="false" customHeight="true" outlineLevel="0" collapsed="false">
      <c r="B441" s="14" t="n">
        <v>437</v>
      </c>
      <c r="C441" s="7" t="s">
        <v>47</v>
      </c>
      <c r="D441" s="7" t="s">
        <v>88</v>
      </c>
      <c r="E441" s="7" t="s">
        <v>89</v>
      </c>
      <c r="F441" s="7" t="s">
        <v>71</v>
      </c>
      <c r="G441" s="7" t="s">
        <v>992</v>
      </c>
      <c r="H441" s="7" t="s">
        <v>136</v>
      </c>
      <c r="I441" s="7" t="s">
        <v>137</v>
      </c>
      <c r="J441" s="7" t="s">
        <v>203</v>
      </c>
      <c r="K441" s="7" t="s">
        <v>993</v>
      </c>
      <c r="L441" s="7" t="s">
        <v>561</v>
      </c>
      <c r="M441" s="7" t="s">
        <v>116</v>
      </c>
      <c r="N441" s="7" t="s">
        <v>994</v>
      </c>
      <c r="O441" s="7" t="s">
        <v>920</v>
      </c>
      <c r="P441" s="7" t="s">
        <v>144</v>
      </c>
      <c r="Q441" s="7" t="s">
        <v>329</v>
      </c>
      <c r="R441" s="7" t="s">
        <v>330</v>
      </c>
      <c r="S441" s="7" t="s">
        <v>472</v>
      </c>
      <c r="T441" s="7" t="s">
        <v>147</v>
      </c>
      <c r="U441" s="7" t="s">
        <v>148</v>
      </c>
      <c r="V441" s="7" t="s">
        <v>236</v>
      </c>
      <c r="W441" s="7" t="s">
        <v>921</v>
      </c>
      <c r="X441" s="7" t="s">
        <v>995</v>
      </c>
      <c r="Y441" s="7" t="s">
        <v>173</v>
      </c>
      <c r="Z441" s="7" t="s">
        <v>461</v>
      </c>
      <c r="AA441" s="7" t="s">
        <v>183</v>
      </c>
      <c r="AB441" s="18" t="n">
        <v>240</v>
      </c>
      <c r="AC441" s="7"/>
      <c r="AD441" s="7"/>
      <c r="AE441" s="7" t="s">
        <v>155</v>
      </c>
    </row>
    <row r="442" customFormat="false" ht="21.75" hidden="false" customHeight="true" outlineLevel="0" collapsed="false">
      <c r="B442" s="15" t="n">
        <v>438</v>
      </c>
      <c r="C442" s="9" t="s">
        <v>47</v>
      </c>
      <c r="D442" s="9" t="s">
        <v>88</v>
      </c>
      <c r="E442" s="9" t="s">
        <v>89</v>
      </c>
      <c r="F442" s="9" t="s">
        <v>71</v>
      </c>
      <c r="G442" s="9" t="s">
        <v>996</v>
      </c>
      <c r="H442" s="9" t="s">
        <v>157</v>
      </c>
      <c r="I442" s="9" t="s">
        <v>158</v>
      </c>
      <c r="J442" s="9" t="s">
        <v>203</v>
      </c>
      <c r="K442" s="9" t="s">
        <v>993</v>
      </c>
      <c r="L442" s="9" t="s">
        <v>561</v>
      </c>
      <c r="M442" s="9" t="s">
        <v>116</v>
      </c>
      <c r="N442" s="9" t="s">
        <v>994</v>
      </c>
      <c r="O442" s="9" t="s">
        <v>920</v>
      </c>
      <c r="P442" s="9" t="s">
        <v>144</v>
      </c>
      <c r="Q442" s="9" t="s">
        <v>329</v>
      </c>
      <c r="R442" s="9" t="s">
        <v>330</v>
      </c>
      <c r="S442" s="9" t="s">
        <v>472</v>
      </c>
      <c r="T442" s="9" t="s">
        <v>147</v>
      </c>
      <c r="U442" s="9" t="s">
        <v>148</v>
      </c>
      <c r="V442" s="9" t="s">
        <v>236</v>
      </c>
      <c r="W442" s="9" t="s">
        <v>921</v>
      </c>
      <c r="X442" s="9" t="s">
        <v>995</v>
      </c>
      <c r="Y442" s="9" t="s">
        <v>173</v>
      </c>
      <c r="Z442" s="9" t="s">
        <v>461</v>
      </c>
      <c r="AA442" s="9" t="s">
        <v>183</v>
      </c>
      <c r="AB442" s="19" t="n">
        <v>360</v>
      </c>
      <c r="AC442" s="9"/>
      <c r="AD442" s="9"/>
      <c r="AE442" s="9" t="s">
        <v>159</v>
      </c>
    </row>
    <row r="443" customFormat="false" ht="21.75" hidden="false" customHeight="true" outlineLevel="0" collapsed="false">
      <c r="B443" s="14" t="n">
        <v>439</v>
      </c>
      <c r="C443" s="7" t="s">
        <v>47</v>
      </c>
      <c r="D443" s="7" t="s">
        <v>88</v>
      </c>
      <c r="E443" s="7" t="s">
        <v>89</v>
      </c>
      <c r="F443" s="7" t="s">
        <v>71</v>
      </c>
      <c r="G443" s="7" t="s">
        <v>997</v>
      </c>
      <c r="H443" s="7" t="s">
        <v>163</v>
      </c>
      <c r="I443" s="7" t="s">
        <v>164</v>
      </c>
      <c r="J443" s="7" t="s">
        <v>203</v>
      </c>
      <c r="K443" s="7" t="s">
        <v>993</v>
      </c>
      <c r="L443" s="7" t="s">
        <v>561</v>
      </c>
      <c r="M443" s="7" t="s">
        <v>116</v>
      </c>
      <c r="N443" s="7" t="s">
        <v>994</v>
      </c>
      <c r="O443" s="7" t="s">
        <v>920</v>
      </c>
      <c r="P443" s="7" t="s">
        <v>144</v>
      </c>
      <c r="Q443" s="7" t="s">
        <v>329</v>
      </c>
      <c r="R443" s="7" t="s">
        <v>330</v>
      </c>
      <c r="S443" s="7" t="s">
        <v>472</v>
      </c>
      <c r="T443" s="7" t="s">
        <v>147</v>
      </c>
      <c r="U443" s="7" t="s">
        <v>148</v>
      </c>
      <c r="V443" s="7" t="s">
        <v>236</v>
      </c>
      <c r="W443" s="7" t="s">
        <v>921</v>
      </c>
      <c r="X443" s="7" t="s">
        <v>995</v>
      </c>
      <c r="Y443" s="7" t="s">
        <v>173</v>
      </c>
      <c r="Z443" s="7" t="s">
        <v>461</v>
      </c>
      <c r="AA443" s="7" t="s">
        <v>183</v>
      </c>
      <c r="AB443" s="18" t="n">
        <v>480</v>
      </c>
      <c r="AC443" s="7"/>
      <c r="AD443" s="7"/>
      <c r="AE443" s="7" t="s">
        <v>998</v>
      </c>
    </row>
    <row r="444" customFormat="false" ht="21.75" hidden="false" customHeight="true" outlineLevel="0" collapsed="false">
      <c r="B444" s="15" t="n">
        <v>440</v>
      </c>
      <c r="C444" s="9" t="s">
        <v>47</v>
      </c>
      <c r="D444" s="9" t="s">
        <v>88</v>
      </c>
      <c r="E444" s="9" t="s">
        <v>89</v>
      </c>
      <c r="F444" s="9" t="s">
        <v>71</v>
      </c>
      <c r="G444" s="9" t="s">
        <v>999</v>
      </c>
      <c r="H444" s="9" t="s">
        <v>163</v>
      </c>
      <c r="I444" s="9" t="s">
        <v>164</v>
      </c>
      <c r="J444" s="9" t="s">
        <v>203</v>
      </c>
      <c r="K444" s="9" t="s">
        <v>993</v>
      </c>
      <c r="L444" s="9" t="s">
        <v>561</v>
      </c>
      <c r="M444" s="9" t="s">
        <v>116</v>
      </c>
      <c r="N444" s="9" t="s">
        <v>994</v>
      </c>
      <c r="O444" s="9" t="s">
        <v>920</v>
      </c>
      <c r="P444" s="9" t="s">
        <v>144</v>
      </c>
      <c r="Q444" s="9" t="s">
        <v>329</v>
      </c>
      <c r="R444" s="9" t="s">
        <v>330</v>
      </c>
      <c r="S444" s="9" t="s">
        <v>472</v>
      </c>
      <c r="T444" s="9" t="s">
        <v>147</v>
      </c>
      <c r="U444" s="9" t="s">
        <v>148</v>
      </c>
      <c r="V444" s="9" t="s">
        <v>236</v>
      </c>
      <c r="W444" s="9" t="s">
        <v>921</v>
      </c>
      <c r="X444" s="9" t="s">
        <v>995</v>
      </c>
      <c r="Y444" s="9" t="s">
        <v>173</v>
      </c>
      <c r="Z444" s="9" t="s">
        <v>461</v>
      </c>
      <c r="AA444" s="9" t="s">
        <v>183</v>
      </c>
      <c r="AB444" s="19" t="n">
        <v>720</v>
      </c>
      <c r="AC444" s="9"/>
      <c r="AD444" s="9"/>
      <c r="AE444" s="9" t="s">
        <v>165</v>
      </c>
    </row>
    <row r="445" customFormat="false" ht="21.75" hidden="false" customHeight="true" outlineLevel="0" collapsed="false">
      <c r="B445" s="14" t="n">
        <v>441</v>
      </c>
      <c r="C445" s="7" t="s">
        <v>47</v>
      </c>
      <c r="D445" s="7" t="s">
        <v>88</v>
      </c>
      <c r="E445" s="7" t="s">
        <v>89</v>
      </c>
      <c r="F445" s="7" t="s">
        <v>71</v>
      </c>
      <c r="G445" s="7" t="s">
        <v>1000</v>
      </c>
      <c r="H445" s="7" t="s">
        <v>163</v>
      </c>
      <c r="I445" s="7" t="s">
        <v>164</v>
      </c>
      <c r="J445" s="7" t="s">
        <v>203</v>
      </c>
      <c r="K445" s="7" t="s">
        <v>993</v>
      </c>
      <c r="L445" s="7" t="s">
        <v>561</v>
      </c>
      <c r="M445" s="7" t="s">
        <v>116</v>
      </c>
      <c r="N445" s="7" t="s">
        <v>994</v>
      </c>
      <c r="O445" s="7" t="s">
        <v>920</v>
      </c>
      <c r="P445" s="7" t="s">
        <v>144</v>
      </c>
      <c r="Q445" s="7" t="s">
        <v>329</v>
      </c>
      <c r="R445" s="7" t="s">
        <v>330</v>
      </c>
      <c r="S445" s="7" t="s">
        <v>472</v>
      </c>
      <c r="T445" s="7" t="s">
        <v>147</v>
      </c>
      <c r="U445" s="7" t="s">
        <v>148</v>
      </c>
      <c r="V445" s="7" t="s">
        <v>236</v>
      </c>
      <c r="W445" s="7" t="s">
        <v>921</v>
      </c>
      <c r="X445" s="7" t="s">
        <v>995</v>
      </c>
      <c r="Y445" s="7" t="s">
        <v>173</v>
      </c>
      <c r="Z445" s="7" t="s">
        <v>461</v>
      </c>
      <c r="AA445" s="7" t="s">
        <v>183</v>
      </c>
      <c r="AB445" s="18" t="n">
        <v>1055</v>
      </c>
      <c r="AC445" s="7"/>
      <c r="AD445" s="7"/>
      <c r="AE445" s="7" t="s">
        <v>167</v>
      </c>
    </row>
    <row r="446" customFormat="false" ht="21.75" hidden="false" customHeight="true" outlineLevel="0" collapsed="false">
      <c r="B446" s="15" t="n">
        <v>442</v>
      </c>
      <c r="C446" s="9" t="s">
        <v>47</v>
      </c>
      <c r="D446" s="9" t="s">
        <v>88</v>
      </c>
      <c r="E446" s="9" t="s">
        <v>89</v>
      </c>
      <c r="F446" s="9" t="s">
        <v>72</v>
      </c>
      <c r="G446" s="9" t="s">
        <v>321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9"/>
      <c r="AC446" s="9"/>
      <c r="AD446" s="9"/>
      <c r="AE446" s="9" t="s">
        <v>1001</v>
      </c>
    </row>
    <row r="447" customFormat="false" ht="21.75" hidden="false" customHeight="true" outlineLevel="0" collapsed="false">
      <c r="B447" s="14" t="n">
        <v>443</v>
      </c>
      <c r="C447" s="7" t="s">
        <v>47</v>
      </c>
      <c r="D447" s="7" t="s">
        <v>88</v>
      </c>
      <c r="E447" s="7" t="s">
        <v>89</v>
      </c>
      <c r="F447" s="7" t="s">
        <v>73</v>
      </c>
      <c r="G447" s="7" t="s">
        <v>1002</v>
      </c>
      <c r="H447" s="7" t="s">
        <v>136</v>
      </c>
      <c r="I447" s="7" t="s">
        <v>137</v>
      </c>
      <c r="J447" s="7" t="s">
        <v>468</v>
      </c>
      <c r="K447" s="7" t="s">
        <v>488</v>
      </c>
      <c r="L447" s="7" t="s">
        <v>205</v>
      </c>
      <c r="M447" s="7" t="s">
        <v>116</v>
      </c>
      <c r="N447" s="7" t="s">
        <v>1003</v>
      </c>
      <c r="O447" s="7" t="s">
        <v>920</v>
      </c>
      <c r="P447" s="7" t="s">
        <v>144</v>
      </c>
      <c r="Q447" s="7" t="s">
        <v>329</v>
      </c>
      <c r="R447" s="7" t="s">
        <v>330</v>
      </c>
      <c r="S447" s="7" t="s">
        <v>472</v>
      </c>
      <c r="T447" s="7" t="s">
        <v>147</v>
      </c>
      <c r="U447" s="7" t="s">
        <v>148</v>
      </c>
      <c r="V447" s="7" t="s">
        <v>344</v>
      </c>
      <c r="W447" s="7" t="s">
        <v>921</v>
      </c>
      <c r="X447" s="7" t="s">
        <v>345</v>
      </c>
      <c r="Y447" s="7" t="s">
        <v>336</v>
      </c>
      <c r="Z447" s="7" t="s">
        <v>461</v>
      </c>
      <c r="AA447" s="7" t="s">
        <v>154</v>
      </c>
      <c r="AB447" s="18" t="n">
        <v>190</v>
      </c>
      <c r="AC447" s="7"/>
      <c r="AD447" s="7"/>
      <c r="AE447" s="7" t="s">
        <v>155</v>
      </c>
    </row>
    <row r="448" customFormat="false" ht="21.75" hidden="false" customHeight="true" outlineLevel="0" collapsed="false">
      <c r="B448" s="15" t="n">
        <v>444</v>
      </c>
      <c r="C448" s="9" t="s">
        <v>47</v>
      </c>
      <c r="D448" s="9" t="s">
        <v>88</v>
      </c>
      <c r="E448" s="9" t="s">
        <v>89</v>
      </c>
      <c r="F448" s="9" t="s">
        <v>73</v>
      </c>
      <c r="G448" s="9" t="s">
        <v>1004</v>
      </c>
      <c r="H448" s="9" t="s">
        <v>157</v>
      </c>
      <c r="I448" s="9" t="s">
        <v>158</v>
      </c>
      <c r="J448" s="9" t="s">
        <v>468</v>
      </c>
      <c r="K448" s="9" t="s">
        <v>488</v>
      </c>
      <c r="L448" s="9" t="s">
        <v>205</v>
      </c>
      <c r="M448" s="9" t="s">
        <v>116</v>
      </c>
      <c r="N448" s="9" t="s">
        <v>1003</v>
      </c>
      <c r="O448" s="9" t="s">
        <v>920</v>
      </c>
      <c r="P448" s="9" t="s">
        <v>144</v>
      </c>
      <c r="Q448" s="9" t="s">
        <v>329</v>
      </c>
      <c r="R448" s="9" t="s">
        <v>330</v>
      </c>
      <c r="S448" s="9" t="s">
        <v>472</v>
      </c>
      <c r="T448" s="9" t="s">
        <v>147</v>
      </c>
      <c r="U448" s="9" t="s">
        <v>148</v>
      </c>
      <c r="V448" s="9" t="s">
        <v>344</v>
      </c>
      <c r="W448" s="9" t="s">
        <v>921</v>
      </c>
      <c r="X448" s="9" t="s">
        <v>345</v>
      </c>
      <c r="Y448" s="9" t="s">
        <v>336</v>
      </c>
      <c r="Z448" s="9" t="s">
        <v>461</v>
      </c>
      <c r="AA448" s="9" t="s">
        <v>154</v>
      </c>
      <c r="AB448" s="19" t="n">
        <v>285</v>
      </c>
      <c r="AC448" s="9"/>
      <c r="AD448" s="9"/>
      <c r="AE448" s="9" t="s">
        <v>159</v>
      </c>
    </row>
    <row r="449" customFormat="false" ht="21.75" hidden="false" customHeight="true" outlineLevel="0" collapsed="false">
      <c r="B449" s="14" t="n">
        <v>445</v>
      </c>
      <c r="C449" s="7" t="s">
        <v>47</v>
      </c>
      <c r="D449" s="7" t="s">
        <v>88</v>
      </c>
      <c r="E449" s="7" t="s">
        <v>89</v>
      </c>
      <c r="F449" s="7" t="s">
        <v>73</v>
      </c>
      <c r="G449" s="7" t="s">
        <v>1005</v>
      </c>
      <c r="H449" s="7" t="s">
        <v>157</v>
      </c>
      <c r="I449" s="7" t="s">
        <v>158</v>
      </c>
      <c r="J449" s="7" t="s">
        <v>468</v>
      </c>
      <c r="K449" s="7" t="s">
        <v>488</v>
      </c>
      <c r="L449" s="7" t="s">
        <v>205</v>
      </c>
      <c r="M449" s="7" t="s">
        <v>116</v>
      </c>
      <c r="N449" s="7" t="s">
        <v>1003</v>
      </c>
      <c r="O449" s="7" t="s">
        <v>920</v>
      </c>
      <c r="P449" s="7" t="s">
        <v>144</v>
      </c>
      <c r="Q449" s="7" t="s">
        <v>329</v>
      </c>
      <c r="R449" s="7" t="s">
        <v>330</v>
      </c>
      <c r="S449" s="7" t="s">
        <v>472</v>
      </c>
      <c r="T449" s="7" t="s">
        <v>147</v>
      </c>
      <c r="U449" s="7" t="s">
        <v>148</v>
      </c>
      <c r="V449" s="7" t="s">
        <v>344</v>
      </c>
      <c r="W449" s="7" t="s">
        <v>921</v>
      </c>
      <c r="X449" s="7" t="s">
        <v>345</v>
      </c>
      <c r="Y449" s="7" t="s">
        <v>336</v>
      </c>
      <c r="Z449" s="7" t="s">
        <v>461</v>
      </c>
      <c r="AA449" s="7" t="s">
        <v>154</v>
      </c>
      <c r="AB449" s="18" t="n">
        <v>380</v>
      </c>
      <c r="AC449" s="7"/>
      <c r="AD449" s="7"/>
      <c r="AE449" s="7" t="s">
        <v>1006</v>
      </c>
    </row>
    <row r="450" customFormat="false" ht="21.75" hidden="false" customHeight="true" outlineLevel="0" collapsed="false">
      <c r="B450" s="15" t="n">
        <v>446</v>
      </c>
      <c r="C450" s="9" t="s">
        <v>47</v>
      </c>
      <c r="D450" s="9" t="s">
        <v>88</v>
      </c>
      <c r="E450" s="9" t="s">
        <v>89</v>
      </c>
      <c r="F450" s="9" t="s">
        <v>73</v>
      </c>
      <c r="G450" s="9" t="s">
        <v>1007</v>
      </c>
      <c r="H450" s="9" t="s">
        <v>163</v>
      </c>
      <c r="I450" s="9" t="s">
        <v>164</v>
      </c>
      <c r="J450" s="9" t="s">
        <v>468</v>
      </c>
      <c r="K450" s="9" t="s">
        <v>488</v>
      </c>
      <c r="L450" s="9" t="s">
        <v>205</v>
      </c>
      <c r="M450" s="9" t="s">
        <v>116</v>
      </c>
      <c r="N450" s="9" t="s">
        <v>1003</v>
      </c>
      <c r="O450" s="9" t="s">
        <v>920</v>
      </c>
      <c r="P450" s="9" t="s">
        <v>144</v>
      </c>
      <c r="Q450" s="9" t="s">
        <v>329</v>
      </c>
      <c r="R450" s="9" t="s">
        <v>330</v>
      </c>
      <c r="S450" s="9" t="s">
        <v>472</v>
      </c>
      <c r="T450" s="9" t="s">
        <v>147</v>
      </c>
      <c r="U450" s="9" t="s">
        <v>148</v>
      </c>
      <c r="V450" s="9" t="s">
        <v>344</v>
      </c>
      <c r="W450" s="9" t="s">
        <v>921</v>
      </c>
      <c r="X450" s="9" t="s">
        <v>345</v>
      </c>
      <c r="Y450" s="9" t="s">
        <v>336</v>
      </c>
      <c r="Z450" s="9" t="s">
        <v>461</v>
      </c>
      <c r="AA450" s="9" t="s">
        <v>154</v>
      </c>
      <c r="AB450" s="19" t="n">
        <v>570</v>
      </c>
      <c r="AC450" s="9"/>
      <c r="AD450" s="9"/>
      <c r="AE450" s="9" t="s">
        <v>165</v>
      </c>
    </row>
    <row r="451" customFormat="false" ht="21.75" hidden="false" customHeight="true" outlineLevel="0" collapsed="false">
      <c r="B451" s="14" t="n">
        <v>447</v>
      </c>
      <c r="C451" s="7" t="s">
        <v>47</v>
      </c>
      <c r="D451" s="7" t="s">
        <v>88</v>
      </c>
      <c r="E451" s="7" t="s">
        <v>89</v>
      </c>
      <c r="F451" s="7" t="s">
        <v>73</v>
      </c>
      <c r="G451" s="7" t="s">
        <v>1008</v>
      </c>
      <c r="H451" s="7" t="s">
        <v>163</v>
      </c>
      <c r="I451" s="7" t="s">
        <v>164</v>
      </c>
      <c r="J451" s="7" t="s">
        <v>468</v>
      </c>
      <c r="K451" s="7" t="s">
        <v>488</v>
      </c>
      <c r="L451" s="7" t="s">
        <v>205</v>
      </c>
      <c r="M451" s="7" t="s">
        <v>116</v>
      </c>
      <c r="N451" s="7" t="s">
        <v>1003</v>
      </c>
      <c r="O451" s="7" t="s">
        <v>920</v>
      </c>
      <c r="P451" s="7" t="s">
        <v>144</v>
      </c>
      <c r="Q451" s="7" t="s">
        <v>329</v>
      </c>
      <c r="R451" s="7" t="s">
        <v>330</v>
      </c>
      <c r="S451" s="7" t="s">
        <v>472</v>
      </c>
      <c r="T451" s="7" t="s">
        <v>147</v>
      </c>
      <c r="U451" s="7" t="s">
        <v>148</v>
      </c>
      <c r="V451" s="7" t="s">
        <v>344</v>
      </c>
      <c r="W451" s="7" t="s">
        <v>921</v>
      </c>
      <c r="X451" s="7" t="s">
        <v>345</v>
      </c>
      <c r="Y451" s="7" t="s">
        <v>336</v>
      </c>
      <c r="Z451" s="7" t="s">
        <v>461</v>
      </c>
      <c r="AA451" s="7" t="s">
        <v>154</v>
      </c>
      <c r="AB451" s="18" t="n">
        <v>835</v>
      </c>
      <c r="AC451" s="7"/>
      <c r="AD451" s="7"/>
      <c r="AE451" s="7" t="s">
        <v>167</v>
      </c>
    </row>
    <row r="452" customFormat="false" ht="21.75" hidden="false" customHeight="true" outlineLevel="0" collapsed="false">
      <c r="B452" s="15" t="n">
        <v>448</v>
      </c>
      <c r="C452" s="9" t="s">
        <v>47</v>
      </c>
      <c r="D452" s="9" t="s">
        <v>88</v>
      </c>
      <c r="E452" s="9" t="s">
        <v>89</v>
      </c>
      <c r="F452" s="9" t="s">
        <v>74</v>
      </c>
      <c r="G452" s="9" t="s">
        <v>321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19"/>
      <c r="AC452" s="9"/>
      <c r="AD452" s="9"/>
      <c r="AE452" s="9" t="s">
        <v>1009</v>
      </c>
    </row>
    <row r="453" customFormat="false" ht="21.75" hidden="false" customHeight="true" outlineLevel="0" collapsed="false">
      <c r="B453" s="14" t="n">
        <v>449</v>
      </c>
      <c r="C453" s="7" t="s">
        <v>48</v>
      </c>
      <c r="D453" s="7" t="s">
        <v>88</v>
      </c>
      <c r="E453" s="7" t="s">
        <v>85</v>
      </c>
      <c r="F453" s="7" t="s">
        <v>61</v>
      </c>
      <c r="G453" s="7" t="s">
        <v>1010</v>
      </c>
      <c r="H453" s="7" t="s">
        <v>136</v>
      </c>
      <c r="I453" s="7" t="s">
        <v>137</v>
      </c>
      <c r="J453" s="7" t="s">
        <v>1011</v>
      </c>
      <c r="K453" s="7" t="s">
        <v>488</v>
      </c>
      <c r="L453" s="7" t="s">
        <v>205</v>
      </c>
      <c r="M453" s="7" t="s">
        <v>326</v>
      </c>
      <c r="N453" s="7" t="s">
        <v>1012</v>
      </c>
      <c r="O453" s="7" t="s">
        <v>1013</v>
      </c>
      <c r="P453" s="7" t="s">
        <v>144</v>
      </c>
      <c r="Q453" s="7" t="s">
        <v>329</v>
      </c>
      <c r="R453" s="7" t="s">
        <v>330</v>
      </c>
      <c r="S453" s="7" t="s">
        <v>472</v>
      </c>
      <c r="T453" s="7" t="s">
        <v>356</v>
      </c>
      <c r="U453" s="7" t="s">
        <v>148</v>
      </c>
      <c r="V453" s="7" t="s">
        <v>333</v>
      </c>
      <c r="W453" s="7" t="s">
        <v>334</v>
      </c>
      <c r="X453" s="7" t="s">
        <v>1014</v>
      </c>
      <c r="Y453" s="7" t="s">
        <v>1015</v>
      </c>
      <c r="Z453" s="7" t="s">
        <v>461</v>
      </c>
      <c r="AA453" s="7" t="s">
        <v>154</v>
      </c>
      <c r="AB453" s="18" t="n">
        <v>130</v>
      </c>
      <c r="AC453" s="7"/>
      <c r="AD453" s="7"/>
      <c r="AE453" s="7" t="s">
        <v>155</v>
      </c>
    </row>
    <row r="454" customFormat="false" ht="21.75" hidden="false" customHeight="true" outlineLevel="0" collapsed="false">
      <c r="B454" s="15" t="n">
        <v>450</v>
      </c>
      <c r="C454" s="9" t="s">
        <v>48</v>
      </c>
      <c r="D454" s="9" t="s">
        <v>88</v>
      </c>
      <c r="E454" s="9" t="s">
        <v>85</v>
      </c>
      <c r="F454" s="9" t="s">
        <v>61</v>
      </c>
      <c r="G454" s="9" t="s">
        <v>1016</v>
      </c>
      <c r="H454" s="9" t="s">
        <v>157</v>
      </c>
      <c r="I454" s="9" t="s">
        <v>158</v>
      </c>
      <c r="J454" s="9" t="s">
        <v>1011</v>
      </c>
      <c r="K454" s="9" t="s">
        <v>488</v>
      </c>
      <c r="L454" s="9" t="s">
        <v>205</v>
      </c>
      <c r="M454" s="9" t="s">
        <v>326</v>
      </c>
      <c r="N454" s="9" t="s">
        <v>1012</v>
      </c>
      <c r="O454" s="9" t="s">
        <v>1013</v>
      </c>
      <c r="P454" s="9" t="s">
        <v>144</v>
      </c>
      <c r="Q454" s="9" t="s">
        <v>329</v>
      </c>
      <c r="R454" s="9" t="s">
        <v>330</v>
      </c>
      <c r="S454" s="9" t="s">
        <v>472</v>
      </c>
      <c r="T454" s="9" t="s">
        <v>356</v>
      </c>
      <c r="U454" s="9" t="s">
        <v>148</v>
      </c>
      <c r="V454" s="9" t="s">
        <v>333</v>
      </c>
      <c r="W454" s="9" t="s">
        <v>334</v>
      </c>
      <c r="X454" s="9" t="s">
        <v>1014</v>
      </c>
      <c r="Y454" s="9" t="s">
        <v>1015</v>
      </c>
      <c r="Z454" s="9" t="s">
        <v>461</v>
      </c>
      <c r="AA454" s="9" t="s">
        <v>154</v>
      </c>
      <c r="AB454" s="19" t="n">
        <v>195</v>
      </c>
      <c r="AC454" s="9"/>
      <c r="AD454" s="9"/>
      <c r="AE454" s="9" t="s">
        <v>159</v>
      </c>
    </row>
    <row r="455" customFormat="false" ht="21.75" hidden="false" customHeight="true" outlineLevel="0" collapsed="false">
      <c r="B455" s="14" t="n">
        <v>451</v>
      </c>
      <c r="C455" s="7" t="s">
        <v>48</v>
      </c>
      <c r="D455" s="7" t="s">
        <v>88</v>
      </c>
      <c r="E455" s="7" t="s">
        <v>85</v>
      </c>
      <c r="F455" s="7" t="s">
        <v>61</v>
      </c>
      <c r="G455" s="7" t="s">
        <v>1017</v>
      </c>
      <c r="H455" s="7" t="s">
        <v>157</v>
      </c>
      <c r="I455" s="7" t="s">
        <v>158</v>
      </c>
      <c r="J455" s="7" t="s">
        <v>1011</v>
      </c>
      <c r="K455" s="7" t="s">
        <v>488</v>
      </c>
      <c r="L455" s="7" t="s">
        <v>205</v>
      </c>
      <c r="M455" s="7" t="s">
        <v>326</v>
      </c>
      <c r="N455" s="7" t="s">
        <v>1012</v>
      </c>
      <c r="O455" s="7" t="s">
        <v>1013</v>
      </c>
      <c r="P455" s="7" t="s">
        <v>144</v>
      </c>
      <c r="Q455" s="7" t="s">
        <v>329</v>
      </c>
      <c r="R455" s="7" t="s">
        <v>330</v>
      </c>
      <c r="S455" s="7" t="s">
        <v>472</v>
      </c>
      <c r="T455" s="7" t="s">
        <v>356</v>
      </c>
      <c r="U455" s="7" t="s">
        <v>148</v>
      </c>
      <c r="V455" s="7" t="s">
        <v>333</v>
      </c>
      <c r="W455" s="7" t="s">
        <v>334</v>
      </c>
      <c r="X455" s="7" t="s">
        <v>1014</v>
      </c>
      <c r="Y455" s="7" t="s">
        <v>1015</v>
      </c>
      <c r="Z455" s="7" t="s">
        <v>461</v>
      </c>
      <c r="AA455" s="7" t="s">
        <v>154</v>
      </c>
      <c r="AB455" s="18" t="n">
        <v>260</v>
      </c>
      <c r="AC455" s="7"/>
      <c r="AD455" s="7"/>
      <c r="AE455" s="7" t="s">
        <v>1018</v>
      </c>
    </row>
    <row r="456" customFormat="false" ht="21.75" hidden="false" customHeight="true" outlineLevel="0" collapsed="false">
      <c r="B456" s="15" t="n">
        <v>452</v>
      </c>
      <c r="C456" s="9" t="s">
        <v>48</v>
      </c>
      <c r="D456" s="9" t="s">
        <v>88</v>
      </c>
      <c r="E456" s="9" t="s">
        <v>85</v>
      </c>
      <c r="F456" s="9" t="s">
        <v>61</v>
      </c>
      <c r="G456" s="9" t="s">
        <v>1019</v>
      </c>
      <c r="H456" s="9" t="s">
        <v>163</v>
      </c>
      <c r="I456" s="9" t="s">
        <v>164</v>
      </c>
      <c r="J456" s="9" t="s">
        <v>1011</v>
      </c>
      <c r="K456" s="9" t="s">
        <v>488</v>
      </c>
      <c r="L456" s="9" t="s">
        <v>205</v>
      </c>
      <c r="M456" s="9" t="s">
        <v>326</v>
      </c>
      <c r="N456" s="9" t="s">
        <v>1012</v>
      </c>
      <c r="O456" s="9" t="s">
        <v>1013</v>
      </c>
      <c r="P456" s="9" t="s">
        <v>144</v>
      </c>
      <c r="Q456" s="9" t="s">
        <v>329</v>
      </c>
      <c r="R456" s="9" t="s">
        <v>330</v>
      </c>
      <c r="S456" s="9" t="s">
        <v>472</v>
      </c>
      <c r="T456" s="9" t="s">
        <v>356</v>
      </c>
      <c r="U456" s="9" t="s">
        <v>148</v>
      </c>
      <c r="V456" s="9" t="s">
        <v>333</v>
      </c>
      <c r="W456" s="9" t="s">
        <v>334</v>
      </c>
      <c r="X456" s="9" t="s">
        <v>1014</v>
      </c>
      <c r="Y456" s="9" t="s">
        <v>1015</v>
      </c>
      <c r="Z456" s="9" t="s">
        <v>461</v>
      </c>
      <c r="AA456" s="9" t="s">
        <v>154</v>
      </c>
      <c r="AB456" s="19" t="n">
        <v>390</v>
      </c>
      <c r="AC456" s="9"/>
      <c r="AD456" s="9"/>
      <c r="AE456" s="9" t="s">
        <v>165</v>
      </c>
    </row>
    <row r="457" customFormat="false" ht="21.75" hidden="false" customHeight="true" outlineLevel="0" collapsed="false">
      <c r="B457" s="14" t="n">
        <v>453</v>
      </c>
      <c r="C457" s="7" t="s">
        <v>48</v>
      </c>
      <c r="D457" s="7" t="s">
        <v>88</v>
      </c>
      <c r="E457" s="7" t="s">
        <v>85</v>
      </c>
      <c r="F457" s="7" t="s">
        <v>61</v>
      </c>
      <c r="G457" s="7" t="s">
        <v>1020</v>
      </c>
      <c r="H457" s="7" t="s">
        <v>163</v>
      </c>
      <c r="I457" s="7" t="s">
        <v>164</v>
      </c>
      <c r="J457" s="7" t="s">
        <v>1011</v>
      </c>
      <c r="K457" s="7" t="s">
        <v>488</v>
      </c>
      <c r="L457" s="7" t="s">
        <v>205</v>
      </c>
      <c r="M457" s="7" t="s">
        <v>326</v>
      </c>
      <c r="N457" s="7" t="s">
        <v>1012</v>
      </c>
      <c r="O457" s="7" t="s">
        <v>1013</v>
      </c>
      <c r="P457" s="7" t="s">
        <v>144</v>
      </c>
      <c r="Q457" s="7" t="s">
        <v>329</v>
      </c>
      <c r="R457" s="7" t="s">
        <v>330</v>
      </c>
      <c r="S457" s="7" t="s">
        <v>472</v>
      </c>
      <c r="T457" s="7" t="s">
        <v>356</v>
      </c>
      <c r="U457" s="7" t="s">
        <v>148</v>
      </c>
      <c r="V457" s="7" t="s">
        <v>333</v>
      </c>
      <c r="W457" s="7" t="s">
        <v>334</v>
      </c>
      <c r="X457" s="7" t="s">
        <v>1014</v>
      </c>
      <c r="Y457" s="7" t="s">
        <v>1015</v>
      </c>
      <c r="Z457" s="7" t="s">
        <v>461</v>
      </c>
      <c r="AA457" s="7" t="s">
        <v>154</v>
      </c>
      <c r="AB457" s="18" t="n">
        <v>570</v>
      </c>
      <c r="AC457" s="7"/>
      <c r="AD457" s="7"/>
      <c r="AE457" s="7" t="s">
        <v>167</v>
      </c>
    </row>
    <row r="458" customFormat="false" ht="21.75" hidden="false" customHeight="true" outlineLevel="0" collapsed="false">
      <c r="B458" s="15" t="n">
        <v>454</v>
      </c>
      <c r="C458" s="9" t="s">
        <v>48</v>
      </c>
      <c r="D458" s="9" t="s">
        <v>88</v>
      </c>
      <c r="E458" s="9" t="s">
        <v>85</v>
      </c>
      <c r="F458" s="9" t="s">
        <v>62</v>
      </c>
      <c r="G458" s="9" t="s">
        <v>1021</v>
      </c>
      <c r="H458" s="9" t="s">
        <v>136</v>
      </c>
      <c r="I458" s="9" t="s">
        <v>137</v>
      </c>
      <c r="J458" s="9" t="s">
        <v>1011</v>
      </c>
      <c r="K458" s="9" t="s">
        <v>488</v>
      </c>
      <c r="L458" s="9" t="s">
        <v>205</v>
      </c>
      <c r="M458" s="9" t="s">
        <v>326</v>
      </c>
      <c r="N458" s="9" t="s">
        <v>1022</v>
      </c>
      <c r="O458" s="9" t="s">
        <v>1013</v>
      </c>
      <c r="P458" s="9" t="s">
        <v>144</v>
      </c>
      <c r="Q458" s="9" t="s">
        <v>329</v>
      </c>
      <c r="R458" s="9" t="s">
        <v>330</v>
      </c>
      <c r="S458" s="9" t="s">
        <v>472</v>
      </c>
      <c r="T458" s="9" t="s">
        <v>147</v>
      </c>
      <c r="U458" s="9" t="s">
        <v>148</v>
      </c>
      <c r="V458" s="9" t="s">
        <v>333</v>
      </c>
      <c r="W458" s="9" t="s">
        <v>334</v>
      </c>
      <c r="X458" s="9" t="s">
        <v>1014</v>
      </c>
      <c r="Y458" s="9" t="s">
        <v>1023</v>
      </c>
      <c r="Z458" s="9" t="s">
        <v>461</v>
      </c>
      <c r="AA458" s="9" t="s">
        <v>154</v>
      </c>
      <c r="AB458" s="19" t="n">
        <v>135</v>
      </c>
      <c r="AC458" s="9"/>
      <c r="AD458" s="9"/>
      <c r="AE458" s="9" t="s">
        <v>155</v>
      </c>
    </row>
    <row r="459" customFormat="false" ht="21.75" hidden="false" customHeight="true" outlineLevel="0" collapsed="false">
      <c r="B459" s="14" t="n">
        <v>455</v>
      </c>
      <c r="C459" s="7" t="s">
        <v>48</v>
      </c>
      <c r="D459" s="7" t="s">
        <v>88</v>
      </c>
      <c r="E459" s="7" t="s">
        <v>85</v>
      </c>
      <c r="F459" s="7" t="s">
        <v>62</v>
      </c>
      <c r="G459" s="7" t="s">
        <v>1017</v>
      </c>
      <c r="H459" s="7" t="s">
        <v>157</v>
      </c>
      <c r="I459" s="7" t="s">
        <v>158</v>
      </c>
      <c r="J459" s="7" t="s">
        <v>1011</v>
      </c>
      <c r="K459" s="7" t="s">
        <v>488</v>
      </c>
      <c r="L459" s="7" t="s">
        <v>205</v>
      </c>
      <c r="M459" s="7" t="s">
        <v>326</v>
      </c>
      <c r="N459" s="7" t="s">
        <v>1022</v>
      </c>
      <c r="O459" s="7" t="s">
        <v>1013</v>
      </c>
      <c r="P459" s="7" t="s">
        <v>144</v>
      </c>
      <c r="Q459" s="7" t="s">
        <v>329</v>
      </c>
      <c r="R459" s="7" t="s">
        <v>330</v>
      </c>
      <c r="S459" s="7" t="s">
        <v>472</v>
      </c>
      <c r="T459" s="7" t="s">
        <v>147</v>
      </c>
      <c r="U459" s="7" t="s">
        <v>148</v>
      </c>
      <c r="V459" s="7" t="s">
        <v>333</v>
      </c>
      <c r="W459" s="7" t="s">
        <v>334</v>
      </c>
      <c r="X459" s="7" t="s">
        <v>1014</v>
      </c>
      <c r="Y459" s="7" t="s">
        <v>1023</v>
      </c>
      <c r="Z459" s="7" t="s">
        <v>461</v>
      </c>
      <c r="AA459" s="7" t="s">
        <v>154</v>
      </c>
      <c r="AB459" s="18" t="n">
        <v>200</v>
      </c>
      <c r="AC459" s="7"/>
      <c r="AD459" s="7"/>
      <c r="AE459" s="7" t="s">
        <v>159</v>
      </c>
    </row>
    <row r="460" customFormat="false" ht="21.75" hidden="false" customHeight="true" outlineLevel="0" collapsed="false">
      <c r="B460" s="15" t="n">
        <v>456</v>
      </c>
      <c r="C460" s="9" t="s">
        <v>48</v>
      </c>
      <c r="D460" s="9" t="s">
        <v>88</v>
      </c>
      <c r="E460" s="9" t="s">
        <v>85</v>
      </c>
      <c r="F460" s="9" t="s">
        <v>62</v>
      </c>
      <c r="G460" s="9" t="s">
        <v>1019</v>
      </c>
      <c r="H460" s="9" t="s">
        <v>157</v>
      </c>
      <c r="I460" s="9" t="s">
        <v>158</v>
      </c>
      <c r="J460" s="9" t="s">
        <v>1011</v>
      </c>
      <c r="K460" s="9" t="s">
        <v>488</v>
      </c>
      <c r="L460" s="9" t="s">
        <v>205</v>
      </c>
      <c r="M460" s="9" t="s">
        <v>326</v>
      </c>
      <c r="N460" s="9" t="s">
        <v>1022</v>
      </c>
      <c r="O460" s="9" t="s">
        <v>1013</v>
      </c>
      <c r="P460" s="9" t="s">
        <v>144</v>
      </c>
      <c r="Q460" s="9" t="s">
        <v>329</v>
      </c>
      <c r="R460" s="9" t="s">
        <v>330</v>
      </c>
      <c r="S460" s="9" t="s">
        <v>472</v>
      </c>
      <c r="T460" s="9" t="s">
        <v>147</v>
      </c>
      <c r="U460" s="9" t="s">
        <v>148</v>
      </c>
      <c r="V460" s="9" t="s">
        <v>333</v>
      </c>
      <c r="W460" s="9" t="s">
        <v>334</v>
      </c>
      <c r="X460" s="9" t="s">
        <v>1014</v>
      </c>
      <c r="Y460" s="9" t="s">
        <v>1023</v>
      </c>
      <c r="Z460" s="9" t="s">
        <v>461</v>
      </c>
      <c r="AA460" s="9" t="s">
        <v>154</v>
      </c>
      <c r="AB460" s="19" t="n">
        <v>270</v>
      </c>
      <c r="AC460" s="9"/>
      <c r="AD460" s="9"/>
      <c r="AE460" s="9" t="s">
        <v>1024</v>
      </c>
    </row>
    <row r="461" customFormat="false" ht="21.75" hidden="false" customHeight="true" outlineLevel="0" collapsed="false">
      <c r="B461" s="14" t="n">
        <v>457</v>
      </c>
      <c r="C461" s="7" t="s">
        <v>48</v>
      </c>
      <c r="D461" s="7" t="s">
        <v>88</v>
      </c>
      <c r="E461" s="7" t="s">
        <v>85</v>
      </c>
      <c r="F461" s="7" t="s">
        <v>62</v>
      </c>
      <c r="G461" s="7" t="s">
        <v>1025</v>
      </c>
      <c r="H461" s="7" t="s">
        <v>163</v>
      </c>
      <c r="I461" s="7" t="s">
        <v>164</v>
      </c>
      <c r="J461" s="7" t="s">
        <v>1011</v>
      </c>
      <c r="K461" s="7" t="s">
        <v>488</v>
      </c>
      <c r="L461" s="7" t="s">
        <v>205</v>
      </c>
      <c r="M461" s="7" t="s">
        <v>326</v>
      </c>
      <c r="N461" s="7" t="s">
        <v>1022</v>
      </c>
      <c r="O461" s="7" t="s">
        <v>1013</v>
      </c>
      <c r="P461" s="7" t="s">
        <v>144</v>
      </c>
      <c r="Q461" s="7" t="s">
        <v>329</v>
      </c>
      <c r="R461" s="7" t="s">
        <v>330</v>
      </c>
      <c r="S461" s="7" t="s">
        <v>472</v>
      </c>
      <c r="T461" s="7" t="s">
        <v>147</v>
      </c>
      <c r="U461" s="7" t="s">
        <v>148</v>
      </c>
      <c r="V461" s="7" t="s">
        <v>333</v>
      </c>
      <c r="W461" s="7" t="s">
        <v>334</v>
      </c>
      <c r="X461" s="7" t="s">
        <v>1014</v>
      </c>
      <c r="Y461" s="7" t="s">
        <v>1023</v>
      </c>
      <c r="Z461" s="7" t="s">
        <v>461</v>
      </c>
      <c r="AA461" s="7" t="s">
        <v>154</v>
      </c>
      <c r="AB461" s="18" t="n">
        <v>405</v>
      </c>
      <c r="AC461" s="7"/>
      <c r="AD461" s="7"/>
      <c r="AE461" s="7" t="s">
        <v>165</v>
      </c>
    </row>
    <row r="462" customFormat="false" ht="21.75" hidden="false" customHeight="true" outlineLevel="0" collapsed="false">
      <c r="B462" s="15" t="n">
        <v>458</v>
      </c>
      <c r="C462" s="9" t="s">
        <v>48</v>
      </c>
      <c r="D462" s="9" t="s">
        <v>88</v>
      </c>
      <c r="E462" s="9" t="s">
        <v>85</v>
      </c>
      <c r="F462" s="9" t="s">
        <v>62</v>
      </c>
      <c r="G462" s="9" t="s">
        <v>1026</v>
      </c>
      <c r="H462" s="9" t="s">
        <v>163</v>
      </c>
      <c r="I462" s="9" t="s">
        <v>164</v>
      </c>
      <c r="J462" s="9" t="s">
        <v>1011</v>
      </c>
      <c r="K462" s="9" t="s">
        <v>488</v>
      </c>
      <c r="L462" s="9" t="s">
        <v>205</v>
      </c>
      <c r="M462" s="9" t="s">
        <v>326</v>
      </c>
      <c r="N462" s="9" t="s">
        <v>1022</v>
      </c>
      <c r="O462" s="9" t="s">
        <v>1013</v>
      </c>
      <c r="P462" s="9" t="s">
        <v>144</v>
      </c>
      <c r="Q462" s="9" t="s">
        <v>329</v>
      </c>
      <c r="R462" s="9" t="s">
        <v>330</v>
      </c>
      <c r="S462" s="9" t="s">
        <v>472</v>
      </c>
      <c r="T462" s="9" t="s">
        <v>147</v>
      </c>
      <c r="U462" s="9" t="s">
        <v>148</v>
      </c>
      <c r="V462" s="9" t="s">
        <v>333</v>
      </c>
      <c r="W462" s="9" t="s">
        <v>334</v>
      </c>
      <c r="X462" s="9" t="s">
        <v>1014</v>
      </c>
      <c r="Y462" s="9" t="s">
        <v>1023</v>
      </c>
      <c r="Z462" s="9" t="s">
        <v>461</v>
      </c>
      <c r="AA462" s="9" t="s">
        <v>154</v>
      </c>
      <c r="AB462" s="19" t="n">
        <v>595</v>
      </c>
      <c r="AC462" s="9"/>
      <c r="AD462" s="9"/>
      <c r="AE462" s="9" t="s">
        <v>167</v>
      </c>
    </row>
    <row r="463" customFormat="false" ht="21.75" hidden="false" customHeight="true" outlineLevel="0" collapsed="false">
      <c r="B463" s="14" t="n">
        <v>459</v>
      </c>
      <c r="C463" s="7" t="s">
        <v>48</v>
      </c>
      <c r="D463" s="7" t="s">
        <v>88</v>
      </c>
      <c r="E463" s="7" t="s">
        <v>85</v>
      </c>
      <c r="F463" s="7" t="s">
        <v>63</v>
      </c>
      <c r="G463" s="7" t="s">
        <v>1027</v>
      </c>
      <c r="H463" s="7" t="s">
        <v>136</v>
      </c>
      <c r="I463" s="7" t="s">
        <v>137</v>
      </c>
      <c r="J463" s="7" t="s">
        <v>1011</v>
      </c>
      <c r="K463" s="7" t="s">
        <v>488</v>
      </c>
      <c r="L463" s="7" t="s">
        <v>354</v>
      </c>
      <c r="M463" s="7" t="s">
        <v>326</v>
      </c>
      <c r="N463" s="7" t="s">
        <v>1022</v>
      </c>
      <c r="O463" s="7" t="s">
        <v>1013</v>
      </c>
      <c r="P463" s="7" t="s">
        <v>144</v>
      </c>
      <c r="Q463" s="7" t="s">
        <v>329</v>
      </c>
      <c r="R463" s="7" t="s">
        <v>330</v>
      </c>
      <c r="S463" s="7" t="s">
        <v>472</v>
      </c>
      <c r="T463" s="7" t="s">
        <v>356</v>
      </c>
      <c r="U463" s="7" t="s">
        <v>148</v>
      </c>
      <c r="V463" s="7" t="s">
        <v>333</v>
      </c>
      <c r="W463" s="7" t="s">
        <v>334</v>
      </c>
      <c r="X463" s="7" t="s">
        <v>1028</v>
      </c>
      <c r="Y463" s="7" t="s">
        <v>1029</v>
      </c>
      <c r="Z463" s="7" t="s">
        <v>461</v>
      </c>
      <c r="AA463" s="7" t="s">
        <v>183</v>
      </c>
      <c r="AB463" s="18" t="n">
        <v>125</v>
      </c>
      <c r="AC463" s="7"/>
      <c r="AD463" s="7"/>
      <c r="AE463" s="7" t="s">
        <v>155</v>
      </c>
    </row>
    <row r="464" customFormat="false" ht="21.75" hidden="false" customHeight="true" outlineLevel="0" collapsed="false">
      <c r="B464" s="15" t="n">
        <v>460</v>
      </c>
      <c r="C464" s="9" t="s">
        <v>48</v>
      </c>
      <c r="D464" s="9" t="s">
        <v>88</v>
      </c>
      <c r="E464" s="9" t="s">
        <v>85</v>
      </c>
      <c r="F464" s="9" t="s">
        <v>63</v>
      </c>
      <c r="G464" s="9" t="s">
        <v>1030</v>
      </c>
      <c r="H464" s="9" t="s">
        <v>157</v>
      </c>
      <c r="I464" s="9" t="s">
        <v>158</v>
      </c>
      <c r="J464" s="9" t="s">
        <v>1011</v>
      </c>
      <c r="K464" s="9" t="s">
        <v>488</v>
      </c>
      <c r="L464" s="9" t="s">
        <v>354</v>
      </c>
      <c r="M464" s="9" t="s">
        <v>326</v>
      </c>
      <c r="N464" s="9" t="s">
        <v>1022</v>
      </c>
      <c r="O464" s="9" t="s">
        <v>1013</v>
      </c>
      <c r="P464" s="9" t="s">
        <v>144</v>
      </c>
      <c r="Q464" s="9" t="s">
        <v>329</v>
      </c>
      <c r="R464" s="9" t="s">
        <v>330</v>
      </c>
      <c r="S464" s="9" t="s">
        <v>472</v>
      </c>
      <c r="T464" s="9" t="s">
        <v>356</v>
      </c>
      <c r="U464" s="9" t="s">
        <v>148</v>
      </c>
      <c r="V464" s="9" t="s">
        <v>333</v>
      </c>
      <c r="W464" s="9" t="s">
        <v>334</v>
      </c>
      <c r="X464" s="9" t="s">
        <v>1028</v>
      </c>
      <c r="Y464" s="9" t="s">
        <v>1029</v>
      </c>
      <c r="Z464" s="9" t="s">
        <v>461</v>
      </c>
      <c r="AA464" s="9" t="s">
        <v>183</v>
      </c>
      <c r="AB464" s="19" t="n">
        <v>190</v>
      </c>
      <c r="AC464" s="9"/>
      <c r="AD464" s="9"/>
      <c r="AE464" s="9" t="s">
        <v>159</v>
      </c>
    </row>
    <row r="465" customFormat="false" ht="21.75" hidden="false" customHeight="true" outlineLevel="0" collapsed="false">
      <c r="B465" s="14" t="n">
        <v>461</v>
      </c>
      <c r="C465" s="7" t="s">
        <v>48</v>
      </c>
      <c r="D465" s="7" t="s">
        <v>88</v>
      </c>
      <c r="E465" s="7" t="s">
        <v>85</v>
      </c>
      <c r="F465" s="7" t="s">
        <v>63</v>
      </c>
      <c r="G465" s="7" t="s">
        <v>1031</v>
      </c>
      <c r="H465" s="7" t="s">
        <v>157</v>
      </c>
      <c r="I465" s="7" t="s">
        <v>158</v>
      </c>
      <c r="J465" s="7" t="s">
        <v>1011</v>
      </c>
      <c r="K465" s="7" t="s">
        <v>488</v>
      </c>
      <c r="L465" s="7" t="s">
        <v>354</v>
      </c>
      <c r="M465" s="7" t="s">
        <v>326</v>
      </c>
      <c r="N465" s="7" t="s">
        <v>1022</v>
      </c>
      <c r="O465" s="7" t="s">
        <v>1013</v>
      </c>
      <c r="P465" s="7" t="s">
        <v>144</v>
      </c>
      <c r="Q465" s="7" t="s">
        <v>329</v>
      </c>
      <c r="R465" s="7" t="s">
        <v>330</v>
      </c>
      <c r="S465" s="7" t="s">
        <v>472</v>
      </c>
      <c r="T465" s="7" t="s">
        <v>356</v>
      </c>
      <c r="U465" s="7" t="s">
        <v>148</v>
      </c>
      <c r="V465" s="7" t="s">
        <v>333</v>
      </c>
      <c r="W465" s="7" t="s">
        <v>334</v>
      </c>
      <c r="X465" s="7" t="s">
        <v>1028</v>
      </c>
      <c r="Y465" s="7" t="s">
        <v>1029</v>
      </c>
      <c r="Z465" s="7" t="s">
        <v>461</v>
      </c>
      <c r="AA465" s="7" t="s">
        <v>183</v>
      </c>
      <c r="AB465" s="18" t="n">
        <v>250</v>
      </c>
      <c r="AC465" s="7"/>
      <c r="AD465" s="7"/>
      <c r="AE465" s="7" t="s">
        <v>1032</v>
      </c>
    </row>
    <row r="466" customFormat="false" ht="21.75" hidden="false" customHeight="true" outlineLevel="0" collapsed="false">
      <c r="B466" s="15" t="n">
        <v>462</v>
      </c>
      <c r="C466" s="9" t="s">
        <v>48</v>
      </c>
      <c r="D466" s="9" t="s">
        <v>88</v>
      </c>
      <c r="E466" s="9" t="s">
        <v>85</v>
      </c>
      <c r="F466" s="9" t="s">
        <v>63</v>
      </c>
      <c r="G466" s="9" t="s">
        <v>1033</v>
      </c>
      <c r="H466" s="9" t="s">
        <v>163</v>
      </c>
      <c r="I466" s="9" t="s">
        <v>164</v>
      </c>
      <c r="J466" s="9" t="s">
        <v>1011</v>
      </c>
      <c r="K466" s="9" t="s">
        <v>488</v>
      </c>
      <c r="L466" s="9" t="s">
        <v>354</v>
      </c>
      <c r="M466" s="9" t="s">
        <v>326</v>
      </c>
      <c r="N466" s="9" t="s">
        <v>1022</v>
      </c>
      <c r="O466" s="9" t="s">
        <v>1013</v>
      </c>
      <c r="P466" s="9" t="s">
        <v>144</v>
      </c>
      <c r="Q466" s="9" t="s">
        <v>329</v>
      </c>
      <c r="R466" s="9" t="s">
        <v>330</v>
      </c>
      <c r="S466" s="9" t="s">
        <v>472</v>
      </c>
      <c r="T466" s="9" t="s">
        <v>356</v>
      </c>
      <c r="U466" s="9" t="s">
        <v>148</v>
      </c>
      <c r="V466" s="9" t="s">
        <v>333</v>
      </c>
      <c r="W466" s="9" t="s">
        <v>334</v>
      </c>
      <c r="X466" s="9" t="s">
        <v>1028</v>
      </c>
      <c r="Y466" s="9" t="s">
        <v>1029</v>
      </c>
      <c r="Z466" s="9" t="s">
        <v>461</v>
      </c>
      <c r="AA466" s="9" t="s">
        <v>183</v>
      </c>
      <c r="AB466" s="19" t="n">
        <v>375</v>
      </c>
      <c r="AC466" s="9"/>
      <c r="AD466" s="9"/>
      <c r="AE466" s="9" t="s">
        <v>165</v>
      </c>
    </row>
    <row r="467" customFormat="false" ht="21.75" hidden="false" customHeight="true" outlineLevel="0" collapsed="false">
      <c r="B467" s="14" t="n">
        <v>463</v>
      </c>
      <c r="C467" s="7" t="s">
        <v>48</v>
      </c>
      <c r="D467" s="7" t="s">
        <v>88</v>
      </c>
      <c r="E467" s="7" t="s">
        <v>85</v>
      </c>
      <c r="F467" s="7" t="s">
        <v>63</v>
      </c>
      <c r="G467" s="7" t="s">
        <v>1034</v>
      </c>
      <c r="H467" s="7" t="s">
        <v>163</v>
      </c>
      <c r="I467" s="7" t="s">
        <v>164</v>
      </c>
      <c r="J467" s="7" t="s">
        <v>1011</v>
      </c>
      <c r="K467" s="7" t="s">
        <v>488</v>
      </c>
      <c r="L467" s="7" t="s">
        <v>354</v>
      </c>
      <c r="M467" s="7" t="s">
        <v>326</v>
      </c>
      <c r="N467" s="7" t="s">
        <v>1022</v>
      </c>
      <c r="O467" s="7" t="s">
        <v>1013</v>
      </c>
      <c r="P467" s="7" t="s">
        <v>144</v>
      </c>
      <c r="Q467" s="7" t="s">
        <v>329</v>
      </c>
      <c r="R467" s="7" t="s">
        <v>330</v>
      </c>
      <c r="S467" s="7" t="s">
        <v>472</v>
      </c>
      <c r="T467" s="7" t="s">
        <v>356</v>
      </c>
      <c r="U467" s="7" t="s">
        <v>148</v>
      </c>
      <c r="V467" s="7" t="s">
        <v>333</v>
      </c>
      <c r="W467" s="7" t="s">
        <v>334</v>
      </c>
      <c r="X467" s="7" t="s">
        <v>1028</v>
      </c>
      <c r="Y467" s="7" t="s">
        <v>1029</v>
      </c>
      <c r="Z467" s="7" t="s">
        <v>461</v>
      </c>
      <c r="AA467" s="7" t="s">
        <v>183</v>
      </c>
      <c r="AB467" s="18" t="n">
        <v>550</v>
      </c>
      <c r="AC467" s="7"/>
      <c r="AD467" s="7"/>
      <c r="AE467" s="7" t="s">
        <v>167</v>
      </c>
    </row>
    <row r="468" customFormat="false" ht="21.75" hidden="false" customHeight="true" outlineLevel="0" collapsed="false">
      <c r="B468" s="15" t="n">
        <v>464</v>
      </c>
      <c r="C468" s="9" t="s">
        <v>48</v>
      </c>
      <c r="D468" s="9" t="s">
        <v>88</v>
      </c>
      <c r="E468" s="9" t="s">
        <v>85</v>
      </c>
      <c r="F468" s="9" t="s">
        <v>64</v>
      </c>
      <c r="G468" s="9" t="s">
        <v>1035</v>
      </c>
      <c r="H468" s="9" t="s">
        <v>136</v>
      </c>
      <c r="I468" s="9" t="s">
        <v>137</v>
      </c>
      <c r="J468" s="9" t="s">
        <v>203</v>
      </c>
      <c r="K468" s="9" t="s">
        <v>498</v>
      </c>
      <c r="L468" s="9" t="s">
        <v>623</v>
      </c>
      <c r="M468" s="9" t="s">
        <v>116</v>
      </c>
      <c r="N468" s="9" t="s">
        <v>511</v>
      </c>
      <c r="O468" s="9" t="s">
        <v>1013</v>
      </c>
      <c r="P468" s="9" t="s">
        <v>144</v>
      </c>
      <c r="Q468" s="9" t="s">
        <v>329</v>
      </c>
      <c r="R468" s="9" t="s">
        <v>330</v>
      </c>
      <c r="S468" s="9" t="s">
        <v>472</v>
      </c>
      <c r="T468" s="9" t="s">
        <v>356</v>
      </c>
      <c r="U468" s="9" t="s">
        <v>194</v>
      </c>
      <c r="V468" s="9" t="s">
        <v>783</v>
      </c>
      <c r="W468" s="9" t="s">
        <v>334</v>
      </c>
      <c r="X468" s="9" t="s">
        <v>1036</v>
      </c>
      <c r="Y468" s="9" t="s">
        <v>197</v>
      </c>
      <c r="Z468" s="9" t="s">
        <v>461</v>
      </c>
      <c r="AA468" s="9" t="s">
        <v>183</v>
      </c>
      <c r="AB468" s="19" t="n">
        <v>575</v>
      </c>
      <c r="AC468" s="9"/>
      <c r="AD468" s="9"/>
      <c r="AE468" s="9" t="s">
        <v>155</v>
      </c>
    </row>
    <row r="469" customFormat="false" ht="21.75" hidden="false" customHeight="true" outlineLevel="0" collapsed="false">
      <c r="B469" s="14" t="n">
        <v>465</v>
      </c>
      <c r="C469" s="7" t="s">
        <v>48</v>
      </c>
      <c r="D469" s="7" t="s">
        <v>88</v>
      </c>
      <c r="E469" s="7" t="s">
        <v>85</v>
      </c>
      <c r="F469" s="7" t="s">
        <v>64</v>
      </c>
      <c r="G469" s="7" t="s">
        <v>1037</v>
      </c>
      <c r="H469" s="7" t="s">
        <v>136</v>
      </c>
      <c r="I469" s="7" t="s">
        <v>137</v>
      </c>
      <c r="J469" s="7" t="s">
        <v>203</v>
      </c>
      <c r="K469" s="7" t="s">
        <v>498</v>
      </c>
      <c r="L469" s="7" t="s">
        <v>623</v>
      </c>
      <c r="M469" s="7" t="s">
        <v>116</v>
      </c>
      <c r="N469" s="7" t="s">
        <v>511</v>
      </c>
      <c r="O469" s="7" t="s">
        <v>1013</v>
      </c>
      <c r="P469" s="7" t="s">
        <v>144</v>
      </c>
      <c r="Q469" s="7" t="s">
        <v>329</v>
      </c>
      <c r="R469" s="7" t="s">
        <v>330</v>
      </c>
      <c r="S469" s="7" t="s">
        <v>472</v>
      </c>
      <c r="T469" s="7" t="s">
        <v>356</v>
      </c>
      <c r="U469" s="7" t="s">
        <v>194</v>
      </c>
      <c r="V469" s="7" t="s">
        <v>783</v>
      </c>
      <c r="W469" s="7" t="s">
        <v>334</v>
      </c>
      <c r="X469" s="7" t="s">
        <v>1036</v>
      </c>
      <c r="Y469" s="7" t="s">
        <v>197</v>
      </c>
      <c r="Z469" s="7" t="s">
        <v>461</v>
      </c>
      <c r="AA469" s="7" t="s">
        <v>183</v>
      </c>
      <c r="AB469" s="18" t="n">
        <v>860</v>
      </c>
      <c r="AC469" s="7"/>
      <c r="AD469" s="7"/>
      <c r="AE469" s="7" t="s">
        <v>159</v>
      </c>
    </row>
    <row r="470" customFormat="false" ht="21.75" hidden="false" customHeight="true" outlineLevel="0" collapsed="false">
      <c r="B470" s="15" t="n">
        <v>466</v>
      </c>
      <c r="C470" s="9" t="s">
        <v>48</v>
      </c>
      <c r="D470" s="9" t="s">
        <v>88</v>
      </c>
      <c r="E470" s="9" t="s">
        <v>85</v>
      </c>
      <c r="F470" s="9" t="s">
        <v>64</v>
      </c>
      <c r="G470" s="9" t="s">
        <v>1038</v>
      </c>
      <c r="H470" s="9" t="s">
        <v>157</v>
      </c>
      <c r="I470" s="9" t="s">
        <v>158</v>
      </c>
      <c r="J470" s="9" t="s">
        <v>203</v>
      </c>
      <c r="K470" s="9" t="s">
        <v>498</v>
      </c>
      <c r="L470" s="9" t="s">
        <v>623</v>
      </c>
      <c r="M470" s="9" t="s">
        <v>116</v>
      </c>
      <c r="N470" s="9" t="s">
        <v>511</v>
      </c>
      <c r="O470" s="9" t="s">
        <v>1013</v>
      </c>
      <c r="P470" s="9" t="s">
        <v>144</v>
      </c>
      <c r="Q470" s="9" t="s">
        <v>329</v>
      </c>
      <c r="R470" s="9" t="s">
        <v>330</v>
      </c>
      <c r="S470" s="9" t="s">
        <v>472</v>
      </c>
      <c r="T470" s="9" t="s">
        <v>356</v>
      </c>
      <c r="U470" s="9" t="s">
        <v>194</v>
      </c>
      <c r="V470" s="9" t="s">
        <v>783</v>
      </c>
      <c r="W470" s="9" t="s">
        <v>334</v>
      </c>
      <c r="X470" s="9" t="s">
        <v>1036</v>
      </c>
      <c r="Y470" s="9" t="s">
        <v>197</v>
      </c>
      <c r="Z470" s="9" t="s">
        <v>461</v>
      </c>
      <c r="AA470" s="9" t="s">
        <v>183</v>
      </c>
      <c r="AB470" s="19" t="n">
        <v>1150</v>
      </c>
      <c r="AC470" s="9"/>
      <c r="AD470" s="9"/>
      <c r="AE470" s="9" t="s">
        <v>1039</v>
      </c>
    </row>
    <row r="471" customFormat="false" ht="21.75" hidden="false" customHeight="true" outlineLevel="0" collapsed="false">
      <c r="B471" s="14" t="n">
        <v>467</v>
      </c>
      <c r="C471" s="7" t="s">
        <v>48</v>
      </c>
      <c r="D471" s="7" t="s">
        <v>88</v>
      </c>
      <c r="E471" s="7" t="s">
        <v>85</v>
      </c>
      <c r="F471" s="7" t="s">
        <v>64</v>
      </c>
      <c r="G471" s="7" t="s">
        <v>1040</v>
      </c>
      <c r="H471" s="7" t="s">
        <v>157</v>
      </c>
      <c r="I471" s="7" t="s">
        <v>158</v>
      </c>
      <c r="J471" s="7" t="s">
        <v>203</v>
      </c>
      <c r="K471" s="7" t="s">
        <v>498</v>
      </c>
      <c r="L471" s="7" t="s">
        <v>623</v>
      </c>
      <c r="M471" s="7" t="s">
        <v>116</v>
      </c>
      <c r="N471" s="7" t="s">
        <v>511</v>
      </c>
      <c r="O471" s="7" t="s">
        <v>1013</v>
      </c>
      <c r="P471" s="7" t="s">
        <v>144</v>
      </c>
      <c r="Q471" s="7" t="s">
        <v>329</v>
      </c>
      <c r="R471" s="7" t="s">
        <v>330</v>
      </c>
      <c r="S471" s="7" t="s">
        <v>472</v>
      </c>
      <c r="T471" s="7" t="s">
        <v>356</v>
      </c>
      <c r="U471" s="7" t="s">
        <v>194</v>
      </c>
      <c r="V471" s="7" t="s">
        <v>783</v>
      </c>
      <c r="W471" s="7" t="s">
        <v>334</v>
      </c>
      <c r="X471" s="7" t="s">
        <v>1036</v>
      </c>
      <c r="Y471" s="7" t="s">
        <v>197</v>
      </c>
      <c r="Z471" s="7" t="s">
        <v>461</v>
      </c>
      <c r="AA471" s="7" t="s">
        <v>183</v>
      </c>
      <c r="AB471" s="18" t="n">
        <v>1725</v>
      </c>
      <c r="AC471" s="7"/>
      <c r="AD471" s="7"/>
      <c r="AE471" s="7" t="s">
        <v>165</v>
      </c>
    </row>
    <row r="472" customFormat="false" ht="21.75" hidden="false" customHeight="true" outlineLevel="0" collapsed="false">
      <c r="B472" s="15" t="n">
        <v>468</v>
      </c>
      <c r="C472" s="9" t="s">
        <v>48</v>
      </c>
      <c r="D472" s="9" t="s">
        <v>88</v>
      </c>
      <c r="E472" s="9" t="s">
        <v>85</v>
      </c>
      <c r="F472" s="9" t="s">
        <v>64</v>
      </c>
      <c r="G472" s="9" t="s">
        <v>1041</v>
      </c>
      <c r="H472" s="9" t="s">
        <v>163</v>
      </c>
      <c r="I472" s="9" t="s">
        <v>164</v>
      </c>
      <c r="J472" s="9" t="s">
        <v>203</v>
      </c>
      <c r="K472" s="9" t="s">
        <v>498</v>
      </c>
      <c r="L472" s="9" t="s">
        <v>623</v>
      </c>
      <c r="M472" s="9" t="s">
        <v>116</v>
      </c>
      <c r="N472" s="9" t="s">
        <v>511</v>
      </c>
      <c r="O472" s="9" t="s">
        <v>1013</v>
      </c>
      <c r="P472" s="9" t="s">
        <v>144</v>
      </c>
      <c r="Q472" s="9" t="s">
        <v>329</v>
      </c>
      <c r="R472" s="9" t="s">
        <v>330</v>
      </c>
      <c r="S472" s="9" t="s">
        <v>472</v>
      </c>
      <c r="T472" s="9" t="s">
        <v>356</v>
      </c>
      <c r="U472" s="9" t="s">
        <v>194</v>
      </c>
      <c r="V472" s="9" t="s">
        <v>783</v>
      </c>
      <c r="W472" s="9" t="s">
        <v>334</v>
      </c>
      <c r="X472" s="9" t="s">
        <v>1036</v>
      </c>
      <c r="Y472" s="9" t="s">
        <v>197</v>
      </c>
      <c r="Z472" s="9" t="s">
        <v>461</v>
      </c>
      <c r="AA472" s="9" t="s">
        <v>183</v>
      </c>
      <c r="AB472" s="19" t="n">
        <v>2530</v>
      </c>
      <c r="AC472" s="9"/>
      <c r="AD472" s="9"/>
      <c r="AE472" s="9" t="s">
        <v>167</v>
      </c>
    </row>
    <row r="473" customFormat="false" ht="21.75" hidden="false" customHeight="true" outlineLevel="0" collapsed="false">
      <c r="B473" s="14" t="n">
        <v>469</v>
      </c>
      <c r="C473" s="7" t="s">
        <v>48</v>
      </c>
      <c r="D473" s="7" t="s">
        <v>88</v>
      </c>
      <c r="E473" s="7" t="s">
        <v>85</v>
      </c>
      <c r="F473" s="7" t="s">
        <v>65</v>
      </c>
      <c r="G473" s="7" t="s">
        <v>321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18"/>
      <c r="AC473" s="7"/>
      <c r="AD473" s="7"/>
      <c r="AE473" s="7" t="s">
        <v>1042</v>
      </c>
    </row>
    <row r="474" customFormat="false" ht="21.75" hidden="false" customHeight="true" outlineLevel="0" collapsed="false">
      <c r="B474" s="15" t="n">
        <v>470</v>
      </c>
      <c r="C474" s="9" t="s">
        <v>48</v>
      </c>
      <c r="D474" s="9" t="s">
        <v>88</v>
      </c>
      <c r="E474" s="9" t="s">
        <v>85</v>
      </c>
      <c r="F474" s="9" t="s">
        <v>66</v>
      </c>
      <c r="G474" s="9" t="s">
        <v>321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9"/>
      <c r="AC474" s="9"/>
      <c r="AD474" s="9"/>
      <c r="AE474" s="9" t="s">
        <v>1043</v>
      </c>
    </row>
    <row r="475" customFormat="false" ht="21.75" hidden="false" customHeight="true" outlineLevel="0" collapsed="false">
      <c r="B475" s="14" t="n">
        <v>471</v>
      </c>
      <c r="C475" s="7" t="s">
        <v>48</v>
      </c>
      <c r="D475" s="7" t="s">
        <v>88</v>
      </c>
      <c r="E475" s="7" t="s">
        <v>85</v>
      </c>
      <c r="F475" s="7" t="s">
        <v>67</v>
      </c>
      <c r="G475" s="7" t="s">
        <v>1044</v>
      </c>
      <c r="H475" s="7" t="s">
        <v>230</v>
      </c>
      <c r="I475" s="7" t="s">
        <v>231</v>
      </c>
      <c r="J475" s="7" t="s">
        <v>1011</v>
      </c>
      <c r="K475" s="7" t="s">
        <v>527</v>
      </c>
      <c r="L475" s="7" t="s">
        <v>1045</v>
      </c>
      <c r="M475" s="7" t="s">
        <v>116</v>
      </c>
      <c r="N475" s="7" t="s">
        <v>529</v>
      </c>
      <c r="O475" s="7" t="s">
        <v>1013</v>
      </c>
      <c r="P475" s="7" t="s">
        <v>144</v>
      </c>
      <c r="Q475" s="7" t="s">
        <v>329</v>
      </c>
      <c r="R475" s="7" t="s">
        <v>330</v>
      </c>
      <c r="S475" s="7" t="s">
        <v>472</v>
      </c>
      <c r="T475" s="7" t="s">
        <v>223</v>
      </c>
      <c r="U475" s="7" t="s">
        <v>148</v>
      </c>
      <c r="V475" s="7" t="s">
        <v>387</v>
      </c>
      <c r="W475" s="7" t="s">
        <v>334</v>
      </c>
      <c r="X475" s="7" t="s">
        <v>1046</v>
      </c>
      <c r="Y475" s="7" t="s">
        <v>830</v>
      </c>
      <c r="Z475" s="7" t="s">
        <v>461</v>
      </c>
      <c r="AA475" s="7" t="s">
        <v>223</v>
      </c>
      <c r="AB475" s="18" t="n">
        <v>150</v>
      </c>
      <c r="AC475" s="7"/>
      <c r="AD475" s="7"/>
      <c r="AE475" s="7" t="s">
        <v>155</v>
      </c>
    </row>
    <row r="476" customFormat="false" ht="21.75" hidden="false" customHeight="true" outlineLevel="0" collapsed="false">
      <c r="B476" s="15" t="n">
        <v>472</v>
      </c>
      <c r="C476" s="9" t="s">
        <v>48</v>
      </c>
      <c r="D476" s="9" t="s">
        <v>88</v>
      </c>
      <c r="E476" s="9" t="s">
        <v>85</v>
      </c>
      <c r="F476" s="9" t="s">
        <v>67</v>
      </c>
      <c r="G476" s="9" t="s">
        <v>1047</v>
      </c>
      <c r="H476" s="9" t="s">
        <v>230</v>
      </c>
      <c r="I476" s="9" t="s">
        <v>231</v>
      </c>
      <c r="J476" s="9" t="s">
        <v>1011</v>
      </c>
      <c r="K476" s="9" t="s">
        <v>527</v>
      </c>
      <c r="L476" s="9" t="s">
        <v>1045</v>
      </c>
      <c r="M476" s="9" t="s">
        <v>116</v>
      </c>
      <c r="N476" s="9" t="s">
        <v>529</v>
      </c>
      <c r="O476" s="9" t="s">
        <v>1013</v>
      </c>
      <c r="P476" s="9" t="s">
        <v>144</v>
      </c>
      <c r="Q476" s="9" t="s">
        <v>329</v>
      </c>
      <c r="R476" s="9" t="s">
        <v>330</v>
      </c>
      <c r="S476" s="9" t="s">
        <v>472</v>
      </c>
      <c r="T476" s="9" t="s">
        <v>223</v>
      </c>
      <c r="U476" s="9" t="s">
        <v>148</v>
      </c>
      <c r="V476" s="9" t="s">
        <v>387</v>
      </c>
      <c r="W476" s="9" t="s">
        <v>334</v>
      </c>
      <c r="X476" s="9" t="s">
        <v>1046</v>
      </c>
      <c r="Y476" s="9" t="s">
        <v>830</v>
      </c>
      <c r="Z476" s="9" t="s">
        <v>461</v>
      </c>
      <c r="AA476" s="9" t="s">
        <v>223</v>
      </c>
      <c r="AB476" s="19" t="n">
        <v>225</v>
      </c>
      <c r="AC476" s="9"/>
      <c r="AD476" s="9"/>
      <c r="AE476" s="9" t="s">
        <v>159</v>
      </c>
    </row>
    <row r="477" customFormat="false" ht="21.75" hidden="false" customHeight="true" outlineLevel="0" collapsed="false">
      <c r="B477" s="14" t="n">
        <v>473</v>
      </c>
      <c r="C477" s="7" t="s">
        <v>48</v>
      </c>
      <c r="D477" s="7" t="s">
        <v>88</v>
      </c>
      <c r="E477" s="7" t="s">
        <v>85</v>
      </c>
      <c r="F477" s="7" t="s">
        <v>67</v>
      </c>
      <c r="G477" s="7" t="s">
        <v>1048</v>
      </c>
      <c r="H477" s="7" t="s">
        <v>240</v>
      </c>
      <c r="I477" s="7" t="s">
        <v>241</v>
      </c>
      <c r="J477" s="7" t="s">
        <v>1011</v>
      </c>
      <c r="K477" s="7" t="s">
        <v>527</v>
      </c>
      <c r="L477" s="7" t="s">
        <v>1045</v>
      </c>
      <c r="M477" s="7" t="s">
        <v>116</v>
      </c>
      <c r="N477" s="7" t="s">
        <v>529</v>
      </c>
      <c r="O477" s="7" t="s">
        <v>1013</v>
      </c>
      <c r="P477" s="7" t="s">
        <v>144</v>
      </c>
      <c r="Q477" s="7" t="s">
        <v>329</v>
      </c>
      <c r="R477" s="7" t="s">
        <v>330</v>
      </c>
      <c r="S477" s="7" t="s">
        <v>472</v>
      </c>
      <c r="T477" s="7" t="s">
        <v>223</v>
      </c>
      <c r="U477" s="7" t="s">
        <v>148</v>
      </c>
      <c r="V477" s="7" t="s">
        <v>387</v>
      </c>
      <c r="W477" s="7" t="s">
        <v>334</v>
      </c>
      <c r="X477" s="7" t="s">
        <v>1046</v>
      </c>
      <c r="Y477" s="7" t="s">
        <v>830</v>
      </c>
      <c r="Z477" s="7" t="s">
        <v>461</v>
      </c>
      <c r="AA477" s="7" t="s">
        <v>223</v>
      </c>
      <c r="AB477" s="18" t="n">
        <v>300</v>
      </c>
      <c r="AC477" s="7"/>
      <c r="AD477" s="7"/>
      <c r="AE477" s="7" t="s">
        <v>1049</v>
      </c>
    </row>
    <row r="478" customFormat="false" ht="21.75" hidden="false" customHeight="true" outlineLevel="0" collapsed="false">
      <c r="B478" s="15" t="n">
        <v>474</v>
      </c>
      <c r="C478" s="9" t="s">
        <v>48</v>
      </c>
      <c r="D478" s="9" t="s">
        <v>88</v>
      </c>
      <c r="E478" s="9" t="s">
        <v>85</v>
      </c>
      <c r="F478" s="9" t="s">
        <v>67</v>
      </c>
      <c r="G478" s="9" t="s">
        <v>1050</v>
      </c>
      <c r="H478" s="9" t="s">
        <v>240</v>
      </c>
      <c r="I478" s="9" t="s">
        <v>241</v>
      </c>
      <c r="J478" s="9" t="s">
        <v>1011</v>
      </c>
      <c r="K478" s="9" t="s">
        <v>527</v>
      </c>
      <c r="L478" s="9" t="s">
        <v>1045</v>
      </c>
      <c r="M478" s="9" t="s">
        <v>116</v>
      </c>
      <c r="N478" s="9" t="s">
        <v>529</v>
      </c>
      <c r="O478" s="9" t="s">
        <v>1013</v>
      </c>
      <c r="P478" s="9" t="s">
        <v>144</v>
      </c>
      <c r="Q478" s="9" t="s">
        <v>329</v>
      </c>
      <c r="R478" s="9" t="s">
        <v>330</v>
      </c>
      <c r="S478" s="9" t="s">
        <v>472</v>
      </c>
      <c r="T478" s="9" t="s">
        <v>223</v>
      </c>
      <c r="U478" s="9" t="s">
        <v>148</v>
      </c>
      <c r="V478" s="9" t="s">
        <v>387</v>
      </c>
      <c r="W478" s="9" t="s">
        <v>334</v>
      </c>
      <c r="X478" s="9" t="s">
        <v>1046</v>
      </c>
      <c r="Y478" s="9" t="s">
        <v>830</v>
      </c>
      <c r="Z478" s="9" t="s">
        <v>461</v>
      </c>
      <c r="AA478" s="9" t="s">
        <v>223</v>
      </c>
      <c r="AB478" s="19" t="n">
        <v>450</v>
      </c>
      <c r="AC478" s="9"/>
      <c r="AD478" s="9"/>
      <c r="AE478" s="9" t="s">
        <v>165</v>
      </c>
    </row>
    <row r="479" customFormat="false" ht="21.75" hidden="false" customHeight="true" outlineLevel="0" collapsed="false">
      <c r="B479" s="14" t="n">
        <v>475</v>
      </c>
      <c r="C479" s="7" t="s">
        <v>48</v>
      </c>
      <c r="D479" s="7" t="s">
        <v>88</v>
      </c>
      <c r="E479" s="7" t="s">
        <v>85</v>
      </c>
      <c r="F479" s="7" t="s">
        <v>67</v>
      </c>
      <c r="G479" s="7" t="s">
        <v>1051</v>
      </c>
      <c r="H479" s="7" t="s">
        <v>240</v>
      </c>
      <c r="I479" s="7" t="s">
        <v>241</v>
      </c>
      <c r="J479" s="7" t="s">
        <v>1011</v>
      </c>
      <c r="K479" s="7" t="s">
        <v>527</v>
      </c>
      <c r="L479" s="7" t="s">
        <v>1045</v>
      </c>
      <c r="M479" s="7" t="s">
        <v>116</v>
      </c>
      <c r="N479" s="7" t="s">
        <v>529</v>
      </c>
      <c r="O479" s="7" t="s">
        <v>1013</v>
      </c>
      <c r="P479" s="7" t="s">
        <v>144</v>
      </c>
      <c r="Q479" s="7" t="s">
        <v>329</v>
      </c>
      <c r="R479" s="7" t="s">
        <v>330</v>
      </c>
      <c r="S479" s="7" t="s">
        <v>472</v>
      </c>
      <c r="T479" s="7" t="s">
        <v>223</v>
      </c>
      <c r="U479" s="7" t="s">
        <v>148</v>
      </c>
      <c r="V479" s="7" t="s">
        <v>387</v>
      </c>
      <c r="W479" s="7" t="s">
        <v>334</v>
      </c>
      <c r="X479" s="7" t="s">
        <v>1046</v>
      </c>
      <c r="Y479" s="7" t="s">
        <v>830</v>
      </c>
      <c r="Z479" s="7" t="s">
        <v>461</v>
      </c>
      <c r="AA479" s="7" t="s">
        <v>223</v>
      </c>
      <c r="AB479" s="18" t="n">
        <v>660</v>
      </c>
      <c r="AC479" s="7"/>
      <c r="AD479" s="7"/>
      <c r="AE479" s="7" t="s">
        <v>167</v>
      </c>
    </row>
    <row r="480" customFormat="false" ht="21.75" hidden="false" customHeight="true" outlineLevel="0" collapsed="false">
      <c r="B480" s="15" t="n">
        <v>476</v>
      </c>
      <c r="C480" s="9" t="s">
        <v>48</v>
      </c>
      <c r="D480" s="9" t="s">
        <v>88</v>
      </c>
      <c r="E480" s="9" t="s">
        <v>85</v>
      </c>
      <c r="F480" s="9" t="s">
        <v>68</v>
      </c>
      <c r="G480" s="9" t="s">
        <v>321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9"/>
      <c r="AC480" s="9"/>
      <c r="AD480" s="9"/>
      <c r="AE480" s="9" t="s">
        <v>1052</v>
      </c>
    </row>
    <row r="481" customFormat="false" ht="21.75" hidden="false" customHeight="true" outlineLevel="0" collapsed="false">
      <c r="B481" s="14" t="n">
        <v>477</v>
      </c>
      <c r="C481" s="7" t="s">
        <v>48</v>
      </c>
      <c r="D481" s="7" t="s">
        <v>88</v>
      </c>
      <c r="E481" s="7" t="s">
        <v>85</v>
      </c>
      <c r="F481" s="7" t="s">
        <v>69</v>
      </c>
      <c r="G481" s="7" t="s">
        <v>321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18"/>
      <c r="AC481" s="7"/>
      <c r="AD481" s="7"/>
      <c r="AE481" s="7" t="s">
        <v>1053</v>
      </c>
    </row>
    <row r="482" customFormat="false" ht="21.75" hidden="false" customHeight="true" outlineLevel="0" collapsed="false">
      <c r="B482" s="15" t="n">
        <v>478</v>
      </c>
      <c r="C482" s="9" t="s">
        <v>48</v>
      </c>
      <c r="D482" s="9" t="s">
        <v>88</v>
      </c>
      <c r="E482" s="9" t="s">
        <v>85</v>
      </c>
      <c r="F482" s="9" t="s">
        <v>70</v>
      </c>
      <c r="G482" s="9" t="s">
        <v>321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9"/>
      <c r="AC482" s="9"/>
      <c r="AD482" s="9"/>
      <c r="AE482" s="9" t="s">
        <v>1054</v>
      </c>
    </row>
    <row r="483" customFormat="false" ht="21.75" hidden="false" customHeight="true" outlineLevel="0" collapsed="false">
      <c r="B483" s="14" t="n">
        <v>479</v>
      </c>
      <c r="C483" s="7" t="s">
        <v>48</v>
      </c>
      <c r="D483" s="7" t="s">
        <v>88</v>
      </c>
      <c r="E483" s="7" t="s">
        <v>85</v>
      </c>
      <c r="F483" s="7" t="s">
        <v>71</v>
      </c>
      <c r="G483" s="7" t="s">
        <v>1055</v>
      </c>
      <c r="H483" s="7" t="s">
        <v>136</v>
      </c>
      <c r="I483" s="7" t="s">
        <v>137</v>
      </c>
      <c r="J483" s="7" t="s">
        <v>1011</v>
      </c>
      <c r="K483" s="7" t="s">
        <v>993</v>
      </c>
      <c r="L483" s="7" t="s">
        <v>430</v>
      </c>
      <c r="M483" s="7" t="s">
        <v>326</v>
      </c>
      <c r="N483" s="7" t="s">
        <v>1056</v>
      </c>
      <c r="O483" s="7" t="s">
        <v>1013</v>
      </c>
      <c r="P483" s="7" t="s">
        <v>144</v>
      </c>
      <c r="Q483" s="7" t="s">
        <v>329</v>
      </c>
      <c r="R483" s="7" t="s">
        <v>330</v>
      </c>
      <c r="S483" s="7" t="s">
        <v>472</v>
      </c>
      <c r="T483" s="7" t="s">
        <v>356</v>
      </c>
      <c r="U483" s="7" t="s">
        <v>148</v>
      </c>
      <c r="V483" s="7" t="s">
        <v>333</v>
      </c>
      <c r="W483" s="7" t="s">
        <v>334</v>
      </c>
      <c r="X483" s="7" t="s">
        <v>1028</v>
      </c>
      <c r="Y483" s="7" t="s">
        <v>1029</v>
      </c>
      <c r="Z483" s="7" t="s">
        <v>461</v>
      </c>
      <c r="AA483" s="7" t="s">
        <v>183</v>
      </c>
      <c r="AB483" s="18" t="n">
        <v>160</v>
      </c>
      <c r="AC483" s="7"/>
      <c r="AD483" s="7"/>
      <c r="AE483" s="7" t="s">
        <v>155</v>
      </c>
    </row>
    <row r="484" customFormat="false" ht="21.75" hidden="false" customHeight="true" outlineLevel="0" collapsed="false">
      <c r="B484" s="15" t="n">
        <v>480</v>
      </c>
      <c r="C484" s="9" t="s">
        <v>48</v>
      </c>
      <c r="D484" s="9" t="s">
        <v>88</v>
      </c>
      <c r="E484" s="9" t="s">
        <v>85</v>
      </c>
      <c r="F484" s="9" t="s">
        <v>71</v>
      </c>
      <c r="G484" s="9" t="s">
        <v>1057</v>
      </c>
      <c r="H484" s="9" t="s">
        <v>157</v>
      </c>
      <c r="I484" s="9" t="s">
        <v>158</v>
      </c>
      <c r="J484" s="9" t="s">
        <v>1011</v>
      </c>
      <c r="K484" s="9" t="s">
        <v>993</v>
      </c>
      <c r="L484" s="9" t="s">
        <v>430</v>
      </c>
      <c r="M484" s="9" t="s">
        <v>326</v>
      </c>
      <c r="N484" s="9" t="s">
        <v>1056</v>
      </c>
      <c r="O484" s="9" t="s">
        <v>1013</v>
      </c>
      <c r="P484" s="9" t="s">
        <v>144</v>
      </c>
      <c r="Q484" s="9" t="s">
        <v>329</v>
      </c>
      <c r="R484" s="9" t="s">
        <v>330</v>
      </c>
      <c r="S484" s="9" t="s">
        <v>472</v>
      </c>
      <c r="T484" s="9" t="s">
        <v>356</v>
      </c>
      <c r="U484" s="9" t="s">
        <v>148</v>
      </c>
      <c r="V484" s="9" t="s">
        <v>333</v>
      </c>
      <c r="W484" s="9" t="s">
        <v>334</v>
      </c>
      <c r="X484" s="9" t="s">
        <v>1028</v>
      </c>
      <c r="Y484" s="9" t="s">
        <v>1029</v>
      </c>
      <c r="Z484" s="9" t="s">
        <v>461</v>
      </c>
      <c r="AA484" s="9" t="s">
        <v>183</v>
      </c>
      <c r="AB484" s="19" t="n">
        <v>240</v>
      </c>
      <c r="AC484" s="9"/>
      <c r="AD484" s="9"/>
      <c r="AE484" s="9" t="s">
        <v>159</v>
      </c>
    </row>
    <row r="485" customFormat="false" ht="21.75" hidden="false" customHeight="true" outlineLevel="0" collapsed="false">
      <c r="B485" s="14" t="n">
        <v>481</v>
      </c>
      <c r="C485" s="7" t="s">
        <v>48</v>
      </c>
      <c r="D485" s="7" t="s">
        <v>88</v>
      </c>
      <c r="E485" s="7" t="s">
        <v>85</v>
      </c>
      <c r="F485" s="7" t="s">
        <v>71</v>
      </c>
      <c r="G485" s="7" t="s">
        <v>1058</v>
      </c>
      <c r="H485" s="7" t="s">
        <v>163</v>
      </c>
      <c r="I485" s="7" t="s">
        <v>164</v>
      </c>
      <c r="J485" s="7" t="s">
        <v>1011</v>
      </c>
      <c r="K485" s="7" t="s">
        <v>993</v>
      </c>
      <c r="L485" s="7" t="s">
        <v>430</v>
      </c>
      <c r="M485" s="7" t="s">
        <v>326</v>
      </c>
      <c r="N485" s="7" t="s">
        <v>1056</v>
      </c>
      <c r="O485" s="7" t="s">
        <v>1013</v>
      </c>
      <c r="P485" s="7" t="s">
        <v>144</v>
      </c>
      <c r="Q485" s="7" t="s">
        <v>329</v>
      </c>
      <c r="R485" s="7" t="s">
        <v>330</v>
      </c>
      <c r="S485" s="7" t="s">
        <v>472</v>
      </c>
      <c r="T485" s="7" t="s">
        <v>356</v>
      </c>
      <c r="U485" s="7" t="s">
        <v>148</v>
      </c>
      <c r="V485" s="7" t="s">
        <v>333</v>
      </c>
      <c r="W485" s="7" t="s">
        <v>334</v>
      </c>
      <c r="X485" s="7" t="s">
        <v>1028</v>
      </c>
      <c r="Y485" s="7" t="s">
        <v>1029</v>
      </c>
      <c r="Z485" s="7" t="s">
        <v>461</v>
      </c>
      <c r="AA485" s="7" t="s">
        <v>183</v>
      </c>
      <c r="AB485" s="18" t="n">
        <v>320</v>
      </c>
      <c r="AC485" s="7"/>
      <c r="AD485" s="7"/>
      <c r="AE485" s="7" t="s">
        <v>1059</v>
      </c>
    </row>
    <row r="486" customFormat="false" ht="21.75" hidden="false" customHeight="true" outlineLevel="0" collapsed="false">
      <c r="B486" s="15" t="n">
        <v>482</v>
      </c>
      <c r="C486" s="9" t="s">
        <v>48</v>
      </c>
      <c r="D486" s="9" t="s">
        <v>88</v>
      </c>
      <c r="E486" s="9" t="s">
        <v>85</v>
      </c>
      <c r="F486" s="9" t="s">
        <v>71</v>
      </c>
      <c r="G486" s="9" t="s">
        <v>1060</v>
      </c>
      <c r="H486" s="9" t="s">
        <v>163</v>
      </c>
      <c r="I486" s="9" t="s">
        <v>164</v>
      </c>
      <c r="J486" s="9" t="s">
        <v>1011</v>
      </c>
      <c r="K486" s="9" t="s">
        <v>993</v>
      </c>
      <c r="L486" s="9" t="s">
        <v>430</v>
      </c>
      <c r="M486" s="9" t="s">
        <v>326</v>
      </c>
      <c r="N486" s="9" t="s">
        <v>1056</v>
      </c>
      <c r="O486" s="9" t="s">
        <v>1013</v>
      </c>
      <c r="P486" s="9" t="s">
        <v>144</v>
      </c>
      <c r="Q486" s="9" t="s">
        <v>329</v>
      </c>
      <c r="R486" s="9" t="s">
        <v>330</v>
      </c>
      <c r="S486" s="9" t="s">
        <v>472</v>
      </c>
      <c r="T486" s="9" t="s">
        <v>356</v>
      </c>
      <c r="U486" s="9" t="s">
        <v>148</v>
      </c>
      <c r="V486" s="9" t="s">
        <v>333</v>
      </c>
      <c r="W486" s="9" t="s">
        <v>334</v>
      </c>
      <c r="X486" s="9" t="s">
        <v>1028</v>
      </c>
      <c r="Y486" s="9" t="s">
        <v>1029</v>
      </c>
      <c r="Z486" s="9" t="s">
        <v>461</v>
      </c>
      <c r="AA486" s="9" t="s">
        <v>183</v>
      </c>
      <c r="AB486" s="19" t="n">
        <v>480</v>
      </c>
      <c r="AC486" s="9"/>
      <c r="AD486" s="9"/>
      <c r="AE486" s="9" t="s">
        <v>165</v>
      </c>
    </row>
    <row r="487" customFormat="false" ht="21.75" hidden="false" customHeight="true" outlineLevel="0" collapsed="false">
      <c r="B487" s="14" t="n">
        <v>483</v>
      </c>
      <c r="C487" s="7" t="s">
        <v>48</v>
      </c>
      <c r="D487" s="7" t="s">
        <v>88</v>
      </c>
      <c r="E487" s="7" t="s">
        <v>85</v>
      </c>
      <c r="F487" s="7" t="s">
        <v>71</v>
      </c>
      <c r="G487" s="7" t="s">
        <v>1061</v>
      </c>
      <c r="H487" s="7" t="s">
        <v>163</v>
      </c>
      <c r="I487" s="7" t="s">
        <v>164</v>
      </c>
      <c r="J487" s="7" t="s">
        <v>1011</v>
      </c>
      <c r="K487" s="7" t="s">
        <v>993</v>
      </c>
      <c r="L487" s="7" t="s">
        <v>430</v>
      </c>
      <c r="M487" s="7" t="s">
        <v>326</v>
      </c>
      <c r="N487" s="7" t="s">
        <v>1056</v>
      </c>
      <c r="O487" s="7" t="s">
        <v>1013</v>
      </c>
      <c r="P487" s="7" t="s">
        <v>144</v>
      </c>
      <c r="Q487" s="7" t="s">
        <v>329</v>
      </c>
      <c r="R487" s="7" t="s">
        <v>330</v>
      </c>
      <c r="S487" s="7" t="s">
        <v>472</v>
      </c>
      <c r="T487" s="7" t="s">
        <v>356</v>
      </c>
      <c r="U487" s="7" t="s">
        <v>148</v>
      </c>
      <c r="V487" s="7" t="s">
        <v>333</v>
      </c>
      <c r="W487" s="7" t="s">
        <v>334</v>
      </c>
      <c r="X487" s="7" t="s">
        <v>1028</v>
      </c>
      <c r="Y487" s="7" t="s">
        <v>1029</v>
      </c>
      <c r="Z487" s="7" t="s">
        <v>461</v>
      </c>
      <c r="AA487" s="7" t="s">
        <v>183</v>
      </c>
      <c r="AB487" s="18" t="n">
        <v>705</v>
      </c>
      <c r="AC487" s="7"/>
      <c r="AD487" s="7"/>
      <c r="AE487" s="7" t="s">
        <v>167</v>
      </c>
    </row>
    <row r="488" customFormat="false" ht="21.75" hidden="false" customHeight="true" outlineLevel="0" collapsed="false">
      <c r="B488" s="15" t="n">
        <v>484</v>
      </c>
      <c r="C488" s="9" t="s">
        <v>48</v>
      </c>
      <c r="D488" s="9" t="s">
        <v>88</v>
      </c>
      <c r="E488" s="9" t="s">
        <v>85</v>
      </c>
      <c r="F488" s="9" t="s">
        <v>72</v>
      </c>
      <c r="G488" s="9" t="s">
        <v>321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9"/>
      <c r="AC488" s="9"/>
      <c r="AD488" s="9"/>
      <c r="AE488" s="9" t="s">
        <v>802</v>
      </c>
    </row>
    <row r="489" customFormat="false" ht="21.75" hidden="false" customHeight="true" outlineLevel="0" collapsed="false">
      <c r="B489" s="14" t="n">
        <v>485</v>
      </c>
      <c r="C489" s="7" t="s">
        <v>48</v>
      </c>
      <c r="D489" s="7" t="s">
        <v>88</v>
      </c>
      <c r="E489" s="7" t="s">
        <v>85</v>
      </c>
      <c r="F489" s="7" t="s">
        <v>73</v>
      </c>
      <c r="G489" s="7" t="s">
        <v>1062</v>
      </c>
      <c r="H489" s="7" t="s">
        <v>136</v>
      </c>
      <c r="I489" s="7" t="s">
        <v>137</v>
      </c>
      <c r="J489" s="7" t="s">
        <v>203</v>
      </c>
      <c r="K489" s="7" t="s">
        <v>488</v>
      </c>
      <c r="L489" s="7" t="s">
        <v>205</v>
      </c>
      <c r="M489" s="7" t="s">
        <v>116</v>
      </c>
      <c r="N489" s="7" t="s">
        <v>1063</v>
      </c>
      <c r="O489" s="7" t="s">
        <v>1013</v>
      </c>
      <c r="P489" s="7" t="s">
        <v>144</v>
      </c>
      <c r="Q489" s="7" t="s">
        <v>329</v>
      </c>
      <c r="R489" s="7" t="s">
        <v>330</v>
      </c>
      <c r="S489" s="7" t="s">
        <v>472</v>
      </c>
      <c r="T489" s="7" t="s">
        <v>147</v>
      </c>
      <c r="U489" s="7" t="s">
        <v>148</v>
      </c>
      <c r="V489" s="7" t="s">
        <v>344</v>
      </c>
      <c r="W489" s="7" t="s">
        <v>334</v>
      </c>
      <c r="X489" s="7" t="s">
        <v>765</v>
      </c>
      <c r="Y489" s="7" t="s">
        <v>336</v>
      </c>
      <c r="Z489" s="7" t="s">
        <v>461</v>
      </c>
      <c r="AA489" s="7" t="s">
        <v>154</v>
      </c>
      <c r="AB489" s="18" t="n">
        <v>225</v>
      </c>
      <c r="AC489" s="7"/>
      <c r="AD489" s="7"/>
      <c r="AE489" s="7" t="s">
        <v>155</v>
      </c>
    </row>
    <row r="490" customFormat="false" ht="21.75" hidden="false" customHeight="true" outlineLevel="0" collapsed="false">
      <c r="B490" s="15" t="n">
        <v>486</v>
      </c>
      <c r="C490" s="9" t="s">
        <v>48</v>
      </c>
      <c r="D490" s="9" t="s">
        <v>88</v>
      </c>
      <c r="E490" s="9" t="s">
        <v>85</v>
      </c>
      <c r="F490" s="9" t="s">
        <v>73</v>
      </c>
      <c r="G490" s="9" t="s">
        <v>1064</v>
      </c>
      <c r="H490" s="9" t="s">
        <v>157</v>
      </c>
      <c r="I490" s="9" t="s">
        <v>158</v>
      </c>
      <c r="J490" s="9" t="s">
        <v>203</v>
      </c>
      <c r="K490" s="9" t="s">
        <v>488</v>
      </c>
      <c r="L490" s="9" t="s">
        <v>205</v>
      </c>
      <c r="M490" s="9" t="s">
        <v>116</v>
      </c>
      <c r="N490" s="9" t="s">
        <v>1063</v>
      </c>
      <c r="O490" s="9" t="s">
        <v>1013</v>
      </c>
      <c r="P490" s="9" t="s">
        <v>144</v>
      </c>
      <c r="Q490" s="9" t="s">
        <v>329</v>
      </c>
      <c r="R490" s="9" t="s">
        <v>330</v>
      </c>
      <c r="S490" s="9" t="s">
        <v>472</v>
      </c>
      <c r="T490" s="9" t="s">
        <v>147</v>
      </c>
      <c r="U490" s="9" t="s">
        <v>148</v>
      </c>
      <c r="V490" s="9" t="s">
        <v>344</v>
      </c>
      <c r="W490" s="9" t="s">
        <v>334</v>
      </c>
      <c r="X490" s="9" t="s">
        <v>765</v>
      </c>
      <c r="Y490" s="9" t="s">
        <v>336</v>
      </c>
      <c r="Z490" s="9" t="s">
        <v>461</v>
      </c>
      <c r="AA490" s="9" t="s">
        <v>154</v>
      </c>
      <c r="AB490" s="19" t="n">
        <v>340</v>
      </c>
      <c r="AC490" s="9"/>
      <c r="AD490" s="9"/>
      <c r="AE490" s="9" t="s">
        <v>159</v>
      </c>
    </row>
    <row r="491" customFormat="false" ht="21.75" hidden="false" customHeight="true" outlineLevel="0" collapsed="false">
      <c r="B491" s="14" t="n">
        <v>487</v>
      </c>
      <c r="C491" s="7" t="s">
        <v>48</v>
      </c>
      <c r="D491" s="7" t="s">
        <v>88</v>
      </c>
      <c r="E491" s="7" t="s">
        <v>85</v>
      </c>
      <c r="F491" s="7" t="s">
        <v>73</v>
      </c>
      <c r="G491" s="7" t="s">
        <v>1065</v>
      </c>
      <c r="H491" s="7" t="s">
        <v>157</v>
      </c>
      <c r="I491" s="7" t="s">
        <v>158</v>
      </c>
      <c r="J491" s="7" t="s">
        <v>203</v>
      </c>
      <c r="K491" s="7" t="s">
        <v>488</v>
      </c>
      <c r="L491" s="7" t="s">
        <v>205</v>
      </c>
      <c r="M491" s="7" t="s">
        <v>116</v>
      </c>
      <c r="N491" s="7" t="s">
        <v>1063</v>
      </c>
      <c r="O491" s="7" t="s">
        <v>1013</v>
      </c>
      <c r="P491" s="7" t="s">
        <v>144</v>
      </c>
      <c r="Q491" s="7" t="s">
        <v>329</v>
      </c>
      <c r="R491" s="7" t="s">
        <v>330</v>
      </c>
      <c r="S491" s="7" t="s">
        <v>472</v>
      </c>
      <c r="T491" s="7" t="s">
        <v>147</v>
      </c>
      <c r="U491" s="7" t="s">
        <v>148</v>
      </c>
      <c r="V491" s="7" t="s">
        <v>344</v>
      </c>
      <c r="W491" s="7" t="s">
        <v>334</v>
      </c>
      <c r="X491" s="7" t="s">
        <v>765</v>
      </c>
      <c r="Y491" s="7" t="s">
        <v>336</v>
      </c>
      <c r="Z491" s="7" t="s">
        <v>461</v>
      </c>
      <c r="AA491" s="7" t="s">
        <v>154</v>
      </c>
      <c r="AB491" s="18" t="n">
        <v>450</v>
      </c>
      <c r="AC491" s="7"/>
      <c r="AD491" s="7"/>
      <c r="AE491" s="7" t="s">
        <v>1066</v>
      </c>
    </row>
    <row r="492" customFormat="false" ht="21.75" hidden="false" customHeight="true" outlineLevel="0" collapsed="false">
      <c r="B492" s="15" t="n">
        <v>488</v>
      </c>
      <c r="C492" s="9" t="s">
        <v>48</v>
      </c>
      <c r="D492" s="9" t="s">
        <v>88</v>
      </c>
      <c r="E492" s="9" t="s">
        <v>85</v>
      </c>
      <c r="F492" s="9" t="s">
        <v>73</v>
      </c>
      <c r="G492" s="9" t="s">
        <v>1067</v>
      </c>
      <c r="H492" s="9" t="s">
        <v>163</v>
      </c>
      <c r="I492" s="9" t="s">
        <v>164</v>
      </c>
      <c r="J492" s="9" t="s">
        <v>203</v>
      </c>
      <c r="K492" s="9" t="s">
        <v>488</v>
      </c>
      <c r="L492" s="9" t="s">
        <v>205</v>
      </c>
      <c r="M492" s="9" t="s">
        <v>116</v>
      </c>
      <c r="N492" s="9" t="s">
        <v>1063</v>
      </c>
      <c r="O492" s="9" t="s">
        <v>1013</v>
      </c>
      <c r="P492" s="9" t="s">
        <v>144</v>
      </c>
      <c r="Q492" s="9" t="s">
        <v>329</v>
      </c>
      <c r="R492" s="9" t="s">
        <v>330</v>
      </c>
      <c r="S492" s="9" t="s">
        <v>472</v>
      </c>
      <c r="T492" s="9" t="s">
        <v>147</v>
      </c>
      <c r="U492" s="9" t="s">
        <v>148</v>
      </c>
      <c r="V492" s="9" t="s">
        <v>344</v>
      </c>
      <c r="W492" s="9" t="s">
        <v>334</v>
      </c>
      <c r="X492" s="9" t="s">
        <v>765</v>
      </c>
      <c r="Y492" s="9" t="s">
        <v>336</v>
      </c>
      <c r="Z492" s="9" t="s">
        <v>461</v>
      </c>
      <c r="AA492" s="9" t="s">
        <v>154</v>
      </c>
      <c r="AB492" s="19" t="n">
        <v>675</v>
      </c>
      <c r="AC492" s="9"/>
      <c r="AD492" s="9"/>
      <c r="AE492" s="9" t="s">
        <v>165</v>
      </c>
    </row>
    <row r="493" customFormat="false" ht="21.75" hidden="false" customHeight="true" outlineLevel="0" collapsed="false">
      <c r="B493" s="14" t="n">
        <v>489</v>
      </c>
      <c r="C493" s="7" t="s">
        <v>48</v>
      </c>
      <c r="D493" s="7" t="s">
        <v>88</v>
      </c>
      <c r="E493" s="7" t="s">
        <v>85</v>
      </c>
      <c r="F493" s="7" t="s">
        <v>73</v>
      </c>
      <c r="G493" s="7" t="s">
        <v>1068</v>
      </c>
      <c r="H493" s="7" t="s">
        <v>163</v>
      </c>
      <c r="I493" s="7" t="s">
        <v>164</v>
      </c>
      <c r="J493" s="7" t="s">
        <v>203</v>
      </c>
      <c r="K493" s="7" t="s">
        <v>488</v>
      </c>
      <c r="L493" s="7" t="s">
        <v>205</v>
      </c>
      <c r="M493" s="7" t="s">
        <v>116</v>
      </c>
      <c r="N493" s="7" t="s">
        <v>1063</v>
      </c>
      <c r="O493" s="7" t="s">
        <v>1013</v>
      </c>
      <c r="P493" s="7" t="s">
        <v>144</v>
      </c>
      <c r="Q493" s="7" t="s">
        <v>329</v>
      </c>
      <c r="R493" s="7" t="s">
        <v>330</v>
      </c>
      <c r="S493" s="7" t="s">
        <v>472</v>
      </c>
      <c r="T493" s="7" t="s">
        <v>147</v>
      </c>
      <c r="U493" s="7" t="s">
        <v>148</v>
      </c>
      <c r="V493" s="7" t="s">
        <v>344</v>
      </c>
      <c r="W493" s="7" t="s">
        <v>334</v>
      </c>
      <c r="X493" s="7" t="s">
        <v>765</v>
      </c>
      <c r="Y493" s="7" t="s">
        <v>336</v>
      </c>
      <c r="Z493" s="7" t="s">
        <v>461</v>
      </c>
      <c r="AA493" s="7" t="s">
        <v>154</v>
      </c>
      <c r="AB493" s="18" t="n">
        <v>990</v>
      </c>
      <c r="AC493" s="7"/>
      <c r="AD493" s="7"/>
      <c r="AE493" s="7" t="s">
        <v>167</v>
      </c>
    </row>
    <row r="494" customFormat="false" ht="21.75" hidden="false" customHeight="true" outlineLevel="0" collapsed="false">
      <c r="B494" s="15" t="n">
        <v>490</v>
      </c>
      <c r="C494" s="9" t="s">
        <v>48</v>
      </c>
      <c r="D494" s="9" t="s">
        <v>88</v>
      </c>
      <c r="E494" s="9" t="s">
        <v>85</v>
      </c>
      <c r="F494" s="9" t="s">
        <v>74</v>
      </c>
      <c r="G494" s="9" t="s">
        <v>321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9"/>
      <c r="AC494" s="9"/>
      <c r="AD494" s="9"/>
      <c r="AE494" s="9" t="s">
        <v>1069</v>
      </c>
    </row>
    <row r="495" customFormat="false" ht="21.75" hidden="false" customHeight="true" outlineLevel="0" collapsed="false">
      <c r="B495" s="14" t="n">
        <v>491</v>
      </c>
      <c r="C495" s="7" t="s">
        <v>49</v>
      </c>
      <c r="D495" s="7" t="s">
        <v>90</v>
      </c>
      <c r="E495" s="7" t="s">
        <v>87</v>
      </c>
      <c r="F495" s="7" t="s">
        <v>61</v>
      </c>
      <c r="G495" s="7" t="s">
        <v>1070</v>
      </c>
      <c r="H495" s="7" t="s">
        <v>136</v>
      </c>
      <c r="I495" s="7" t="s">
        <v>137</v>
      </c>
      <c r="J495" s="7" t="s">
        <v>468</v>
      </c>
      <c r="K495" s="7" t="s">
        <v>1071</v>
      </c>
      <c r="L495" s="7" t="s">
        <v>205</v>
      </c>
      <c r="M495" s="7" t="s">
        <v>116</v>
      </c>
      <c r="N495" s="7" t="s">
        <v>1072</v>
      </c>
      <c r="O495" s="7" t="s">
        <v>1073</v>
      </c>
      <c r="P495" s="7" t="s">
        <v>1074</v>
      </c>
      <c r="Q495" s="7" t="s">
        <v>1075</v>
      </c>
      <c r="R495" s="7" t="s">
        <v>1076</v>
      </c>
      <c r="S495" s="7" t="s">
        <v>1077</v>
      </c>
      <c r="T495" s="7" t="s">
        <v>398</v>
      </c>
      <c r="U495" s="7" t="s">
        <v>148</v>
      </c>
      <c r="V495" s="7" t="s">
        <v>236</v>
      </c>
      <c r="W495" s="7" t="s">
        <v>921</v>
      </c>
      <c r="X495" s="7" t="s">
        <v>335</v>
      </c>
      <c r="Y495" s="7" t="s">
        <v>336</v>
      </c>
      <c r="Z495" s="7" t="s">
        <v>1078</v>
      </c>
      <c r="AA495" s="7" t="s">
        <v>154</v>
      </c>
      <c r="AB495" s="18" t="n">
        <v>325</v>
      </c>
      <c r="AC495" s="7"/>
      <c r="AD495" s="7"/>
      <c r="AE495" s="7" t="s">
        <v>155</v>
      </c>
    </row>
    <row r="496" customFormat="false" ht="21.75" hidden="false" customHeight="true" outlineLevel="0" collapsed="false">
      <c r="B496" s="15" t="n">
        <v>492</v>
      </c>
      <c r="C496" s="9" t="s">
        <v>49</v>
      </c>
      <c r="D496" s="9" t="s">
        <v>90</v>
      </c>
      <c r="E496" s="9" t="s">
        <v>87</v>
      </c>
      <c r="F496" s="9" t="s">
        <v>61</v>
      </c>
      <c r="G496" s="9" t="s">
        <v>1079</v>
      </c>
      <c r="H496" s="9" t="s">
        <v>157</v>
      </c>
      <c r="I496" s="9" t="s">
        <v>158</v>
      </c>
      <c r="J496" s="9" t="s">
        <v>468</v>
      </c>
      <c r="K496" s="9" t="s">
        <v>1071</v>
      </c>
      <c r="L496" s="9" t="s">
        <v>205</v>
      </c>
      <c r="M496" s="9" t="s">
        <v>116</v>
      </c>
      <c r="N496" s="9" t="s">
        <v>1072</v>
      </c>
      <c r="O496" s="9" t="s">
        <v>1073</v>
      </c>
      <c r="P496" s="9" t="s">
        <v>1074</v>
      </c>
      <c r="Q496" s="9" t="s">
        <v>1075</v>
      </c>
      <c r="R496" s="9" t="s">
        <v>1076</v>
      </c>
      <c r="S496" s="9" t="s">
        <v>1077</v>
      </c>
      <c r="T496" s="9" t="s">
        <v>398</v>
      </c>
      <c r="U496" s="9" t="s">
        <v>148</v>
      </c>
      <c r="V496" s="9" t="s">
        <v>236</v>
      </c>
      <c r="W496" s="9" t="s">
        <v>921</v>
      </c>
      <c r="X496" s="9" t="s">
        <v>335</v>
      </c>
      <c r="Y496" s="9" t="s">
        <v>336</v>
      </c>
      <c r="Z496" s="9" t="s">
        <v>1078</v>
      </c>
      <c r="AA496" s="9" t="s">
        <v>154</v>
      </c>
      <c r="AB496" s="19" t="n">
        <v>485</v>
      </c>
      <c r="AC496" s="9"/>
      <c r="AD496" s="9"/>
      <c r="AE496" s="9" t="s">
        <v>159</v>
      </c>
    </row>
    <row r="497" customFormat="false" ht="21.75" hidden="false" customHeight="true" outlineLevel="0" collapsed="false">
      <c r="B497" s="14" t="n">
        <v>493</v>
      </c>
      <c r="C497" s="7" t="s">
        <v>49</v>
      </c>
      <c r="D497" s="7" t="s">
        <v>90</v>
      </c>
      <c r="E497" s="7" t="s">
        <v>87</v>
      </c>
      <c r="F497" s="7" t="s">
        <v>61</v>
      </c>
      <c r="G497" s="7" t="s">
        <v>1080</v>
      </c>
      <c r="H497" s="7" t="s">
        <v>157</v>
      </c>
      <c r="I497" s="7" t="s">
        <v>158</v>
      </c>
      <c r="J497" s="7" t="s">
        <v>468</v>
      </c>
      <c r="K497" s="7" t="s">
        <v>1071</v>
      </c>
      <c r="L497" s="7" t="s">
        <v>205</v>
      </c>
      <c r="M497" s="7" t="s">
        <v>116</v>
      </c>
      <c r="N497" s="7" t="s">
        <v>1072</v>
      </c>
      <c r="O497" s="7" t="s">
        <v>1073</v>
      </c>
      <c r="P497" s="7" t="s">
        <v>1074</v>
      </c>
      <c r="Q497" s="7" t="s">
        <v>1075</v>
      </c>
      <c r="R497" s="7" t="s">
        <v>1076</v>
      </c>
      <c r="S497" s="7" t="s">
        <v>1077</v>
      </c>
      <c r="T497" s="7" t="s">
        <v>398</v>
      </c>
      <c r="U497" s="7" t="s">
        <v>148</v>
      </c>
      <c r="V497" s="7" t="s">
        <v>236</v>
      </c>
      <c r="W497" s="7" t="s">
        <v>921</v>
      </c>
      <c r="X497" s="7" t="s">
        <v>335</v>
      </c>
      <c r="Y497" s="7" t="s">
        <v>336</v>
      </c>
      <c r="Z497" s="7" t="s">
        <v>1078</v>
      </c>
      <c r="AA497" s="7" t="s">
        <v>154</v>
      </c>
      <c r="AB497" s="18" t="n">
        <v>650</v>
      </c>
      <c r="AC497" s="7"/>
      <c r="AD497" s="7"/>
      <c r="AE497" s="7" t="s">
        <v>1081</v>
      </c>
    </row>
    <row r="498" customFormat="false" ht="21.75" hidden="false" customHeight="true" outlineLevel="0" collapsed="false">
      <c r="B498" s="15" t="n">
        <v>494</v>
      </c>
      <c r="C498" s="9" t="s">
        <v>49</v>
      </c>
      <c r="D498" s="9" t="s">
        <v>90</v>
      </c>
      <c r="E498" s="9" t="s">
        <v>87</v>
      </c>
      <c r="F498" s="9" t="s">
        <v>61</v>
      </c>
      <c r="G498" s="9" t="s">
        <v>1082</v>
      </c>
      <c r="H498" s="9" t="s">
        <v>163</v>
      </c>
      <c r="I498" s="9" t="s">
        <v>164</v>
      </c>
      <c r="J498" s="9" t="s">
        <v>468</v>
      </c>
      <c r="K498" s="9" t="s">
        <v>1071</v>
      </c>
      <c r="L498" s="9" t="s">
        <v>205</v>
      </c>
      <c r="M498" s="9" t="s">
        <v>116</v>
      </c>
      <c r="N498" s="9" t="s">
        <v>1072</v>
      </c>
      <c r="O498" s="9" t="s">
        <v>1073</v>
      </c>
      <c r="P498" s="9" t="s">
        <v>1074</v>
      </c>
      <c r="Q498" s="9" t="s">
        <v>1075</v>
      </c>
      <c r="R498" s="9" t="s">
        <v>1076</v>
      </c>
      <c r="S498" s="9" t="s">
        <v>1077</v>
      </c>
      <c r="T498" s="9" t="s">
        <v>398</v>
      </c>
      <c r="U498" s="9" t="s">
        <v>148</v>
      </c>
      <c r="V498" s="9" t="s">
        <v>236</v>
      </c>
      <c r="W498" s="9" t="s">
        <v>921</v>
      </c>
      <c r="X498" s="9" t="s">
        <v>335</v>
      </c>
      <c r="Y498" s="9" t="s">
        <v>336</v>
      </c>
      <c r="Z498" s="9" t="s">
        <v>1078</v>
      </c>
      <c r="AA498" s="9" t="s">
        <v>154</v>
      </c>
      <c r="AB498" s="19" t="n">
        <v>975</v>
      </c>
      <c r="AC498" s="9"/>
      <c r="AD498" s="9"/>
      <c r="AE498" s="9" t="s">
        <v>165</v>
      </c>
    </row>
    <row r="499" customFormat="false" ht="21.75" hidden="false" customHeight="true" outlineLevel="0" collapsed="false">
      <c r="B499" s="14" t="n">
        <v>495</v>
      </c>
      <c r="C499" s="7" t="s">
        <v>49</v>
      </c>
      <c r="D499" s="7" t="s">
        <v>90</v>
      </c>
      <c r="E499" s="7" t="s">
        <v>87</v>
      </c>
      <c r="F499" s="7" t="s">
        <v>61</v>
      </c>
      <c r="G499" s="7" t="s">
        <v>1083</v>
      </c>
      <c r="H499" s="7" t="s">
        <v>163</v>
      </c>
      <c r="I499" s="7" t="s">
        <v>164</v>
      </c>
      <c r="J499" s="7" t="s">
        <v>468</v>
      </c>
      <c r="K499" s="7" t="s">
        <v>1071</v>
      </c>
      <c r="L499" s="7" t="s">
        <v>205</v>
      </c>
      <c r="M499" s="7" t="s">
        <v>116</v>
      </c>
      <c r="N499" s="7" t="s">
        <v>1072</v>
      </c>
      <c r="O499" s="7" t="s">
        <v>1073</v>
      </c>
      <c r="P499" s="7" t="s">
        <v>1074</v>
      </c>
      <c r="Q499" s="7" t="s">
        <v>1075</v>
      </c>
      <c r="R499" s="7" t="s">
        <v>1076</v>
      </c>
      <c r="S499" s="7" t="s">
        <v>1077</v>
      </c>
      <c r="T499" s="7" t="s">
        <v>398</v>
      </c>
      <c r="U499" s="7" t="s">
        <v>148</v>
      </c>
      <c r="V499" s="7" t="s">
        <v>236</v>
      </c>
      <c r="W499" s="7" t="s">
        <v>921</v>
      </c>
      <c r="X499" s="7" t="s">
        <v>335</v>
      </c>
      <c r="Y499" s="7" t="s">
        <v>336</v>
      </c>
      <c r="Z499" s="7" t="s">
        <v>1078</v>
      </c>
      <c r="AA499" s="7" t="s">
        <v>154</v>
      </c>
      <c r="AB499" s="18" t="n">
        <v>1430</v>
      </c>
      <c r="AC499" s="7"/>
      <c r="AD499" s="7"/>
      <c r="AE499" s="7" t="s">
        <v>167</v>
      </c>
    </row>
    <row r="500" customFormat="false" ht="21.75" hidden="false" customHeight="true" outlineLevel="0" collapsed="false">
      <c r="B500" s="15" t="n">
        <v>496</v>
      </c>
      <c r="C500" s="9" t="s">
        <v>49</v>
      </c>
      <c r="D500" s="9" t="s">
        <v>90</v>
      </c>
      <c r="E500" s="9" t="s">
        <v>87</v>
      </c>
      <c r="F500" s="9" t="s">
        <v>62</v>
      </c>
      <c r="G500" s="9" t="s">
        <v>1084</v>
      </c>
      <c r="H500" s="9" t="s">
        <v>136</v>
      </c>
      <c r="I500" s="9" t="s">
        <v>137</v>
      </c>
      <c r="J500" s="9" t="s">
        <v>203</v>
      </c>
      <c r="K500" s="9" t="s">
        <v>1085</v>
      </c>
      <c r="L500" s="9" t="s">
        <v>205</v>
      </c>
      <c r="M500" s="9" t="s">
        <v>116</v>
      </c>
      <c r="N500" s="9" t="s">
        <v>1086</v>
      </c>
      <c r="O500" s="9" t="s">
        <v>1073</v>
      </c>
      <c r="P500" s="9" t="s">
        <v>1074</v>
      </c>
      <c r="Q500" s="9" t="s">
        <v>1075</v>
      </c>
      <c r="R500" s="9" t="s">
        <v>1076</v>
      </c>
      <c r="S500" s="9" t="s">
        <v>1077</v>
      </c>
      <c r="T500" s="9" t="s">
        <v>570</v>
      </c>
      <c r="U500" s="9" t="s">
        <v>148</v>
      </c>
      <c r="V500" s="9" t="s">
        <v>380</v>
      </c>
      <c r="W500" s="9" t="s">
        <v>921</v>
      </c>
      <c r="X500" s="9" t="s">
        <v>345</v>
      </c>
      <c r="Y500" s="9" t="s">
        <v>389</v>
      </c>
      <c r="Z500" s="9" t="s">
        <v>1078</v>
      </c>
      <c r="AA500" s="9" t="s">
        <v>154</v>
      </c>
      <c r="AB500" s="19" t="n">
        <v>400</v>
      </c>
      <c r="AC500" s="9"/>
      <c r="AD500" s="9"/>
      <c r="AE500" s="9" t="s">
        <v>155</v>
      </c>
    </row>
    <row r="501" customFormat="false" ht="21.75" hidden="false" customHeight="true" outlineLevel="0" collapsed="false">
      <c r="B501" s="14" t="n">
        <v>497</v>
      </c>
      <c r="C501" s="7" t="s">
        <v>49</v>
      </c>
      <c r="D501" s="7" t="s">
        <v>90</v>
      </c>
      <c r="E501" s="7" t="s">
        <v>87</v>
      </c>
      <c r="F501" s="7" t="s">
        <v>62</v>
      </c>
      <c r="G501" s="7" t="s">
        <v>1087</v>
      </c>
      <c r="H501" s="7" t="s">
        <v>157</v>
      </c>
      <c r="I501" s="7" t="s">
        <v>158</v>
      </c>
      <c r="J501" s="7" t="s">
        <v>203</v>
      </c>
      <c r="K501" s="7" t="s">
        <v>1085</v>
      </c>
      <c r="L501" s="7" t="s">
        <v>205</v>
      </c>
      <c r="M501" s="7" t="s">
        <v>116</v>
      </c>
      <c r="N501" s="7" t="s">
        <v>1086</v>
      </c>
      <c r="O501" s="7" t="s">
        <v>1073</v>
      </c>
      <c r="P501" s="7" t="s">
        <v>1074</v>
      </c>
      <c r="Q501" s="7" t="s">
        <v>1075</v>
      </c>
      <c r="R501" s="7" t="s">
        <v>1076</v>
      </c>
      <c r="S501" s="7" t="s">
        <v>1077</v>
      </c>
      <c r="T501" s="7" t="s">
        <v>570</v>
      </c>
      <c r="U501" s="7" t="s">
        <v>148</v>
      </c>
      <c r="V501" s="7" t="s">
        <v>380</v>
      </c>
      <c r="W501" s="7" t="s">
        <v>921</v>
      </c>
      <c r="X501" s="7" t="s">
        <v>345</v>
      </c>
      <c r="Y501" s="7" t="s">
        <v>389</v>
      </c>
      <c r="Z501" s="7" t="s">
        <v>1078</v>
      </c>
      <c r="AA501" s="7" t="s">
        <v>154</v>
      </c>
      <c r="AB501" s="18" t="n">
        <v>600</v>
      </c>
      <c r="AC501" s="7"/>
      <c r="AD501" s="7"/>
      <c r="AE501" s="7" t="s">
        <v>159</v>
      </c>
    </row>
    <row r="502" customFormat="false" ht="21.75" hidden="false" customHeight="true" outlineLevel="0" collapsed="false">
      <c r="B502" s="15" t="n">
        <v>498</v>
      </c>
      <c r="C502" s="9" t="s">
        <v>49</v>
      </c>
      <c r="D502" s="9" t="s">
        <v>90</v>
      </c>
      <c r="E502" s="9" t="s">
        <v>87</v>
      </c>
      <c r="F502" s="9" t="s">
        <v>62</v>
      </c>
      <c r="G502" s="9" t="s">
        <v>1088</v>
      </c>
      <c r="H502" s="9" t="s">
        <v>157</v>
      </c>
      <c r="I502" s="9" t="s">
        <v>158</v>
      </c>
      <c r="J502" s="9" t="s">
        <v>203</v>
      </c>
      <c r="K502" s="9" t="s">
        <v>1085</v>
      </c>
      <c r="L502" s="9" t="s">
        <v>205</v>
      </c>
      <c r="M502" s="9" t="s">
        <v>116</v>
      </c>
      <c r="N502" s="9" t="s">
        <v>1086</v>
      </c>
      <c r="O502" s="9" t="s">
        <v>1073</v>
      </c>
      <c r="P502" s="9" t="s">
        <v>1074</v>
      </c>
      <c r="Q502" s="9" t="s">
        <v>1075</v>
      </c>
      <c r="R502" s="9" t="s">
        <v>1076</v>
      </c>
      <c r="S502" s="9" t="s">
        <v>1077</v>
      </c>
      <c r="T502" s="9" t="s">
        <v>570</v>
      </c>
      <c r="U502" s="9" t="s">
        <v>148</v>
      </c>
      <c r="V502" s="9" t="s">
        <v>380</v>
      </c>
      <c r="W502" s="9" t="s">
        <v>921</v>
      </c>
      <c r="X502" s="9" t="s">
        <v>345</v>
      </c>
      <c r="Y502" s="9" t="s">
        <v>389</v>
      </c>
      <c r="Z502" s="9" t="s">
        <v>1078</v>
      </c>
      <c r="AA502" s="9" t="s">
        <v>154</v>
      </c>
      <c r="AB502" s="19" t="n">
        <v>800</v>
      </c>
      <c r="AC502" s="9"/>
      <c r="AD502" s="9"/>
      <c r="AE502" s="9" t="s">
        <v>1089</v>
      </c>
    </row>
    <row r="503" customFormat="false" ht="21.75" hidden="false" customHeight="true" outlineLevel="0" collapsed="false">
      <c r="B503" s="14" t="n">
        <v>499</v>
      </c>
      <c r="C503" s="7" t="s">
        <v>49</v>
      </c>
      <c r="D503" s="7" t="s">
        <v>90</v>
      </c>
      <c r="E503" s="7" t="s">
        <v>87</v>
      </c>
      <c r="F503" s="7" t="s">
        <v>62</v>
      </c>
      <c r="G503" s="7" t="s">
        <v>1090</v>
      </c>
      <c r="H503" s="7" t="s">
        <v>163</v>
      </c>
      <c r="I503" s="7" t="s">
        <v>164</v>
      </c>
      <c r="J503" s="7" t="s">
        <v>203</v>
      </c>
      <c r="K503" s="7" t="s">
        <v>1085</v>
      </c>
      <c r="L503" s="7" t="s">
        <v>205</v>
      </c>
      <c r="M503" s="7" t="s">
        <v>116</v>
      </c>
      <c r="N503" s="7" t="s">
        <v>1086</v>
      </c>
      <c r="O503" s="7" t="s">
        <v>1073</v>
      </c>
      <c r="P503" s="7" t="s">
        <v>1074</v>
      </c>
      <c r="Q503" s="7" t="s">
        <v>1075</v>
      </c>
      <c r="R503" s="7" t="s">
        <v>1076</v>
      </c>
      <c r="S503" s="7" t="s">
        <v>1077</v>
      </c>
      <c r="T503" s="7" t="s">
        <v>570</v>
      </c>
      <c r="U503" s="7" t="s">
        <v>148</v>
      </c>
      <c r="V503" s="7" t="s">
        <v>380</v>
      </c>
      <c r="W503" s="7" t="s">
        <v>921</v>
      </c>
      <c r="X503" s="7" t="s">
        <v>345</v>
      </c>
      <c r="Y503" s="7" t="s">
        <v>389</v>
      </c>
      <c r="Z503" s="7" t="s">
        <v>1078</v>
      </c>
      <c r="AA503" s="7" t="s">
        <v>154</v>
      </c>
      <c r="AB503" s="18" t="n">
        <v>1200</v>
      </c>
      <c r="AC503" s="7"/>
      <c r="AD503" s="7"/>
      <c r="AE503" s="7" t="s">
        <v>165</v>
      </c>
    </row>
    <row r="504" customFormat="false" ht="21.75" hidden="false" customHeight="true" outlineLevel="0" collapsed="false">
      <c r="B504" s="15" t="n">
        <v>500</v>
      </c>
      <c r="C504" s="9" t="s">
        <v>49</v>
      </c>
      <c r="D504" s="9" t="s">
        <v>90</v>
      </c>
      <c r="E504" s="9" t="s">
        <v>87</v>
      </c>
      <c r="F504" s="9" t="s">
        <v>62</v>
      </c>
      <c r="G504" s="9" t="s">
        <v>1091</v>
      </c>
      <c r="H504" s="9" t="s">
        <v>163</v>
      </c>
      <c r="I504" s="9" t="s">
        <v>164</v>
      </c>
      <c r="J504" s="9" t="s">
        <v>203</v>
      </c>
      <c r="K504" s="9" t="s">
        <v>1085</v>
      </c>
      <c r="L504" s="9" t="s">
        <v>205</v>
      </c>
      <c r="M504" s="9" t="s">
        <v>116</v>
      </c>
      <c r="N504" s="9" t="s">
        <v>1086</v>
      </c>
      <c r="O504" s="9" t="s">
        <v>1073</v>
      </c>
      <c r="P504" s="9" t="s">
        <v>1074</v>
      </c>
      <c r="Q504" s="9" t="s">
        <v>1075</v>
      </c>
      <c r="R504" s="9" t="s">
        <v>1076</v>
      </c>
      <c r="S504" s="9" t="s">
        <v>1077</v>
      </c>
      <c r="T504" s="9" t="s">
        <v>570</v>
      </c>
      <c r="U504" s="9" t="s">
        <v>148</v>
      </c>
      <c r="V504" s="9" t="s">
        <v>380</v>
      </c>
      <c r="W504" s="9" t="s">
        <v>921</v>
      </c>
      <c r="X504" s="9" t="s">
        <v>345</v>
      </c>
      <c r="Y504" s="9" t="s">
        <v>389</v>
      </c>
      <c r="Z504" s="9" t="s">
        <v>1078</v>
      </c>
      <c r="AA504" s="9" t="s">
        <v>154</v>
      </c>
      <c r="AB504" s="19" t="n">
        <v>1760</v>
      </c>
      <c r="AC504" s="9"/>
      <c r="AD504" s="9"/>
      <c r="AE504" s="9" t="s">
        <v>167</v>
      </c>
    </row>
    <row r="505" customFormat="false" ht="21.75" hidden="false" customHeight="true" outlineLevel="0" collapsed="false">
      <c r="B505" s="14" t="n">
        <v>501</v>
      </c>
      <c r="C505" s="7" t="s">
        <v>49</v>
      </c>
      <c r="D505" s="7" t="s">
        <v>90</v>
      </c>
      <c r="E505" s="7" t="s">
        <v>87</v>
      </c>
      <c r="F505" s="7" t="s">
        <v>63</v>
      </c>
      <c r="G505" s="7" t="s">
        <v>1092</v>
      </c>
      <c r="H505" s="7" t="s">
        <v>136</v>
      </c>
      <c r="I505" s="7" t="s">
        <v>137</v>
      </c>
      <c r="J505" s="7" t="s">
        <v>468</v>
      </c>
      <c r="K505" s="7" t="s">
        <v>1093</v>
      </c>
      <c r="L505" s="7" t="s">
        <v>205</v>
      </c>
      <c r="M505" s="7" t="s">
        <v>116</v>
      </c>
      <c r="N505" s="7" t="s">
        <v>1094</v>
      </c>
      <c r="O505" s="7" t="s">
        <v>1073</v>
      </c>
      <c r="P505" s="7" t="s">
        <v>1074</v>
      </c>
      <c r="Q505" s="7" t="s">
        <v>1075</v>
      </c>
      <c r="R505" s="7" t="s">
        <v>1076</v>
      </c>
      <c r="S505" s="7" t="s">
        <v>1077</v>
      </c>
      <c r="T505" s="7" t="s">
        <v>356</v>
      </c>
      <c r="U505" s="7" t="s">
        <v>148</v>
      </c>
      <c r="V505" s="7" t="s">
        <v>236</v>
      </c>
      <c r="W505" s="7" t="s">
        <v>921</v>
      </c>
      <c r="X505" s="7" t="s">
        <v>1095</v>
      </c>
      <c r="Y505" s="7" t="s">
        <v>491</v>
      </c>
      <c r="Z505" s="7" t="s">
        <v>1078</v>
      </c>
      <c r="AA505" s="7" t="s">
        <v>183</v>
      </c>
      <c r="AB505" s="18" t="n">
        <v>350</v>
      </c>
      <c r="AC505" s="7"/>
      <c r="AD505" s="7"/>
      <c r="AE505" s="7" t="s">
        <v>155</v>
      </c>
    </row>
    <row r="506" customFormat="false" ht="21.75" hidden="false" customHeight="true" outlineLevel="0" collapsed="false">
      <c r="B506" s="15" t="n">
        <v>502</v>
      </c>
      <c r="C506" s="9" t="s">
        <v>49</v>
      </c>
      <c r="D506" s="9" t="s">
        <v>90</v>
      </c>
      <c r="E506" s="9" t="s">
        <v>87</v>
      </c>
      <c r="F506" s="9" t="s">
        <v>63</v>
      </c>
      <c r="G506" s="9" t="s">
        <v>1096</v>
      </c>
      <c r="H506" s="9" t="s">
        <v>157</v>
      </c>
      <c r="I506" s="9" t="s">
        <v>158</v>
      </c>
      <c r="J506" s="9" t="s">
        <v>468</v>
      </c>
      <c r="K506" s="9" t="s">
        <v>1093</v>
      </c>
      <c r="L506" s="9" t="s">
        <v>205</v>
      </c>
      <c r="M506" s="9" t="s">
        <v>116</v>
      </c>
      <c r="N506" s="9" t="s">
        <v>1094</v>
      </c>
      <c r="O506" s="9" t="s">
        <v>1073</v>
      </c>
      <c r="P506" s="9" t="s">
        <v>1074</v>
      </c>
      <c r="Q506" s="9" t="s">
        <v>1075</v>
      </c>
      <c r="R506" s="9" t="s">
        <v>1076</v>
      </c>
      <c r="S506" s="9" t="s">
        <v>1077</v>
      </c>
      <c r="T506" s="9" t="s">
        <v>356</v>
      </c>
      <c r="U506" s="9" t="s">
        <v>148</v>
      </c>
      <c r="V506" s="9" t="s">
        <v>236</v>
      </c>
      <c r="W506" s="9" t="s">
        <v>921</v>
      </c>
      <c r="X506" s="9" t="s">
        <v>1095</v>
      </c>
      <c r="Y506" s="9" t="s">
        <v>491</v>
      </c>
      <c r="Z506" s="9" t="s">
        <v>1078</v>
      </c>
      <c r="AA506" s="9" t="s">
        <v>183</v>
      </c>
      <c r="AB506" s="19" t="n">
        <v>525</v>
      </c>
      <c r="AC506" s="9"/>
      <c r="AD506" s="9"/>
      <c r="AE506" s="9" t="s">
        <v>159</v>
      </c>
    </row>
    <row r="507" customFormat="false" ht="21.75" hidden="false" customHeight="true" outlineLevel="0" collapsed="false">
      <c r="B507" s="14" t="n">
        <v>503</v>
      </c>
      <c r="C507" s="7" t="s">
        <v>49</v>
      </c>
      <c r="D507" s="7" t="s">
        <v>90</v>
      </c>
      <c r="E507" s="7" t="s">
        <v>87</v>
      </c>
      <c r="F507" s="7" t="s">
        <v>63</v>
      </c>
      <c r="G507" s="7" t="s">
        <v>1097</v>
      </c>
      <c r="H507" s="7" t="s">
        <v>157</v>
      </c>
      <c r="I507" s="7" t="s">
        <v>158</v>
      </c>
      <c r="J507" s="7" t="s">
        <v>468</v>
      </c>
      <c r="K507" s="7" t="s">
        <v>1093</v>
      </c>
      <c r="L507" s="7" t="s">
        <v>205</v>
      </c>
      <c r="M507" s="7" t="s">
        <v>116</v>
      </c>
      <c r="N507" s="7" t="s">
        <v>1094</v>
      </c>
      <c r="O507" s="7" t="s">
        <v>1073</v>
      </c>
      <c r="P507" s="7" t="s">
        <v>1074</v>
      </c>
      <c r="Q507" s="7" t="s">
        <v>1075</v>
      </c>
      <c r="R507" s="7" t="s">
        <v>1076</v>
      </c>
      <c r="S507" s="7" t="s">
        <v>1077</v>
      </c>
      <c r="T507" s="7" t="s">
        <v>356</v>
      </c>
      <c r="U507" s="7" t="s">
        <v>148</v>
      </c>
      <c r="V507" s="7" t="s">
        <v>236</v>
      </c>
      <c r="W507" s="7" t="s">
        <v>921</v>
      </c>
      <c r="X507" s="7" t="s">
        <v>1095</v>
      </c>
      <c r="Y507" s="7" t="s">
        <v>491</v>
      </c>
      <c r="Z507" s="7" t="s">
        <v>1078</v>
      </c>
      <c r="AA507" s="7" t="s">
        <v>183</v>
      </c>
      <c r="AB507" s="18" t="n">
        <v>700</v>
      </c>
      <c r="AC507" s="7"/>
      <c r="AD507" s="7"/>
      <c r="AE507" s="7" t="s">
        <v>1098</v>
      </c>
    </row>
    <row r="508" customFormat="false" ht="21.75" hidden="false" customHeight="true" outlineLevel="0" collapsed="false">
      <c r="B508" s="15" t="n">
        <v>504</v>
      </c>
      <c r="C508" s="9" t="s">
        <v>49</v>
      </c>
      <c r="D508" s="9" t="s">
        <v>90</v>
      </c>
      <c r="E508" s="9" t="s">
        <v>87</v>
      </c>
      <c r="F508" s="9" t="s">
        <v>63</v>
      </c>
      <c r="G508" s="9" t="s">
        <v>1099</v>
      </c>
      <c r="H508" s="9" t="s">
        <v>163</v>
      </c>
      <c r="I508" s="9" t="s">
        <v>164</v>
      </c>
      <c r="J508" s="9" t="s">
        <v>468</v>
      </c>
      <c r="K508" s="9" t="s">
        <v>1093</v>
      </c>
      <c r="L508" s="9" t="s">
        <v>205</v>
      </c>
      <c r="M508" s="9" t="s">
        <v>116</v>
      </c>
      <c r="N508" s="9" t="s">
        <v>1094</v>
      </c>
      <c r="O508" s="9" t="s">
        <v>1073</v>
      </c>
      <c r="P508" s="9" t="s">
        <v>1074</v>
      </c>
      <c r="Q508" s="9" t="s">
        <v>1075</v>
      </c>
      <c r="R508" s="9" t="s">
        <v>1076</v>
      </c>
      <c r="S508" s="9" t="s">
        <v>1077</v>
      </c>
      <c r="T508" s="9" t="s">
        <v>356</v>
      </c>
      <c r="U508" s="9" t="s">
        <v>148</v>
      </c>
      <c r="V508" s="9" t="s">
        <v>236</v>
      </c>
      <c r="W508" s="9" t="s">
        <v>921</v>
      </c>
      <c r="X508" s="9" t="s">
        <v>1095</v>
      </c>
      <c r="Y508" s="9" t="s">
        <v>491</v>
      </c>
      <c r="Z508" s="9" t="s">
        <v>1078</v>
      </c>
      <c r="AA508" s="9" t="s">
        <v>183</v>
      </c>
      <c r="AB508" s="19" t="n">
        <v>1050</v>
      </c>
      <c r="AC508" s="9"/>
      <c r="AD508" s="9"/>
      <c r="AE508" s="9" t="s">
        <v>165</v>
      </c>
    </row>
    <row r="509" customFormat="false" ht="21.75" hidden="false" customHeight="true" outlineLevel="0" collapsed="false">
      <c r="B509" s="14" t="n">
        <v>505</v>
      </c>
      <c r="C509" s="7" t="s">
        <v>49</v>
      </c>
      <c r="D509" s="7" t="s">
        <v>90</v>
      </c>
      <c r="E509" s="7" t="s">
        <v>87</v>
      </c>
      <c r="F509" s="7" t="s">
        <v>63</v>
      </c>
      <c r="G509" s="7" t="s">
        <v>1100</v>
      </c>
      <c r="H509" s="7" t="s">
        <v>163</v>
      </c>
      <c r="I509" s="7" t="s">
        <v>164</v>
      </c>
      <c r="J509" s="7" t="s">
        <v>468</v>
      </c>
      <c r="K509" s="7" t="s">
        <v>1093</v>
      </c>
      <c r="L509" s="7" t="s">
        <v>205</v>
      </c>
      <c r="M509" s="7" t="s">
        <v>116</v>
      </c>
      <c r="N509" s="7" t="s">
        <v>1094</v>
      </c>
      <c r="O509" s="7" t="s">
        <v>1073</v>
      </c>
      <c r="P509" s="7" t="s">
        <v>1074</v>
      </c>
      <c r="Q509" s="7" t="s">
        <v>1075</v>
      </c>
      <c r="R509" s="7" t="s">
        <v>1076</v>
      </c>
      <c r="S509" s="7" t="s">
        <v>1077</v>
      </c>
      <c r="T509" s="7" t="s">
        <v>356</v>
      </c>
      <c r="U509" s="7" t="s">
        <v>148</v>
      </c>
      <c r="V509" s="7" t="s">
        <v>236</v>
      </c>
      <c r="W509" s="7" t="s">
        <v>921</v>
      </c>
      <c r="X509" s="7" t="s">
        <v>1095</v>
      </c>
      <c r="Y509" s="7" t="s">
        <v>491</v>
      </c>
      <c r="Z509" s="7" t="s">
        <v>1078</v>
      </c>
      <c r="AA509" s="7" t="s">
        <v>183</v>
      </c>
      <c r="AB509" s="18" t="n">
        <v>1540</v>
      </c>
      <c r="AC509" s="7"/>
      <c r="AD509" s="7"/>
      <c r="AE509" s="7" t="s">
        <v>167</v>
      </c>
    </row>
    <row r="510" customFormat="false" ht="21.75" hidden="false" customHeight="true" outlineLevel="0" collapsed="false">
      <c r="B510" s="15" t="n">
        <v>506</v>
      </c>
      <c r="C510" s="9" t="s">
        <v>49</v>
      </c>
      <c r="D510" s="9" t="s">
        <v>90</v>
      </c>
      <c r="E510" s="9" t="s">
        <v>87</v>
      </c>
      <c r="F510" s="9" t="s">
        <v>64</v>
      </c>
      <c r="G510" s="9" t="s">
        <v>321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19"/>
      <c r="AC510" s="9"/>
      <c r="AD510" s="9"/>
      <c r="AE510" s="9" t="s">
        <v>1101</v>
      </c>
    </row>
    <row r="511" customFormat="false" ht="21.75" hidden="false" customHeight="true" outlineLevel="0" collapsed="false">
      <c r="B511" s="14" t="n">
        <v>507</v>
      </c>
      <c r="C511" s="7" t="s">
        <v>49</v>
      </c>
      <c r="D511" s="7" t="s">
        <v>90</v>
      </c>
      <c r="E511" s="7" t="s">
        <v>87</v>
      </c>
      <c r="F511" s="7" t="s">
        <v>65</v>
      </c>
      <c r="G511" s="7" t="s">
        <v>321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18"/>
      <c r="AC511" s="7"/>
      <c r="AD511" s="7"/>
      <c r="AE511" s="7" t="s">
        <v>1102</v>
      </c>
    </row>
    <row r="512" customFormat="false" ht="21.75" hidden="false" customHeight="true" outlineLevel="0" collapsed="false">
      <c r="B512" s="15" t="n">
        <v>508</v>
      </c>
      <c r="C512" s="9" t="s">
        <v>49</v>
      </c>
      <c r="D512" s="9" t="s">
        <v>90</v>
      </c>
      <c r="E512" s="9" t="s">
        <v>87</v>
      </c>
      <c r="F512" s="9" t="s">
        <v>66</v>
      </c>
      <c r="G512" s="9" t="s">
        <v>321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19"/>
      <c r="AC512" s="9"/>
      <c r="AD512" s="9"/>
      <c r="AE512" s="9" t="s">
        <v>1103</v>
      </c>
    </row>
    <row r="513" customFormat="false" ht="21.75" hidden="false" customHeight="true" outlineLevel="0" collapsed="false">
      <c r="B513" s="14" t="n">
        <v>509</v>
      </c>
      <c r="C513" s="7" t="s">
        <v>49</v>
      </c>
      <c r="D513" s="7" t="s">
        <v>90</v>
      </c>
      <c r="E513" s="7" t="s">
        <v>87</v>
      </c>
      <c r="F513" s="7" t="s">
        <v>67</v>
      </c>
      <c r="G513" s="7" t="s">
        <v>1104</v>
      </c>
      <c r="H513" s="7" t="s">
        <v>230</v>
      </c>
      <c r="I513" s="7" t="s">
        <v>231</v>
      </c>
      <c r="J513" s="7" t="s">
        <v>396</v>
      </c>
      <c r="K513" s="7" t="s">
        <v>527</v>
      </c>
      <c r="L513" s="7" t="s">
        <v>528</v>
      </c>
      <c r="M513" s="7" t="s">
        <v>116</v>
      </c>
      <c r="N513" s="7" t="s">
        <v>1105</v>
      </c>
      <c r="O513" s="7" t="s">
        <v>1073</v>
      </c>
      <c r="P513" s="7" t="s">
        <v>1074</v>
      </c>
      <c r="Q513" s="7" t="s">
        <v>1075</v>
      </c>
      <c r="R513" s="7" t="s">
        <v>1076</v>
      </c>
      <c r="S513" s="7" t="s">
        <v>1077</v>
      </c>
      <c r="T513" s="7" t="s">
        <v>147</v>
      </c>
      <c r="U513" s="7" t="s">
        <v>148</v>
      </c>
      <c r="V513" s="7" t="s">
        <v>380</v>
      </c>
      <c r="W513" s="7" t="s">
        <v>921</v>
      </c>
      <c r="X513" s="7" t="s">
        <v>1106</v>
      </c>
      <c r="Y513" s="7" t="s">
        <v>400</v>
      </c>
      <c r="Z513" s="7" t="s">
        <v>1078</v>
      </c>
      <c r="AA513" s="7" t="s">
        <v>154</v>
      </c>
      <c r="AB513" s="18" t="n">
        <v>425</v>
      </c>
      <c r="AC513" s="7"/>
      <c r="AD513" s="7"/>
      <c r="AE513" s="7" t="s">
        <v>155</v>
      </c>
    </row>
    <row r="514" customFormat="false" ht="21.75" hidden="false" customHeight="true" outlineLevel="0" collapsed="false">
      <c r="B514" s="15" t="n">
        <v>510</v>
      </c>
      <c r="C514" s="9" t="s">
        <v>49</v>
      </c>
      <c r="D514" s="9" t="s">
        <v>90</v>
      </c>
      <c r="E514" s="9" t="s">
        <v>87</v>
      </c>
      <c r="F514" s="9" t="s">
        <v>67</v>
      </c>
      <c r="G514" s="9" t="s">
        <v>1107</v>
      </c>
      <c r="H514" s="9" t="s">
        <v>230</v>
      </c>
      <c r="I514" s="9" t="s">
        <v>231</v>
      </c>
      <c r="J514" s="9" t="s">
        <v>396</v>
      </c>
      <c r="K514" s="9" t="s">
        <v>527</v>
      </c>
      <c r="L514" s="9" t="s">
        <v>528</v>
      </c>
      <c r="M514" s="9" t="s">
        <v>116</v>
      </c>
      <c r="N514" s="9" t="s">
        <v>1105</v>
      </c>
      <c r="O514" s="9" t="s">
        <v>1073</v>
      </c>
      <c r="P514" s="9" t="s">
        <v>1074</v>
      </c>
      <c r="Q514" s="9" t="s">
        <v>1075</v>
      </c>
      <c r="R514" s="9" t="s">
        <v>1076</v>
      </c>
      <c r="S514" s="9" t="s">
        <v>1077</v>
      </c>
      <c r="T514" s="9" t="s">
        <v>147</v>
      </c>
      <c r="U514" s="9" t="s">
        <v>148</v>
      </c>
      <c r="V514" s="9" t="s">
        <v>380</v>
      </c>
      <c r="W514" s="9" t="s">
        <v>921</v>
      </c>
      <c r="X514" s="9" t="s">
        <v>1106</v>
      </c>
      <c r="Y514" s="9" t="s">
        <v>400</v>
      </c>
      <c r="Z514" s="9" t="s">
        <v>1078</v>
      </c>
      <c r="AA514" s="9" t="s">
        <v>154</v>
      </c>
      <c r="AB514" s="19" t="n">
        <v>635</v>
      </c>
      <c r="AC514" s="9"/>
      <c r="AD514" s="9"/>
      <c r="AE514" s="9" t="s">
        <v>159</v>
      </c>
    </row>
    <row r="515" customFormat="false" ht="21.75" hidden="false" customHeight="true" outlineLevel="0" collapsed="false">
      <c r="B515" s="14" t="n">
        <v>511</v>
      </c>
      <c r="C515" s="7" t="s">
        <v>49</v>
      </c>
      <c r="D515" s="7" t="s">
        <v>90</v>
      </c>
      <c r="E515" s="7" t="s">
        <v>87</v>
      </c>
      <c r="F515" s="7" t="s">
        <v>67</v>
      </c>
      <c r="G515" s="7" t="s">
        <v>1108</v>
      </c>
      <c r="H515" s="7" t="s">
        <v>240</v>
      </c>
      <c r="I515" s="7" t="s">
        <v>241</v>
      </c>
      <c r="J515" s="7" t="s">
        <v>396</v>
      </c>
      <c r="K515" s="7" t="s">
        <v>527</v>
      </c>
      <c r="L515" s="7" t="s">
        <v>528</v>
      </c>
      <c r="M515" s="7" t="s">
        <v>116</v>
      </c>
      <c r="N515" s="7" t="s">
        <v>1105</v>
      </c>
      <c r="O515" s="7" t="s">
        <v>1073</v>
      </c>
      <c r="P515" s="7" t="s">
        <v>1074</v>
      </c>
      <c r="Q515" s="7" t="s">
        <v>1075</v>
      </c>
      <c r="R515" s="7" t="s">
        <v>1076</v>
      </c>
      <c r="S515" s="7" t="s">
        <v>1077</v>
      </c>
      <c r="T515" s="7" t="s">
        <v>147</v>
      </c>
      <c r="U515" s="7" t="s">
        <v>148</v>
      </c>
      <c r="V515" s="7" t="s">
        <v>380</v>
      </c>
      <c r="W515" s="7" t="s">
        <v>921</v>
      </c>
      <c r="X515" s="7" t="s">
        <v>1106</v>
      </c>
      <c r="Y515" s="7" t="s">
        <v>400</v>
      </c>
      <c r="Z515" s="7" t="s">
        <v>1078</v>
      </c>
      <c r="AA515" s="7" t="s">
        <v>154</v>
      </c>
      <c r="AB515" s="18" t="n">
        <v>850</v>
      </c>
      <c r="AC515" s="7"/>
      <c r="AD515" s="7"/>
      <c r="AE515" s="7" t="s">
        <v>1109</v>
      </c>
    </row>
    <row r="516" customFormat="false" ht="21.75" hidden="false" customHeight="true" outlineLevel="0" collapsed="false">
      <c r="B516" s="15" t="n">
        <v>512</v>
      </c>
      <c r="C516" s="9" t="s">
        <v>49</v>
      </c>
      <c r="D516" s="9" t="s">
        <v>90</v>
      </c>
      <c r="E516" s="9" t="s">
        <v>87</v>
      </c>
      <c r="F516" s="9" t="s">
        <v>67</v>
      </c>
      <c r="G516" s="9" t="s">
        <v>1110</v>
      </c>
      <c r="H516" s="9" t="s">
        <v>240</v>
      </c>
      <c r="I516" s="9" t="s">
        <v>241</v>
      </c>
      <c r="J516" s="9" t="s">
        <v>396</v>
      </c>
      <c r="K516" s="9" t="s">
        <v>527</v>
      </c>
      <c r="L516" s="9" t="s">
        <v>528</v>
      </c>
      <c r="M516" s="9" t="s">
        <v>116</v>
      </c>
      <c r="N516" s="9" t="s">
        <v>1105</v>
      </c>
      <c r="O516" s="9" t="s">
        <v>1073</v>
      </c>
      <c r="P516" s="9" t="s">
        <v>1074</v>
      </c>
      <c r="Q516" s="9" t="s">
        <v>1075</v>
      </c>
      <c r="R516" s="9" t="s">
        <v>1076</v>
      </c>
      <c r="S516" s="9" t="s">
        <v>1077</v>
      </c>
      <c r="T516" s="9" t="s">
        <v>147</v>
      </c>
      <c r="U516" s="9" t="s">
        <v>148</v>
      </c>
      <c r="V516" s="9" t="s">
        <v>380</v>
      </c>
      <c r="W516" s="9" t="s">
        <v>921</v>
      </c>
      <c r="X516" s="9" t="s">
        <v>1106</v>
      </c>
      <c r="Y516" s="9" t="s">
        <v>400</v>
      </c>
      <c r="Z516" s="9" t="s">
        <v>1078</v>
      </c>
      <c r="AA516" s="9" t="s">
        <v>154</v>
      </c>
      <c r="AB516" s="19" t="n">
        <v>1275</v>
      </c>
      <c r="AC516" s="9"/>
      <c r="AD516" s="9"/>
      <c r="AE516" s="9" t="s">
        <v>165</v>
      </c>
    </row>
    <row r="517" customFormat="false" ht="21.75" hidden="false" customHeight="true" outlineLevel="0" collapsed="false">
      <c r="B517" s="14" t="n">
        <v>513</v>
      </c>
      <c r="C517" s="7" t="s">
        <v>49</v>
      </c>
      <c r="D517" s="7" t="s">
        <v>90</v>
      </c>
      <c r="E517" s="7" t="s">
        <v>87</v>
      </c>
      <c r="F517" s="7" t="s">
        <v>67</v>
      </c>
      <c r="G517" s="7" t="s">
        <v>1111</v>
      </c>
      <c r="H517" s="7" t="s">
        <v>240</v>
      </c>
      <c r="I517" s="7" t="s">
        <v>241</v>
      </c>
      <c r="J517" s="7" t="s">
        <v>396</v>
      </c>
      <c r="K517" s="7" t="s">
        <v>527</v>
      </c>
      <c r="L517" s="7" t="s">
        <v>528</v>
      </c>
      <c r="M517" s="7" t="s">
        <v>116</v>
      </c>
      <c r="N517" s="7" t="s">
        <v>1105</v>
      </c>
      <c r="O517" s="7" t="s">
        <v>1073</v>
      </c>
      <c r="P517" s="7" t="s">
        <v>1074</v>
      </c>
      <c r="Q517" s="7" t="s">
        <v>1075</v>
      </c>
      <c r="R517" s="7" t="s">
        <v>1076</v>
      </c>
      <c r="S517" s="7" t="s">
        <v>1077</v>
      </c>
      <c r="T517" s="7" t="s">
        <v>147</v>
      </c>
      <c r="U517" s="7" t="s">
        <v>148</v>
      </c>
      <c r="V517" s="7" t="s">
        <v>380</v>
      </c>
      <c r="W517" s="7" t="s">
        <v>921</v>
      </c>
      <c r="X517" s="7" t="s">
        <v>1106</v>
      </c>
      <c r="Y517" s="7" t="s">
        <v>400</v>
      </c>
      <c r="Z517" s="7" t="s">
        <v>1078</v>
      </c>
      <c r="AA517" s="7" t="s">
        <v>154</v>
      </c>
      <c r="AB517" s="18" t="n">
        <v>1870</v>
      </c>
      <c r="AC517" s="7"/>
      <c r="AD517" s="7"/>
      <c r="AE517" s="7" t="s">
        <v>167</v>
      </c>
    </row>
    <row r="518" customFormat="false" ht="21.75" hidden="false" customHeight="true" outlineLevel="0" collapsed="false">
      <c r="B518" s="15" t="n">
        <v>514</v>
      </c>
      <c r="C518" s="9" t="s">
        <v>49</v>
      </c>
      <c r="D518" s="9" t="s">
        <v>90</v>
      </c>
      <c r="E518" s="9" t="s">
        <v>87</v>
      </c>
      <c r="F518" s="9" t="s">
        <v>68</v>
      </c>
      <c r="G518" s="9" t="s">
        <v>321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9"/>
      <c r="AC518" s="9"/>
      <c r="AD518" s="9"/>
      <c r="AE518" s="9" t="s">
        <v>1112</v>
      </c>
    </row>
    <row r="519" customFormat="false" ht="21.75" hidden="false" customHeight="true" outlineLevel="0" collapsed="false">
      <c r="B519" s="14" t="n">
        <v>515</v>
      </c>
      <c r="C519" s="7" t="s">
        <v>49</v>
      </c>
      <c r="D519" s="7" t="s">
        <v>90</v>
      </c>
      <c r="E519" s="7" t="s">
        <v>87</v>
      </c>
      <c r="F519" s="7" t="s">
        <v>69</v>
      </c>
      <c r="G519" s="7" t="s">
        <v>321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18"/>
      <c r="AC519" s="7"/>
      <c r="AD519" s="7"/>
      <c r="AE519" s="7" t="s">
        <v>1113</v>
      </c>
    </row>
    <row r="520" customFormat="false" ht="21.75" hidden="false" customHeight="true" outlineLevel="0" collapsed="false">
      <c r="B520" s="15" t="n">
        <v>516</v>
      </c>
      <c r="C520" s="9" t="s">
        <v>49</v>
      </c>
      <c r="D520" s="9" t="s">
        <v>90</v>
      </c>
      <c r="E520" s="9" t="s">
        <v>87</v>
      </c>
      <c r="F520" s="9" t="s">
        <v>70</v>
      </c>
      <c r="G520" s="9" t="s">
        <v>321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19"/>
      <c r="AC520" s="9"/>
      <c r="AD520" s="9"/>
      <c r="AE520" s="9" t="s">
        <v>1114</v>
      </c>
    </row>
    <row r="521" customFormat="false" ht="21.75" hidden="false" customHeight="true" outlineLevel="0" collapsed="false">
      <c r="B521" s="14" t="n">
        <v>517</v>
      </c>
      <c r="C521" s="7" t="s">
        <v>49</v>
      </c>
      <c r="D521" s="7" t="s">
        <v>90</v>
      </c>
      <c r="E521" s="7" t="s">
        <v>87</v>
      </c>
      <c r="F521" s="7" t="s">
        <v>71</v>
      </c>
      <c r="G521" s="7" t="s">
        <v>1115</v>
      </c>
      <c r="H521" s="7" t="s">
        <v>136</v>
      </c>
      <c r="I521" s="7" t="s">
        <v>137</v>
      </c>
      <c r="J521" s="7" t="s">
        <v>468</v>
      </c>
      <c r="K521" s="7" t="s">
        <v>1093</v>
      </c>
      <c r="L521" s="7" t="s">
        <v>205</v>
      </c>
      <c r="M521" s="7" t="s">
        <v>116</v>
      </c>
      <c r="N521" s="7" t="s">
        <v>1116</v>
      </c>
      <c r="O521" s="7" t="s">
        <v>1073</v>
      </c>
      <c r="P521" s="7" t="s">
        <v>1074</v>
      </c>
      <c r="Q521" s="7" t="s">
        <v>1075</v>
      </c>
      <c r="R521" s="7" t="s">
        <v>1076</v>
      </c>
      <c r="S521" s="7" t="s">
        <v>1077</v>
      </c>
      <c r="T521" s="7" t="s">
        <v>356</v>
      </c>
      <c r="U521" s="7" t="s">
        <v>148</v>
      </c>
      <c r="V521" s="7" t="s">
        <v>236</v>
      </c>
      <c r="W521" s="7" t="s">
        <v>921</v>
      </c>
      <c r="X521" s="7" t="s">
        <v>1095</v>
      </c>
      <c r="Y521" s="7" t="s">
        <v>491</v>
      </c>
      <c r="Z521" s="7" t="s">
        <v>1078</v>
      </c>
      <c r="AA521" s="7" t="s">
        <v>183</v>
      </c>
      <c r="AB521" s="18" t="n">
        <v>350</v>
      </c>
      <c r="AC521" s="7"/>
      <c r="AD521" s="7"/>
      <c r="AE521" s="7" t="s">
        <v>155</v>
      </c>
    </row>
    <row r="522" customFormat="false" ht="21.75" hidden="false" customHeight="true" outlineLevel="0" collapsed="false">
      <c r="B522" s="15" t="n">
        <v>518</v>
      </c>
      <c r="C522" s="9" t="s">
        <v>49</v>
      </c>
      <c r="D522" s="9" t="s">
        <v>90</v>
      </c>
      <c r="E522" s="9" t="s">
        <v>87</v>
      </c>
      <c r="F522" s="9" t="s">
        <v>71</v>
      </c>
      <c r="G522" s="9" t="s">
        <v>1117</v>
      </c>
      <c r="H522" s="9" t="s">
        <v>157</v>
      </c>
      <c r="I522" s="9" t="s">
        <v>158</v>
      </c>
      <c r="J522" s="9" t="s">
        <v>468</v>
      </c>
      <c r="K522" s="9" t="s">
        <v>1093</v>
      </c>
      <c r="L522" s="9" t="s">
        <v>205</v>
      </c>
      <c r="M522" s="9" t="s">
        <v>116</v>
      </c>
      <c r="N522" s="9" t="s">
        <v>1116</v>
      </c>
      <c r="O522" s="9" t="s">
        <v>1073</v>
      </c>
      <c r="P522" s="9" t="s">
        <v>1074</v>
      </c>
      <c r="Q522" s="9" t="s">
        <v>1075</v>
      </c>
      <c r="R522" s="9" t="s">
        <v>1076</v>
      </c>
      <c r="S522" s="9" t="s">
        <v>1077</v>
      </c>
      <c r="T522" s="9" t="s">
        <v>356</v>
      </c>
      <c r="U522" s="9" t="s">
        <v>148</v>
      </c>
      <c r="V522" s="9" t="s">
        <v>236</v>
      </c>
      <c r="W522" s="9" t="s">
        <v>921</v>
      </c>
      <c r="X522" s="9" t="s">
        <v>1095</v>
      </c>
      <c r="Y522" s="9" t="s">
        <v>491</v>
      </c>
      <c r="Z522" s="9" t="s">
        <v>1078</v>
      </c>
      <c r="AA522" s="9" t="s">
        <v>183</v>
      </c>
      <c r="AB522" s="19" t="n">
        <v>525</v>
      </c>
      <c r="AC522" s="9"/>
      <c r="AD522" s="9"/>
      <c r="AE522" s="9" t="s">
        <v>159</v>
      </c>
    </row>
    <row r="523" customFormat="false" ht="21.75" hidden="false" customHeight="true" outlineLevel="0" collapsed="false">
      <c r="B523" s="14" t="n">
        <v>519</v>
      </c>
      <c r="C523" s="7" t="s">
        <v>49</v>
      </c>
      <c r="D523" s="7" t="s">
        <v>90</v>
      </c>
      <c r="E523" s="7" t="s">
        <v>87</v>
      </c>
      <c r="F523" s="7" t="s">
        <v>71</v>
      </c>
      <c r="G523" s="7" t="s">
        <v>1118</v>
      </c>
      <c r="H523" s="7" t="s">
        <v>163</v>
      </c>
      <c r="I523" s="7" t="s">
        <v>164</v>
      </c>
      <c r="J523" s="7" t="s">
        <v>468</v>
      </c>
      <c r="K523" s="7" t="s">
        <v>1093</v>
      </c>
      <c r="L523" s="7" t="s">
        <v>205</v>
      </c>
      <c r="M523" s="7" t="s">
        <v>116</v>
      </c>
      <c r="N523" s="7" t="s">
        <v>1116</v>
      </c>
      <c r="O523" s="7" t="s">
        <v>1073</v>
      </c>
      <c r="P523" s="7" t="s">
        <v>1074</v>
      </c>
      <c r="Q523" s="7" t="s">
        <v>1075</v>
      </c>
      <c r="R523" s="7" t="s">
        <v>1076</v>
      </c>
      <c r="S523" s="7" t="s">
        <v>1077</v>
      </c>
      <c r="T523" s="7" t="s">
        <v>356</v>
      </c>
      <c r="U523" s="7" t="s">
        <v>148</v>
      </c>
      <c r="V523" s="7" t="s">
        <v>236</v>
      </c>
      <c r="W523" s="7" t="s">
        <v>921</v>
      </c>
      <c r="X523" s="7" t="s">
        <v>1095</v>
      </c>
      <c r="Y523" s="7" t="s">
        <v>491</v>
      </c>
      <c r="Z523" s="7" t="s">
        <v>1078</v>
      </c>
      <c r="AA523" s="7" t="s">
        <v>183</v>
      </c>
      <c r="AB523" s="18" t="n">
        <v>700</v>
      </c>
      <c r="AC523" s="7"/>
      <c r="AD523" s="7"/>
      <c r="AE523" s="7" t="s">
        <v>1119</v>
      </c>
    </row>
    <row r="524" customFormat="false" ht="21.75" hidden="false" customHeight="true" outlineLevel="0" collapsed="false">
      <c r="B524" s="15" t="n">
        <v>520</v>
      </c>
      <c r="C524" s="9" t="s">
        <v>49</v>
      </c>
      <c r="D524" s="9" t="s">
        <v>90</v>
      </c>
      <c r="E524" s="9" t="s">
        <v>87</v>
      </c>
      <c r="F524" s="9" t="s">
        <v>71</v>
      </c>
      <c r="G524" s="9" t="s">
        <v>1120</v>
      </c>
      <c r="H524" s="9" t="s">
        <v>163</v>
      </c>
      <c r="I524" s="9" t="s">
        <v>164</v>
      </c>
      <c r="J524" s="9" t="s">
        <v>468</v>
      </c>
      <c r="K524" s="9" t="s">
        <v>1093</v>
      </c>
      <c r="L524" s="9" t="s">
        <v>205</v>
      </c>
      <c r="M524" s="9" t="s">
        <v>116</v>
      </c>
      <c r="N524" s="9" t="s">
        <v>1116</v>
      </c>
      <c r="O524" s="9" t="s">
        <v>1073</v>
      </c>
      <c r="P524" s="9" t="s">
        <v>1074</v>
      </c>
      <c r="Q524" s="9" t="s">
        <v>1075</v>
      </c>
      <c r="R524" s="9" t="s">
        <v>1076</v>
      </c>
      <c r="S524" s="9" t="s">
        <v>1077</v>
      </c>
      <c r="T524" s="9" t="s">
        <v>356</v>
      </c>
      <c r="U524" s="9" t="s">
        <v>148</v>
      </c>
      <c r="V524" s="9" t="s">
        <v>236</v>
      </c>
      <c r="W524" s="9" t="s">
        <v>921</v>
      </c>
      <c r="X524" s="9" t="s">
        <v>1095</v>
      </c>
      <c r="Y524" s="9" t="s">
        <v>491</v>
      </c>
      <c r="Z524" s="9" t="s">
        <v>1078</v>
      </c>
      <c r="AA524" s="9" t="s">
        <v>183</v>
      </c>
      <c r="AB524" s="19" t="n">
        <v>1050</v>
      </c>
      <c r="AC524" s="9"/>
      <c r="AD524" s="9"/>
      <c r="AE524" s="9" t="s">
        <v>165</v>
      </c>
    </row>
    <row r="525" customFormat="false" ht="21.75" hidden="false" customHeight="true" outlineLevel="0" collapsed="false">
      <c r="B525" s="14" t="n">
        <v>521</v>
      </c>
      <c r="C525" s="7" t="s">
        <v>49</v>
      </c>
      <c r="D525" s="7" t="s">
        <v>90</v>
      </c>
      <c r="E525" s="7" t="s">
        <v>87</v>
      </c>
      <c r="F525" s="7" t="s">
        <v>71</v>
      </c>
      <c r="G525" s="7" t="s">
        <v>1121</v>
      </c>
      <c r="H525" s="7" t="s">
        <v>163</v>
      </c>
      <c r="I525" s="7" t="s">
        <v>164</v>
      </c>
      <c r="J525" s="7" t="s">
        <v>468</v>
      </c>
      <c r="K525" s="7" t="s">
        <v>1093</v>
      </c>
      <c r="L525" s="7" t="s">
        <v>205</v>
      </c>
      <c r="M525" s="7" t="s">
        <v>116</v>
      </c>
      <c r="N525" s="7" t="s">
        <v>1116</v>
      </c>
      <c r="O525" s="7" t="s">
        <v>1073</v>
      </c>
      <c r="P525" s="7" t="s">
        <v>1074</v>
      </c>
      <c r="Q525" s="7" t="s">
        <v>1075</v>
      </c>
      <c r="R525" s="7" t="s">
        <v>1076</v>
      </c>
      <c r="S525" s="7" t="s">
        <v>1077</v>
      </c>
      <c r="T525" s="7" t="s">
        <v>356</v>
      </c>
      <c r="U525" s="7" t="s">
        <v>148</v>
      </c>
      <c r="V525" s="7" t="s">
        <v>236</v>
      </c>
      <c r="W525" s="7" t="s">
        <v>921</v>
      </c>
      <c r="X525" s="7" t="s">
        <v>1095</v>
      </c>
      <c r="Y525" s="7" t="s">
        <v>491</v>
      </c>
      <c r="Z525" s="7" t="s">
        <v>1078</v>
      </c>
      <c r="AA525" s="7" t="s">
        <v>183</v>
      </c>
      <c r="AB525" s="18" t="n">
        <v>1540</v>
      </c>
      <c r="AC525" s="7"/>
      <c r="AD525" s="7"/>
      <c r="AE525" s="7" t="s">
        <v>167</v>
      </c>
    </row>
    <row r="526" customFormat="false" ht="21.75" hidden="false" customHeight="true" outlineLevel="0" collapsed="false">
      <c r="B526" s="15" t="n">
        <v>522</v>
      </c>
      <c r="C526" s="9" t="s">
        <v>49</v>
      </c>
      <c r="D526" s="9" t="s">
        <v>90</v>
      </c>
      <c r="E526" s="9" t="s">
        <v>87</v>
      </c>
      <c r="F526" s="9" t="s">
        <v>72</v>
      </c>
      <c r="G526" s="9" t="s">
        <v>321</v>
      </c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19"/>
      <c r="AC526" s="9"/>
      <c r="AD526" s="9"/>
      <c r="AE526" s="9" t="s">
        <v>1122</v>
      </c>
    </row>
    <row r="527" customFormat="false" ht="21.75" hidden="false" customHeight="true" outlineLevel="0" collapsed="false">
      <c r="B527" s="14" t="n">
        <v>523</v>
      </c>
      <c r="C527" s="7" t="s">
        <v>49</v>
      </c>
      <c r="D527" s="7" t="s">
        <v>90</v>
      </c>
      <c r="E527" s="7" t="s">
        <v>87</v>
      </c>
      <c r="F527" s="7" t="s">
        <v>73</v>
      </c>
      <c r="G527" s="7" t="s">
        <v>1083</v>
      </c>
      <c r="H527" s="7" t="s">
        <v>136</v>
      </c>
      <c r="I527" s="7" t="s">
        <v>137</v>
      </c>
      <c r="J527" s="7" t="s">
        <v>203</v>
      </c>
      <c r="K527" s="7" t="s">
        <v>488</v>
      </c>
      <c r="L527" s="7" t="s">
        <v>169</v>
      </c>
      <c r="M527" s="7" t="s">
        <v>116</v>
      </c>
      <c r="N527" s="7" t="s">
        <v>1123</v>
      </c>
      <c r="O527" s="7" t="s">
        <v>1073</v>
      </c>
      <c r="P527" s="7" t="s">
        <v>1074</v>
      </c>
      <c r="Q527" s="7" t="s">
        <v>1075</v>
      </c>
      <c r="R527" s="7" t="s">
        <v>1076</v>
      </c>
      <c r="S527" s="7" t="s">
        <v>1077</v>
      </c>
      <c r="T527" s="7" t="s">
        <v>223</v>
      </c>
      <c r="U527" s="7" t="s">
        <v>148</v>
      </c>
      <c r="V527" s="7" t="s">
        <v>473</v>
      </c>
      <c r="W527" s="7" t="s">
        <v>921</v>
      </c>
      <c r="X527" s="7" t="s">
        <v>1124</v>
      </c>
      <c r="Y527" s="7" t="s">
        <v>841</v>
      </c>
      <c r="Z527" s="7" t="s">
        <v>1078</v>
      </c>
      <c r="AA527" s="7" t="s">
        <v>223</v>
      </c>
      <c r="AB527" s="18" t="n">
        <v>300</v>
      </c>
      <c r="AC527" s="7"/>
      <c r="AD527" s="7"/>
      <c r="AE527" s="7" t="s">
        <v>155</v>
      </c>
    </row>
    <row r="528" customFormat="false" ht="21.75" hidden="false" customHeight="true" outlineLevel="0" collapsed="false">
      <c r="B528" s="15" t="n">
        <v>524</v>
      </c>
      <c r="C528" s="9" t="s">
        <v>49</v>
      </c>
      <c r="D528" s="9" t="s">
        <v>90</v>
      </c>
      <c r="E528" s="9" t="s">
        <v>87</v>
      </c>
      <c r="F528" s="9" t="s">
        <v>73</v>
      </c>
      <c r="G528" s="9" t="s">
        <v>1125</v>
      </c>
      <c r="H528" s="9" t="s">
        <v>157</v>
      </c>
      <c r="I528" s="9" t="s">
        <v>158</v>
      </c>
      <c r="J528" s="9" t="s">
        <v>203</v>
      </c>
      <c r="K528" s="9" t="s">
        <v>488</v>
      </c>
      <c r="L528" s="9" t="s">
        <v>169</v>
      </c>
      <c r="M528" s="9" t="s">
        <v>116</v>
      </c>
      <c r="N528" s="9" t="s">
        <v>1123</v>
      </c>
      <c r="O528" s="9" t="s">
        <v>1073</v>
      </c>
      <c r="P528" s="9" t="s">
        <v>1074</v>
      </c>
      <c r="Q528" s="9" t="s">
        <v>1075</v>
      </c>
      <c r="R528" s="9" t="s">
        <v>1076</v>
      </c>
      <c r="S528" s="9" t="s">
        <v>1077</v>
      </c>
      <c r="T528" s="9" t="s">
        <v>223</v>
      </c>
      <c r="U528" s="9" t="s">
        <v>148</v>
      </c>
      <c r="V528" s="9" t="s">
        <v>473</v>
      </c>
      <c r="W528" s="9" t="s">
        <v>921</v>
      </c>
      <c r="X528" s="9" t="s">
        <v>1124</v>
      </c>
      <c r="Y528" s="9" t="s">
        <v>841</v>
      </c>
      <c r="Z528" s="9" t="s">
        <v>1078</v>
      </c>
      <c r="AA528" s="9" t="s">
        <v>223</v>
      </c>
      <c r="AB528" s="19" t="n">
        <v>450</v>
      </c>
      <c r="AC528" s="9"/>
      <c r="AD528" s="9"/>
      <c r="AE528" s="9" t="s">
        <v>159</v>
      </c>
    </row>
    <row r="529" customFormat="false" ht="21.75" hidden="false" customHeight="true" outlineLevel="0" collapsed="false">
      <c r="B529" s="14" t="n">
        <v>525</v>
      </c>
      <c r="C529" s="7" t="s">
        <v>49</v>
      </c>
      <c r="D529" s="7" t="s">
        <v>90</v>
      </c>
      <c r="E529" s="7" t="s">
        <v>87</v>
      </c>
      <c r="F529" s="7" t="s">
        <v>73</v>
      </c>
      <c r="G529" s="7" t="s">
        <v>1100</v>
      </c>
      <c r="H529" s="7" t="s">
        <v>157</v>
      </c>
      <c r="I529" s="7" t="s">
        <v>158</v>
      </c>
      <c r="J529" s="7" t="s">
        <v>203</v>
      </c>
      <c r="K529" s="7" t="s">
        <v>488</v>
      </c>
      <c r="L529" s="7" t="s">
        <v>169</v>
      </c>
      <c r="M529" s="7" t="s">
        <v>116</v>
      </c>
      <c r="N529" s="7" t="s">
        <v>1123</v>
      </c>
      <c r="O529" s="7" t="s">
        <v>1073</v>
      </c>
      <c r="P529" s="7" t="s">
        <v>1074</v>
      </c>
      <c r="Q529" s="7" t="s">
        <v>1075</v>
      </c>
      <c r="R529" s="7" t="s">
        <v>1076</v>
      </c>
      <c r="S529" s="7" t="s">
        <v>1077</v>
      </c>
      <c r="T529" s="7" t="s">
        <v>223</v>
      </c>
      <c r="U529" s="7" t="s">
        <v>148</v>
      </c>
      <c r="V529" s="7" t="s">
        <v>473</v>
      </c>
      <c r="W529" s="7" t="s">
        <v>921</v>
      </c>
      <c r="X529" s="7" t="s">
        <v>1124</v>
      </c>
      <c r="Y529" s="7" t="s">
        <v>841</v>
      </c>
      <c r="Z529" s="7" t="s">
        <v>1078</v>
      </c>
      <c r="AA529" s="7" t="s">
        <v>223</v>
      </c>
      <c r="AB529" s="18" t="n">
        <v>600</v>
      </c>
      <c r="AC529" s="7"/>
      <c r="AD529" s="7"/>
      <c r="AE529" s="7" t="s">
        <v>1126</v>
      </c>
    </row>
    <row r="530" customFormat="false" ht="21.75" hidden="false" customHeight="true" outlineLevel="0" collapsed="false">
      <c r="B530" s="15" t="n">
        <v>526</v>
      </c>
      <c r="C530" s="9" t="s">
        <v>49</v>
      </c>
      <c r="D530" s="9" t="s">
        <v>90</v>
      </c>
      <c r="E530" s="9" t="s">
        <v>87</v>
      </c>
      <c r="F530" s="9" t="s">
        <v>73</v>
      </c>
      <c r="G530" s="9" t="s">
        <v>1127</v>
      </c>
      <c r="H530" s="9" t="s">
        <v>163</v>
      </c>
      <c r="I530" s="9" t="s">
        <v>164</v>
      </c>
      <c r="J530" s="9" t="s">
        <v>203</v>
      </c>
      <c r="K530" s="9" t="s">
        <v>488</v>
      </c>
      <c r="L530" s="9" t="s">
        <v>169</v>
      </c>
      <c r="M530" s="9" t="s">
        <v>116</v>
      </c>
      <c r="N530" s="9" t="s">
        <v>1123</v>
      </c>
      <c r="O530" s="9" t="s">
        <v>1073</v>
      </c>
      <c r="P530" s="9" t="s">
        <v>1074</v>
      </c>
      <c r="Q530" s="9" t="s">
        <v>1075</v>
      </c>
      <c r="R530" s="9" t="s">
        <v>1076</v>
      </c>
      <c r="S530" s="9" t="s">
        <v>1077</v>
      </c>
      <c r="T530" s="9" t="s">
        <v>223</v>
      </c>
      <c r="U530" s="9" t="s">
        <v>148</v>
      </c>
      <c r="V530" s="9" t="s">
        <v>473</v>
      </c>
      <c r="W530" s="9" t="s">
        <v>921</v>
      </c>
      <c r="X530" s="9" t="s">
        <v>1124</v>
      </c>
      <c r="Y530" s="9" t="s">
        <v>841</v>
      </c>
      <c r="Z530" s="9" t="s">
        <v>1078</v>
      </c>
      <c r="AA530" s="9" t="s">
        <v>223</v>
      </c>
      <c r="AB530" s="19" t="n">
        <v>900</v>
      </c>
      <c r="AC530" s="9"/>
      <c r="AD530" s="9"/>
      <c r="AE530" s="9" t="s">
        <v>165</v>
      </c>
    </row>
    <row r="531" customFormat="false" ht="21.75" hidden="false" customHeight="true" outlineLevel="0" collapsed="false">
      <c r="B531" s="14" t="n">
        <v>527</v>
      </c>
      <c r="C531" s="7" t="s">
        <v>49</v>
      </c>
      <c r="D531" s="7" t="s">
        <v>90</v>
      </c>
      <c r="E531" s="7" t="s">
        <v>87</v>
      </c>
      <c r="F531" s="7" t="s">
        <v>73</v>
      </c>
      <c r="G531" s="7" t="s">
        <v>1111</v>
      </c>
      <c r="H531" s="7" t="s">
        <v>163</v>
      </c>
      <c r="I531" s="7" t="s">
        <v>164</v>
      </c>
      <c r="J531" s="7" t="s">
        <v>203</v>
      </c>
      <c r="K531" s="7" t="s">
        <v>488</v>
      </c>
      <c r="L531" s="7" t="s">
        <v>169</v>
      </c>
      <c r="M531" s="7" t="s">
        <v>116</v>
      </c>
      <c r="N531" s="7" t="s">
        <v>1123</v>
      </c>
      <c r="O531" s="7" t="s">
        <v>1073</v>
      </c>
      <c r="P531" s="7" t="s">
        <v>1074</v>
      </c>
      <c r="Q531" s="7" t="s">
        <v>1075</v>
      </c>
      <c r="R531" s="7" t="s">
        <v>1076</v>
      </c>
      <c r="S531" s="7" t="s">
        <v>1077</v>
      </c>
      <c r="T531" s="7" t="s">
        <v>223</v>
      </c>
      <c r="U531" s="7" t="s">
        <v>148</v>
      </c>
      <c r="V531" s="7" t="s">
        <v>473</v>
      </c>
      <c r="W531" s="7" t="s">
        <v>921</v>
      </c>
      <c r="X531" s="7" t="s">
        <v>1124</v>
      </c>
      <c r="Y531" s="7" t="s">
        <v>841</v>
      </c>
      <c r="Z531" s="7" t="s">
        <v>1078</v>
      </c>
      <c r="AA531" s="7" t="s">
        <v>223</v>
      </c>
      <c r="AB531" s="18" t="n">
        <v>1320</v>
      </c>
      <c r="AC531" s="7"/>
      <c r="AD531" s="7"/>
      <c r="AE531" s="7" t="s">
        <v>167</v>
      </c>
    </row>
    <row r="532" customFormat="false" ht="21.75" hidden="false" customHeight="true" outlineLevel="0" collapsed="false">
      <c r="B532" s="15" t="n">
        <v>528</v>
      </c>
      <c r="C532" s="9" t="s">
        <v>49</v>
      </c>
      <c r="D532" s="9" t="s">
        <v>90</v>
      </c>
      <c r="E532" s="9" t="s">
        <v>87</v>
      </c>
      <c r="F532" s="9" t="s">
        <v>74</v>
      </c>
      <c r="G532" s="9" t="s">
        <v>321</v>
      </c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19"/>
      <c r="AC532" s="9"/>
      <c r="AD532" s="9"/>
      <c r="AE532" s="9" t="s">
        <v>1128</v>
      </c>
    </row>
    <row r="533" customFormat="false" ht="21.75" hidden="false" customHeight="true" outlineLevel="0" collapsed="false">
      <c r="B533" s="14" t="n">
        <v>529</v>
      </c>
      <c r="C533" s="7" t="s">
        <v>50</v>
      </c>
      <c r="D533" s="7" t="s">
        <v>24</v>
      </c>
      <c r="E533" s="7" t="s">
        <v>87</v>
      </c>
      <c r="F533" s="7" t="s">
        <v>61</v>
      </c>
      <c r="G533" s="7" t="s">
        <v>1129</v>
      </c>
      <c r="H533" s="7" t="s">
        <v>136</v>
      </c>
      <c r="I533" s="7" t="s">
        <v>137</v>
      </c>
      <c r="J533" s="7" t="s">
        <v>203</v>
      </c>
      <c r="K533" s="7" t="s">
        <v>1130</v>
      </c>
      <c r="L533" s="7" t="s">
        <v>1131</v>
      </c>
      <c r="M533" s="7" t="s">
        <v>281</v>
      </c>
      <c r="N533" s="7" t="s">
        <v>1132</v>
      </c>
      <c r="O533" s="7" t="s">
        <v>1133</v>
      </c>
      <c r="P533" s="7" t="s">
        <v>1134</v>
      </c>
      <c r="Q533" s="7" t="s">
        <v>1135</v>
      </c>
      <c r="R533" s="7" t="s">
        <v>281</v>
      </c>
      <c r="S533" s="7" t="s">
        <v>1136</v>
      </c>
      <c r="T533" s="7" t="s">
        <v>1137</v>
      </c>
      <c r="U533" s="7" t="s">
        <v>148</v>
      </c>
      <c r="V533" s="7" t="s">
        <v>1138</v>
      </c>
      <c r="W533" s="7" t="s">
        <v>921</v>
      </c>
      <c r="X533" s="7" t="s">
        <v>1139</v>
      </c>
      <c r="Y533" s="7" t="s">
        <v>269</v>
      </c>
      <c r="Z533" s="7" t="s">
        <v>461</v>
      </c>
      <c r="AA533" s="7" t="s">
        <v>223</v>
      </c>
      <c r="AB533" s="18" t="n">
        <v>100</v>
      </c>
      <c r="AC533" s="7"/>
      <c r="AD533" s="7"/>
      <c r="AE533" s="7" t="s">
        <v>155</v>
      </c>
    </row>
    <row r="534" customFormat="false" ht="21.75" hidden="false" customHeight="true" outlineLevel="0" collapsed="false">
      <c r="B534" s="15" t="n">
        <v>530</v>
      </c>
      <c r="C534" s="9" t="s">
        <v>50</v>
      </c>
      <c r="D534" s="9" t="s">
        <v>24</v>
      </c>
      <c r="E534" s="9" t="s">
        <v>87</v>
      </c>
      <c r="F534" s="9" t="s">
        <v>61</v>
      </c>
      <c r="G534" s="9" t="s">
        <v>1140</v>
      </c>
      <c r="H534" s="9" t="s">
        <v>157</v>
      </c>
      <c r="I534" s="9" t="s">
        <v>158</v>
      </c>
      <c r="J534" s="9" t="s">
        <v>203</v>
      </c>
      <c r="K534" s="9" t="s">
        <v>1130</v>
      </c>
      <c r="L534" s="9" t="s">
        <v>1131</v>
      </c>
      <c r="M534" s="9" t="s">
        <v>281</v>
      </c>
      <c r="N534" s="9" t="s">
        <v>1132</v>
      </c>
      <c r="O534" s="9" t="s">
        <v>1133</v>
      </c>
      <c r="P534" s="9" t="s">
        <v>1134</v>
      </c>
      <c r="Q534" s="9" t="s">
        <v>1135</v>
      </c>
      <c r="R534" s="9" t="s">
        <v>281</v>
      </c>
      <c r="S534" s="9" t="s">
        <v>1136</v>
      </c>
      <c r="T534" s="9" t="s">
        <v>1137</v>
      </c>
      <c r="U534" s="9" t="s">
        <v>148</v>
      </c>
      <c r="V534" s="9" t="s">
        <v>1138</v>
      </c>
      <c r="W534" s="9" t="s">
        <v>921</v>
      </c>
      <c r="X534" s="9" t="s">
        <v>1139</v>
      </c>
      <c r="Y534" s="9" t="s">
        <v>269</v>
      </c>
      <c r="Z534" s="9" t="s">
        <v>461</v>
      </c>
      <c r="AA534" s="9" t="s">
        <v>223</v>
      </c>
      <c r="AB534" s="19" t="n">
        <v>150</v>
      </c>
      <c r="AC534" s="9"/>
      <c r="AD534" s="9"/>
      <c r="AE534" s="9" t="s">
        <v>159</v>
      </c>
    </row>
    <row r="535" customFormat="false" ht="21.75" hidden="false" customHeight="true" outlineLevel="0" collapsed="false">
      <c r="B535" s="14" t="n">
        <v>531</v>
      </c>
      <c r="C535" s="7" t="s">
        <v>50</v>
      </c>
      <c r="D535" s="7" t="s">
        <v>24</v>
      </c>
      <c r="E535" s="7" t="s">
        <v>87</v>
      </c>
      <c r="F535" s="7" t="s">
        <v>61</v>
      </c>
      <c r="G535" s="7" t="s">
        <v>1141</v>
      </c>
      <c r="H535" s="7" t="s">
        <v>157</v>
      </c>
      <c r="I535" s="7" t="s">
        <v>158</v>
      </c>
      <c r="J535" s="7" t="s">
        <v>203</v>
      </c>
      <c r="K535" s="7" t="s">
        <v>1130</v>
      </c>
      <c r="L535" s="7" t="s">
        <v>1131</v>
      </c>
      <c r="M535" s="7" t="s">
        <v>281</v>
      </c>
      <c r="N535" s="7" t="s">
        <v>1132</v>
      </c>
      <c r="O535" s="7" t="s">
        <v>1133</v>
      </c>
      <c r="P535" s="7" t="s">
        <v>1134</v>
      </c>
      <c r="Q535" s="7" t="s">
        <v>1135</v>
      </c>
      <c r="R535" s="7" t="s">
        <v>281</v>
      </c>
      <c r="S535" s="7" t="s">
        <v>1136</v>
      </c>
      <c r="T535" s="7" t="s">
        <v>1137</v>
      </c>
      <c r="U535" s="7" t="s">
        <v>148</v>
      </c>
      <c r="V535" s="7" t="s">
        <v>1138</v>
      </c>
      <c r="W535" s="7" t="s">
        <v>921</v>
      </c>
      <c r="X535" s="7" t="s">
        <v>1139</v>
      </c>
      <c r="Y535" s="7" t="s">
        <v>269</v>
      </c>
      <c r="Z535" s="7" t="s">
        <v>461</v>
      </c>
      <c r="AA535" s="7" t="s">
        <v>223</v>
      </c>
      <c r="AB535" s="18" t="n">
        <v>200</v>
      </c>
      <c r="AC535" s="7"/>
      <c r="AD535" s="7"/>
      <c r="AE535" s="7" t="s">
        <v>1142</v>
      </c>
    </row>
    <row r="536" customFormat="false" ht="21.75" hidden="false" customHeight="true" outlineLevel="0" collapsed="false">
      <c r="B536" s="15" t="n">
        <v>532</v>
      </c>
      <c r="C536" s="9" t="s">
        <v>50</v>
      </c>
      <c r="D536" s="9" t="s">
        <v>24</v>
      </c>
      <c r="E536" s="9" t="s">
        <v>87</v>
      </c>
      <c r="F536" s="9" t="s">
        <v>61</v>
      </c>
      <c r="G536" s="9" t="s">
        <v>1143</v>
      </c>
      <c r="H536" s="9" t="s">
        <v>163</v>
      </c>
      <c r="I536" s="9" t="s">
        <v>164</v>
      </c>
      <c r="J536" s="9" t="s">
        <v>203</v>
      </c>
      <c r="K536" s="9" t="s">
        <v>1130</v>
      </c>
      <c r="L536" s="9" t="s">
        <v>1131</v>
      </c>
      <c r="M536" s="9" t="s">
        <v>281</v>
      </c>
      <c r="N536" s="9" t="s">
        <v>1132</v>
      </c>
      <c r="O536" s="9" t="s">
        <v>1133</v>
      </c>
      <c r="P536" s="9" t="s">
        <v>1134</v>
      </c>
      <c r="Q536" s="9" t="s">
        <v>1135</v>
      </c>
      <c r="R536" s="9" t="s">
        <v>281</v>
      </c>
      <c r="S536" s="9" t="s">
        <v>1136</v>
      </c>
      <c r="T536" s="9" t="s">
        <v>1137</v>
      </c>
      <c r="U536" s="9" t="s">
        <v>148</v>
      </c>
      <c r="V536" s="9" t="s">
        <v>1138</v>
      </c>
      <c r="W536" s="9" t="s">
        <v>921</v>
      </c>
      <c r="X536" s="9" t="s">
        <v>1139</v>
      </c>
      <c r="Y536" s="9" t="s">
        <v>269</v>
      </c>
      <c r="Z536" s="9" t="s">
        <v>461</v>
      </c>
      <c r="AA536" s="9" t="s">
        <v>223</v>
      </c>
      <c r="AB536" s="19" t="n">
        <v>300</v>
      </c>
      <c r="AC536" s="9"/>
      <c r="AD536" s="9"/>
      <c r="AE536" s="9" t="s">
        <v>165</v>
      </c>
    </row>
    <row r="537" customFormat="false" ht="21.75" hidden="false" customHeight="true" outlineLevel="0" collapsed="false">
      <c r="B537" s="14" t="n">
        <v>533</v>
      </c>
      <c r="C537" s="7" t="s">
        <v>50</v>
      </c>
      <c r="D537" s="7" t="s">
        <v>24</v>
      </c>
      <c r="E537" s="7" t="s">
        <v>87</v>
      </c>
      <c r="F537" s="7" t="s">
        <v>61</v>
      </c>
      <c r="G537" s="7" t="s">
        <v>1144</v>
      </c>
      <c r="H537" s="7" t="s">
        <v>163</v>
      </c>
      <c r="I537" s="7" t="s">
        <v>164</v>
      </c>
      <c r="J537" s="7" t="s">
        <v>203</v>
      </c>
      <c r="K537" s="7" t="s">
        <v>1130</v>
      </c>
      <c r="L537" s="7" t="s">
        <v>1131</v>
      </c>
      <c r="M537" s="7" t="s">
        <v>281</v>
      </c>
      <c r="N537" s="7" t="s">
        <v>1132</v>
      </c>
      <c r="O537" s="7" t="s">
        <v>1133</v>
      </c>
      <c r="P537" s="7" t="s">
        <v>1134</v>
      </c>
      <c r="Q537" s="7" t="s">
        <v>1135</v>
      </c>
      <c r="R537" s="7" t="s">
        <v>281</v>
      </c>
      <c r="S537" s="7" t="s">
        <v>1136</v>
      </c>
      <c r="T537" s="7" t="s">
        <v>1137</v>
      </c>
      <c r="U537" s="7" t="s">
        <v>148</v>
      </c>
      <c r="V537" s="7" t="s">
        <v>1138</v>
      </c>
      <c r="W537" s="7" t="s">
        <v>921</v>
      </c>
      <c r="X537" s="7" t="s">
        <v>1139</v>
      </c>
      <c r="Y537" s="7" t="s">
        <v>269</v>
      </c>
      <c r="Z537" s="7" t="s">
        <v>461</v>
      </c>
      <c r="AA537" s="7" t="s">
        <v>223</v>
      </c>
      <c r="AB537" s="18" t="n">
        <v>440</v>
      </c>
      <c r="AC537" s="7"/>
      <c r="AD537" s="7"/>
      <c r="AE537" s="7" t="s">
        <v>167</v>
      </c>
    </row>
    <row r="538" customFormat="false" ht="21.75" hidden="false" customHeight="true" outlineLevel="0" collapsed="false">
      <c r="B538" s="15" t="n">
        <v>534</v>
      </c>
      <c r="C538" s="9" t="s">
        <v>50</v>
      </c>
      <c r="D538" s="9" t="s">
        <v>24</v>
      </c>
      <c r="E538" s="9" t="s">
        <v>87</v>
      </c>
      <c r="F538" s="9" t="s">
        <v>62</v>
      </c>
      <c r="G538" s="9" t="s">
        <v>1140</v>
      </c>
      <c r="H538" s="9" t="s">
        <v>136</v>
      </c>
      <c r="I538" s="9" t="s">
        <v>137</v>
      </c>
      <c r="J538" s="9" t="s">
        <v>203</v>
      </c>
      <c r="K538" s="9" t="s">
        <v>1130</v>
      </c>
      <c r="L538" s="9" t="s">
        <v>1131</v>
      </c>
      <c r="M538" s="9" t="s">
        <v>281</v>
      </c>
      <c r="N538" s="9" t="s">
        <v>1132</v>
      </c>
      <c r="O538" s="9" t="s">
        <v>1133</v>
      </c>
      <c r="P538" s="9" t="s">
        <v>1134</v>
      </c>
      <c r="Q538" s="9" t="s">
        <v>1135</v>
      </c>
      <c r="R538" s="9" t="s">
        <v>281</v>
      </c>
      <c r="S538" s="9" t="s">
        <v>1136</v>
      </c>
      <c r="T538" s="9" t="s">
        <v>1137</v>
      </c>
      <c r="U538" s="9" t="s">
        <v>148</v>
      </c>
      <c r="V538" s="9" t="s">
        <v>1138</v>
      </c>
      <c r="W538" s="9" t="s">
        <v>921</v>
      </c>
      <c r="X538" s="9" t="s">
        <v>1139</v>
      </c>
      <c r="Y538" s="9" t="s">
        <v>269</v>
      </c>
      <c r="Z538" s="9" t="s">
        <v>461</v>
      </c>
      <c r="AA538" s="9" t="s">
        <v>223</v>
      </c>
      <c r="AB538" s="19" t="n">
        <v>100</v>
      </c>
      <c r="AC538" s="9"/>
      <c r="AD538" s="9"/>
      <c r="AE538" s="9" t="s">
        <v>155</v>
      </c>
    </row>
    <row r="539" customFormat="false" ht="21.75" hidden="false" customHeight="true" outlineLevel="0" collapsed="false">
      <c r="B539" s="14" t="n">
        <v>535</v>
      </c>
      <c r="C539" s="7" t="s">
        <v>50</v>
      </c>
      <c r="D539" s="7" t="s">
        <v>24</v>
      </c>
      <c r="E539" s="7" t="s">
        <v>87</v>
      </c>
      <c r="F539" s="7" t="s">
        <v>62</v>
      </c>
      <c r="G539" s="7" t="s">
        <v>1145</v>
      </c>
      <c r="H539" s="7" t="s">
        <v>157</v>
      </c>
      <c r="I539" s="7" t="s">
        <v>158</v>
      </c>
      <c r="J539" s="7" t="s">
        <v>203</v>
      </c>
      <c r="K539" s="7" t="s">
        <v>1130</v>
      </c>
      <c r="L539" s="7" t="s">
        <v>1131</v>
      </c>
      <c r="M539" s="7" t="s">
        <v>281</v>
      </c>
      <c r="N539" s="7" t="s">
        <v>1132</v>
      </c>
      <c r="O539" s="7" t="s">
        <v>1133</v>
      </c>
      <c r="P539" s="7" t="s">
        <v>1134</v>
      </c>
      <c r="Q539" s="7" t="s">
        <v>1135</v>
      </c>
      <c r="R539" s="7" t="s">
        <v>281</v>
      </c>
      <c r="S539" s="7" t="s">
        <v>1136</v>
      </c>
      <c r="T539" s="7" t="s">
        <v>1137</v>
      </c>
      <c r="U539" s="7" t="s">
        <v>148</v>
      </c>
      <c r="V539" s="7" t="s">
        <v>1138</v>
      </c>
      <c r="W539" s="7" t="s">
        <v>921</v>
      </c>
      <c r="X539" s="7" t="s">
        <v>1139</v>
      </c>
      <c r="Y539" s="7" t="s">
        <v>269</v>
      </c>
      <c r="Z539" s="7" t="s">
        <v>461</v>
      </c>
      <c r="AA539" s="7" t="s">
        <v>223</v>
      </c>
      <c r="AB539" s="18" t="n">
        <v>150</v>
      </c>
      <c r="AC539" s="7"/>
      <c r="AD539" s="7"/>
      <c r="AE539" s="7" t="s">
        <v>159</v>
      </c>
    </row>
    <row r="540" customFormat="false" ht="21.75" hidden="false" customHeight="true" outlineLevel="0" collapsed="false">
      <c r="B540" s="15" t="n">
        <v>536</v>
      </c>
      <c r="C540" s="9" t="s">
        <v>50</v>
      </c>
      <c r="D540" s="9" t="s">
        <v>24</v>
      </c>
      <c r="E540" s="9" t="s">
        <v>87</v>
      </c>
      <c r="F540" s="9" t="s">
        <v>62</v>
      </c>
      <c r="G540" s="9" t="s">
        <v>1141</v>
      </c>
      <c r="H540" s="9" t="s">
        <v>157</v>
      </c>
      <c r="I540" s="9" t="s">
        <v>158</v>
      </c>
      <c r="J540" s="9" t="s">
        <v>203</v>
      </c>
      <c r="K540" s="9" t="s">
        <v>1130</v>
      </c>
      <c r="L540" s="9" t="s">
        <v>1131</v>
      </c>
      <c r="M540" s="9" t="s">
        <v>281</v>
      </c>
      <c r="N540" s="9" t="s">
        <v>1132</v>
      </c>
      <c r="O540" s="9" t="s">
        <v>1133</v>
      </c>
      <c r="P540" s="9" t="s">
        <v>1134</v>
      </c>
      <c r="Q540" s="9" t="s">
        <v>1135</v>
      </c>
      <c r="R540" s="9" t="s">
        <v>281</v>
      </c>
      <c r="S540" s="9" t="s">
        <v>1136</v>
      </c>
      <c r="T540" s="9" t="s">
        <v>1137</v>
      </c>
      <c r="U540" s="9" t="s">
        <v>148</v>
      </c>
      <c r="V540" s="9" t="s">
        <v>1138</v>
      </c>
      <c r="W540" s="9" t="s">
        <v>921</v>
      </c>
      <c r="X540" s="9" t="s">
        <v>1139</v>
      </c>
      <c r="Y540" s="9" t="s">
        <v>269</v>
      </c>
      <c r="Z540" s="9" t="s">
        <v>461</v>
      </c>
      <c r="AA540" s="9" t="s">
        <v>223</v>
      </c>
      <c r="AB540" s="19" t="n">
        <v>200</v>
      </c>
      <c r="AC540" s="9"/>
      <c r="AD540" s="9"/>
      <c r="AE540" s="9" t="s">
        <v>1146</v>
      </c>
    </row>
    <row r="541" customFormat="false" ht="21.75" hidden="false" customHeight="true" outlineLevel="0" collapsed="false">
      <c r="B541" s="14" t="n">
        <v>537</v>
      </c>
      <c r="C541" s="7" t="s">
        <v>50</v>
      </c>
      <c r="D541" s="7" t="s">
        <v>24</v>
      </c>
      <c r="E541" s="7" t="s">
        <v>87</v>
      </c>
      <c r="F541" s="7" t="s">
        <v>62</v>
      </c>
      <c r="G541" s="7" t="s">
        <v>1143</v>
      </c>
      <c r="H541" s="7" t="s">
        <v>163</v>
      </c>
      <c r="I541" s="7" t="s">
        <v>164</v>
      </c>
      <c r="J541" s="7" t="s">
        <v>203</v>
      </c>
      <c r="K541" s="7" t="s">
        <v>1130</v>
      </c>
      <c r="L541" s="7" t="s">
        <v>1131</v>
      </c>
      <c r="M541" s="7" t="s">
        <v>281</v>
      </c>
      <c r="N541" s="7" t="s">
        <v>1132</v>
      </c>
      <c r="O541" s="7" t="s">
        <v>1133</v>
      </c>
      <c r="P541" s="7" t="s">
        <v>1134</v>
      </c>
      <c r="Q541" s="7" t="s">
        <v>1135</v>
      </c>
      <c r="R541" s="7" t="s">
        <v>281</v>
      </c>
      <c r="S541" s="7" t="s">
        <v>1136</v>
      </c>
      <c r="T541" s="7" t="s">
        <v>1137</v>
      </c>
      <c r="U541" s="7" t="s">
        <v>148</v>
      </c>
      <c r="V541" s="7" t="s">
        <v>1138</v>
      </c>
      <c r="W541" s="7" t="s">
        <v>921</v>
      </c>
      <c r="X541" s="7" t="s">
        <v>1139</v>
      </c>
      <c r="Y541" s="7" t="s">
        <v>269</v>
      </c>
      <c r="Z541" s="7" t="s">
        <v>461</v>
      </c>
      <c r="AA541" s="7" t="s">
        <v>223</v>
      </c>
      <c r="AB541" s="18" t="n">
        <v>300</v>
      </c>
      <c r="AC541" s="7"/>
      <c r="AD541" s="7"/>
      <c r="AE541" s="7" t="s">
        <v>165</v>
      </c>
    </row>
    <row r="542" customFormat="false" ht="21.75" hidden="false" customHeight="true" outlineLevel="0" collapsed="false">
      <c r="B542" s="15" t="n">
        <v>538</v>
      </c>
      <c r="C542" s="9" t="s">
        <v>50</v>
      </c>
      <c r="D542" s="9" t="s">
        <v>24</v>
      </c>
      <c r="E542" s="9" t="s">
        <v>87</v>
      </c>
      <c r="F542" s="9" t="s">
        <v>62</v>
      </c>
      <c r="G542" s="9" t="s">
        <v>1144</v>
      </c>
      <c r="H542" s="9" t="s">
        <v>163</v>
      </c>
      <c r="I542" s="9" t="s">
        <v>164</v>
      </c>
      <c r="J542" s="9" t="s">
        <v>203</v>
      </c>
      <c r="K542" s="9" t="s">
        <v>1130</v>
      </c>
      <c r="L542" s="9" t="s">
        <v>1131</v>
      </c>
      <c r="M542" s="9" t="s">
        <v>281</v>
      </c>
      <c r="N542" s="9" t="s">
        <v>1132</v>
      </c>
      <c r="O542" s="9" t="s">
        <v>1133</v>
      </c>
      <c r="P542" s="9" t="s">
        <v>1134</v>
      </c>
      <c r="Q542" s="9" t="s">
        <v>1135</v>
      </c>
      <c r="R542" s="9" t="s">
        <v>281</v>
      </c>
      <c r="S542" s="9" t="s">
        <v>1136</v>
      </c>
      <c r="T542" s="9" t="s">
        <v>1137</v>
      </c>
      <c r="U542" s="9" t="s">
        <v>148</v>
      </c>
      <c r="V542" s="9" t="s">
        <v>1138</v>
      </c>
      <c r="W542" s="9" t="s">
        <v>921</v>
      </c>
      <c r="X542" s="9" t="s">
        <v>1139</v>
      </c>
      <c r="Y542" s="9" t="s">
        <v>269</v>
      </c>
      <c r="Z542" s="9" t="s">
        <v>461</v>
      </c>
      <c r="AA542" s="9" t="s">
        <v>223</v>
      </c>
      <c r="AB542" s="19" t="n">
        <v>440</v>
      </c>
      <c r="AC542" s="9"/>
      <c r="AD542" s="9"/>
      <c r="AE542" s="9" t="s">
        <v>167</v>
      </c>
    </row>
    <row r="543" customFormat="false" ht="21.75" hidden="false" customHeight="true" outlineLevel="0" collapsed="false">
      <c r="B543" s="14" t="n">
        <v>539</v>
      </c>
      <c r="C543" s="7" t="s">
        <v>50</v>
      </c>
      <c r="D543" s="7" t="s">
        <v>24</v>
      </c>
      <c r="E543" s="7" t="s">
        <v>87</v>
      </c>
      <c r="F543" s="7" t="s">
        <v>63</v>
      </c>
      <c r="G543" s="7" t="s">
        <v>1147</v>
      </c>
      <c r="H543" s="7" t="s">
        <v>136</v>
      </c>
      <c r="I543" s="7" t="s">
        <v>137</v>
      </c>
      <c r="J543" s="7" t="s">
        <v>203</v>
      </c>
      <c r="K543" s="7" t="s">
        <v>1130</v>
      </c>
      <c r="L543" s="7" t="s">
        <v>482</v>
      </c>
      <c r="M543" s="7" t="s">
        <v>281</v>
      </c>
      <c r="N543" s="7" t="s">
        <v>1148</v>
      </c>
      <c r="O543" s="7" t="s">
        <v>1133</v>
      </c>
      <c r="P543" s="7" t="s">
        <v>1134</v>
      </c>
      <c r="Q543" s="7" t="s">
        <v>1135</v>
      </c>
      <c r="R543" s="7" t="s">
        <v>281</v>
      </c>
      <c r="S543" s="7" t="s">
        <v>1136</v>
      </c>
      <c r="T543" s="7" t="s">
        <v>356</v>
      </c>
      <c r="U543" s="7" t="s">
        <v>148</v>
      </c>
      <c r="V543" s="7" t="s">
        <v>1138</v>
      </c>
      <c r="W543" s="7" t="s">
        <v>921</v>
      </c>
      <c r="X543" s="7" t="s">
        <v>1149</v>
      </c>
      <c r="Y543" s="7" t="s">
        <v>1150</v>
      </c>
      <c r="Z543" s="7" t="s">
        <v>461</v>
      </c>
      <c r="AA543" s="7" t="s">
        <v>183</v>
      </c>
      <c r="AB543" s="18" t="n">
        <v>100</v>
      </c>
      <c r="AC543" s="7"/>
      <c r="AD543" s="7"/>
      <c r="AE543" s="7" t="s">
        <v>155</v>
      </c>
    </row>
    <row r="544" customFormat="false" ht="21.75" hidden="false" customHeight="true" outlineLevel="0" collapsed="false">
      <c r="B544" s="15" t="n">
        <v>540</v>
      </c>
      <c r="C544" s="9" t="s">
        <v>50</v>
      </c>
      <c r="D544" s="9" t="s">
        <v>24</v>
      </c>
      <c r="E544" s="9" t="s">
        <v>87</v>
      </c>
      <c r="F544" s="9" t="s">
        <v>63</v>
      </c>
      <c r="G544" s="9" t="s">
        <v>1151</v>
      </c>
      <c r="H544" s="9" t="s">
        <v>157</v>
      </c>
      <c r="I544" s="9" t="s">
        <v>158</v>
      </c>
      <c r="J544" s="9" t="s">
        <v>203</v>
      </c>
      <c r="K544" s="9" t="s">
        <v>1130</v>
      </c>
      <c r="L544" s="9" t="s">
        <v>482</v>
      </c>
      <c r="M544" s="9" t="s">
        <v>281</v>
      </c>
      <c r="N544" s="9" t="s">
        <v>1148</v>
      </c>
      <c r="O544" s="9" t="s">
        <v>1133</v>
      </c>
      <c r="P544" s="9" t="s">
        <v>1134</v>
      </c>
      <c r="Q544" s="9" t="s">
        <v>1135</v>
      </c>
      <c r="R544" s="9" t="s">
        <v>281</v>
      </c>
      <c r="S544" s="9" t="s">
        <v>1136</v>
      </c>
      <c r="T544" s="9" t="s">
        <v>356</v>
      </c>
      <c r="U544" s="9" t="s">
        <v>148</v>
      </c>
      <c r="V544" s="9" t="s">
        <v>1138</v>
      </c>
      <c r="W544" s="9" t="s">
        <v>921</v>
      </c>
      <c r="X544" s="9" t="s">
        <v>1149</v>
      </c>
      <c r="Y544" s="9" t="s">
        <v>1150</v>
      </c>
      <c r="Z544" s="9" t="s">
        <v>461</v>
      </c>
      <c r="AA544" s="9" t="s">
        <v>183</v>
      </c>
      <c r="AB544" s="19" t="n">
        <v>150</v>
      </c>
      <c r="AC544" s="9"/>
      <c r="AD544" s="9"/>
      <c r="AE544" s="9" t="s">
        <v>159</v>
      </c>
    </row>
    <row r="545" customFormat="false" ht="21.75" hidden="false" customHeight="true" outlineLevel="0" collapsed="false">
      <c r="B545" s="14" t="n">
        <v>541</v>
      </c>
      <c r="C545" s="7" t="s">
        <v>50</v>
      </c>
      <c r="D545" s="7" t="s">
        <v>24</v>
      </c>
      <c r="E545" s="7" t="s">
        <v>87</v>
      </c>
      <c r="F545" s="7" t="s">
        <v>63</v>
      </c>
      <c r="G545" s="7" t="s">
        <v>1152</v>
      </c>
      <c r="H545" s="7" t="s">
        <v>157</v>
      </c>
      <c r="I545" s="7" t="s">
        <v>158</v>
      </c>
      <c r="J545" s="7" t="s">
        <v>203</v>
      </c>
      <c r="K545" s="7" t="s">
        <v>1130</v>
      </c>
      <c r="L545" s="7" t="s">
        <v>482</v>
      </c>
      <c r="M545" s="7" t="s">
        <v>281</v>
      </c>
      <c r="N545" s="7" t="s">
        <v>1148</v>
      </c>
      <c r="O545" s="7" t="s">
        <v>1133</v>
      </c>
      <c r="P545" s="7" t="s">
        <v>1134</v>
      </c>
      <c r="Q545" s="7" t="s">
        <v>1135</v>
      </c>
      <c r="R545" s="7" t="s">
        <v>281</v>
      </c>
      <c r="S545" s="7" t="s">
        <v>1136</v>
      </c>
      <c r="T545" s="7" t="s">
        <v>356</v>
      </c>
      <c r="U545" s="7" t="s">
        <v>148</v>
      </c>
      <c r="V545" s="7" t="s">
        <v>1138</v>
      </c>
      <c r="W545" s="7" t="s">
        <v>921</v>
      </c>
      <c r="X545" s="7" t="s">
        <v>1149</v>
      </c>
      <c r="Y545" s="7" t="s">
        <v>1150</v>
      </c>
      <c r="Z545" s="7" t="s">
        <v>461</v>
      </c>
      <c r="AA545" s="7" t="s">
        <v>183</v>
      </c>
      <c r="AB545" s="18" t="n">
        <v>200</v>
      </c>
      <c r="AC545" s="7"/>
      <c r="AD545" s="7"/>
      <c r="AE545" s="7" t="s">
        <v>1153</v>
      </c>
    </row>
    <row r="546" customFormat="false" ht="21.75" hidden="false" customHeight="true" outlineLevel="0" collapsed="false">
      <c r="B546" s="15" t="n">
        <v>542</v>
      </c>
      <c r="C546" s="9" t="s">
        <v>50</v>
      </c>
      <c r="D546" s="9" t="s">
        <v>24</v>
      </c>
      <c r="E546" s="9" t="s">
        <v>87</v>
      </c>
      <c r="F546" s="9" t="s">
        <v>63</v>
      </c>
      <c r="G546" s="9" t="s">
        <v>1154</v>
      </c>
      <c r="H546" s="9" t="s">
        <v>163</v>
      </c>
      <c r="I546" s="9" t="s">
        <v>164</v>
      </c>
      <c r="J546" s="9" t="s">
        <v>203</v>
      </c>
      <c r="K546" s="9" t="s">
        <v>1130</v>
      </c>
      <c r="L546" s="9" t="s">
        <v>482</v>
      </c>
      <c r="M546" s="9" t="s">
        <v>281</v>
      </c>
      <c r="N546" s="9" t="s">
        <v>1148</v>
      </c>
      <c r="O546" s="9" t="s">
        <v>1133</v>
      </c>
      <c r="P546" s="9" t="s">
        <v>1134</v>
      </c>
      <c r="Q546" s="9" t="s">
        <v>1135</v>
      </c>
      <c r="R546" s="9" t="s">
        <v>281</v>
      </c>
      <c r="S546" s="9" t="s">
        <v>1136</v>
      </c>
      <c r="T546" s="9" t="s">
        <v>356</v>
      </c>
      <c r="U546" s="9" t="s">
        <v>148</v>
      </c>
      <c r="V546" s="9" t="s">
        <v>1138</v>
      </c>
      <c r="W546" s="9" t="s">
        <v>921</v>
      </c>
      <c r="X546" s="9" t="s">
        <v>1149</v>
      </c>
      <c r="Y546" s="9" t="s">
        <v>1150</v>
      </c>
      <c r="Z546" s="9" t="s">
        <v>461</v>
      </c>
      <c r="AA546" s="9" t="s">
        <v>183</v>
      </c>
      <c r="AB546" s="19" t="n">
        <v>300</v>
      </c>
      <c r="AC546" s="9"/>
      <c r="AD546" s="9"/>
      <c r="AE546" s="9" t="s">
        <v>165</v>
      </c>
    </row>
    <row r="547" customFormat="false" ht="21.75" hidden="false" customHeight="true" outlineLevel="0" collapsed="false">
      <c r="B547" s="14" t="n">
        <v>543</v>
      </c>
      <c r="C547" s="7" t="s">
        <v>50</v>
      </c>
      <c r="D547" s="7" t="s">
        <v>24</v>
      </c>
      <c r="E547" s="7" t="s">
        <v>87</v>
      </c>
      <c r="F547" s="7" t="s">
        <v>63</v>
      </c>
      <c r="G547" s="7" t="s">
        <v>1155</v>
      </c>
      <c r="H547" s="7" t="s">
        <v>163</v>
      </c>
      <c r="I547" s="7" t="s">
        <v>164</v>
      </c>
      <c r="J547" s="7" t="s">
        <v>203</v>
      </c>
      <c r="K547" s="7" t="s">
        <v>1130</v>
      </c>
      <c r="L547" s="7" t="s">
        <v>482</v>
      </c>
      <c r="M547" s="7" t="s">
        <v>281</v>
      </c>
      <c r="N547" s="7" t="s">
        <v>1148</v>
      </c>
      <c r="O547" s="7" t="s">
        <v>1133</v>
      </c>
      <c r="P547" s="7" t="s">
        <v>1134</v>
      </c>
      <c r="Q547" s="7" t="s">
        <v>1135</v>
      </c>
      <c r="R547" s="7" t="s">
        <v>281</v>
      </c>
      <c r="S547" s="7" t="s">
        <v>1136</v>
      </c>
      <c r="T547" s="7" t="s">
        <v>356</v>
      </c>
      <c r="U547" s="7" t="s">
        <v>148</v>
      </c>
      <c r="V547" s="7" t="s">
        <v>1138</v>
      </c>
      <c r="W547" s="7" t="s">
        <v>921</v>
      </c>
      <c r="X547" s="7" t="s">
        <v>1149</v>
      </c>
      <c r="Y547" s="7" t="s">
        <v>1150</v>
      </c>
      <c r="Z547" s="7" t="s">
        <v>461</v>
      </c>
      <c r="AA547" s="7" t="s">
        <v>183</v>
      </c>
      <c r="AB547" s="18" t="n">
        <v>440</v>
      </c>
      <c r="AC547" s="7"/>
      <c r="AD547" s="7"/>
      <c r="AE547" s="7" t="s">
        <v>167</v>
      </c>
    </row>
    <row r="548" customFormat="false" ht="21.75" hidden="false" customHeight="true" outlineLevel="0" collapsed="false">
      <c r="B548" s="15" t="n">
        <v>544</v>
      </c>
      <c r="C548" s="9" t="s">
        <v>50</v>
      </c>
      <c r="D548" s="9" t="s">
        <v>24</v>
      </c>
      <c r="E548" s="9" t="s">
        <v>87</v>
      </c>
      <c r="F548" s="9" t="s">
        <v>64</v>
      </c>
      <c r="G548" s="9" t="s">
        <v>1156</v>
      </c>
      <c r="H548" s="9" t="s">
        <v>136</v>
      </c>
      <c r="I548" s="9" t="s">
        <v>137</v>
      </c>
      <c r="J548" s="9" t="s">
        <v>203</v>
      </c>
      <c r="K548" s="9" t="s">
        <v>1157</v>
      </c>
      <c r="L548" s="9" t="s">
        <v>705</v>
      </c>
      <c r="M548" s="9" t="s">
        <v>281</v>
      </c>
      <c r="N548" s="9" t="s">
        <v>379</v>
      </c>
      <c r="O548" s="9" t="s">
        <v>1133</v>
      </c>
      <c r="P548" s="9" t="s">
        <v>1134</v>
      </c>
      <c r="Q548" s="9" t="s">
        <v>1135</v>
      </c>
      <c r="R548" s="9" t="s">
        <v>281</v>
      </c>
      <c r="S548" s="9" t="s">
        <v>1136</v>
      </c>
      <c r="T548" s="9" t="s">
        <v>356</v>
      </c>
      <c r="U548" s="9" t="s">
        <v>194</v>
      </c>
      <c r="V548" s="9" t="s">
        <v>208</v>
      </c>
      <c r="W548" s="9" t="s">
        <v>921</v>
      </c>
      <c r="X548" s="9" t="s">
        <v>1158</v>
      </c>
      <c r="Y548" s="9" t="s">
        <v>976</v>
      </c>
      <c r="Z548" s="9" t="s">
        <v>461</v>
      </c>
      <c r="AA548" s="9" t="s">
        <v>183</v>
      </c>
      <c r="AB548" s="19" t="n">
        <v>350</v>
      </c>
      <c r="AC548" s="9"/>
      <c r="AD548" s="9"/>
      <c r="AE548" s="9" t="s">
        <v>155</v>
      </c>
    </row>
    <row r="549" customFormat="false" ht="21.75" hidden="false" customHeight="true" outlineLevel="0" collapsed="false">
      <c r="B549" s="14" t="n">
        <v>545</v>
      </c>
      <c r="C549" s="7" t="s">
        <v>50</v>
      </c>
      <c r="D549" s="7" t="s">
        <v>24</v>
      </c>
      <c r="E549" s="7" t="s">
        <v>87</v>
      </c>
      <c r="F549" s="7" t="s">
        <v>64</v>
      </c>
      <c r="G549" s="7" t="s">
        <v>1159</v>
      </c>
      <c r="H549" s="7" t="s">
        <v>136</v>
      </c>
      <c r="I549" s="7" t="s">
        <v>137</v>
      </c>
      <c r="J549" s="7" t="s">
        <v>203</v>
      </c>
      <c r="K549" s="7" t="s">
        <v>1157</v>
      </c>
      <c r="L549" s="7" t="s">
        <v>705</v>
      </c>
      <c r="M549" s="7" t="s">
        <v>281</v>
      </c>
      <c r="N549" s="7" t="s">
        <v>379</v>
      </c>
      <c r="O549" s="7" t="s">
        <v>1133</v>
      </c>
      <c r="P549" s="7" t="s">
        <v>1134</v>
      </c>
      <c r="Q549" s="7" t="s">
        <v>1135</v>
      </c>
      <c r="R549" s="7" t="s">
        <v>281</v>
      </c>
      <c r="S549" s="7" t="s">
        <v>1136</v>
      </c>
      <c r="T549" s="7" t="s">
        <v>356</v>
      </c>
      <c r="U549" s="7" t="s">
        <v>194</v>
      </c>
      <c r="V549" s="7" t="s">
        <v>208</v>
      </c>
      <c r="W549" s="7" t="s">
        <v>921</v>
      </c>
      <c r="X549" s="7" t="s">
        <v>1158</v>
      </c>
      <c r="Y549" s="7" t="s">
        <v>976</v>
      </c>
      <c r="Z549" s="7" t="s">
        <v>461</v>
      </c>
      <c r="AA549" s="7" t="s">
        <v>183</v>
      </c>
      <c r="AB549" s="18" t="n">
        <v>525</v>
      </c>
      <c r="AC549" s="7"/>
      <c r="AD549" s="7"/>
      <c r="AE549" s="7" t="s">
        <v>159</v>
      </c>
    </row>
    <row r="550" customFormat="false" ht="21.75" hidden="false" customHeight="true" outlineLevel="0" collapsed="false">
      <c r="B550" s="15" t="n">
        <v>546</v>
      </c>
      <c r="C550" s="9" t="s">
        <v>50</v>
      </c>
      <c r="D550" s="9" t="s">
        <v>24</v>
      </c>
      <c r="E550" s="9" t="s">
        <v>87</v>
      </c>
      <c r="F550" s="9" t="s">
        <v>64</v>
      </c>
      <c r="G550" s="9" t="s">
        <v>1160</v>
      </c>
      <c r="H550" s="9" t="s">
        <v>157</v>
      </c>
      <c r="I550" s="9" t="s">
        <v>158</v>
      </c>
      <c r="J550" s="9" t="s">
        <v>203</v>
      </c>
      <c r="K550" s="9" t="s">
        <v>1157</v>
      </c>
      <c r="L550" s="9" t="s">
        <v>705</v>
      </c>
      <c r="M550" s="9" t="s">
        <v>281</v>
      </c>
      <c r="N550" s="9" t="s">
        <v>379</v>
      </c>
      <c r="O550" s="9" t="s">
        <v>1133</v>
      </c>
      <c r="P550" s="9" t="s">
        <v>1134</v>
      </c>
      <c r="Q550" s="9" t="s">
        <v>1135</v>
      </c>
      <c r="R550" s="9" t="s">
        <v>281</v>
      </c>
      <c r="S550" s="9" t="s">
        <v>1136</v>
      </c>
      <c r="T550" s="9" t="s">
        <v>356</v>
      </c>
      <c r="U550" s="9" t="s">
        <v>194</v>
      </c>
      <c r="V550" s="9" t="s">
        <v>208</v>
      </c>
      <c r="W550" s="9" t="s">
        <v>921</v>
      </c>
      <c r="X550" s="9" t="s">
        <v>1158</v>
      </c>
      <c r="Y550" s="9" t="s">
        <v>976</v>
      </c>
      <c r="Z550" s="9" t="s">
        <v>461</v>
      </c>
      <c r="AA550" s="9" t="s">
        <v>183</v>
      </c>
      <c r="AB550" s="19" t="n">
        <v>700</v>
      </c>
      <c r="AC550" s="9"/>
      <c r="AD550" s="9"/>
      <c r="AE550" s="9" t="s">
        <v>1161</v>
      </c>
    </row>
    <row r="551" customFormat="false" ht="21.75" hidden="false" customHeight="true" outlineLevel="0" collapsed="false">
      <c r="B551" s="14" t="n">
        <v>547</v>
      </c>
      <c r="C551" s="7" t="s">
        <v>50</v>
      </c>
      <c r="D551" s="7" t="s">
        <v>24</v>
      </c>
      <c r="E551" s="7" t="s">
        <v>87</v>
      </c>
      <c r="F551" s="7" t="s">
        <v>64</v>
      </c>
      <c r="G551" s="7" t="s">
        <v>1162</v>
      </c>
      <c r="H551" s="7" t="s">
        <v>157</v>
      </c>
      <c r="I551" s="7" t="s">
        <v>158</v>
      </c>
      <c r="J551" s="7" t="s">
        <v>203</v>
      </c>
      <c r="K551" s="7" t="s">
        <v>1157</v>
      </c>
      <c r="L551" s="7" t="s">
        <v>705</v>
      </c>
      <c r="M551" s="7" t="s">
        <v>281</v>
      </c>
      <c r="N551" s="7" t="s">
        <v>379</v>
      </c>
      <c r="O551" s="7" t="s">
        <v>1133</v>
      </c>
      <c r="P551" s="7" t="s">
        <v>1134</v>
      </c>
      <c r="Q551" s="7" t="s">
        <v>1135</v>
      </c>
      <c r="R551" s="7" t="s">
        <v>281</v>
      </c>
      <c r="S551" s="7" t="s">
        <v>1136</v>
      </c>
      <c r="T551" s="7" t="s">
        <v>356</v>
      </c>
      <c r="U551" s="7" t="s">
        <v>194</v>
      </c>
      <c r="V551" s="7" t="s">
        <v>208</v>
      </c>
      <c r="W551" s="7" t="s">
        <v>921</v>
      </c>
      <c r="X551" s="7" t="s">
        <v>1158</v>
      </c>
      <c r="Y551" s="7" t="s">
        <v>976</v>
      </c>
      <c r="Z551" s="7" t="s">
        <v>461</v>
      </c>
      <c r="AA551" s="7" t="s">
        <v>183</v>
      </c>
      <c r="AB551" s="18" t="n">
        <v>1050</v>
      </c>
      <c r="AC551" s="7"/>
      <c r="AD551" s="7"/>
      <c r="AE551" s="7" t="s">
        <v>165</v>
      </c>
    </row>
    <row r="552" customFormat="false" ht="21.75" hidden="false" customHeight="true" outlineLevel="0" collapsed="false">
      <c r="B552" s="15" t="n">
        <v>548</v>
      </c>
      <c r="C552" s="9" t="s">
        <v>50</v>
      </c>
      <c r="D552" s="9" t="s">
        <v>24</v>
      </c>
      <c r="E552" s="9" t="s">
        <v>87</v>
      </c>
      <c r="F552" s="9" t="s">
        <v>64</v>
      </c>
      <c r="G552" s="9" t="s">
        <v>1163</v>
      </c>
      <c r="H552" s="9" t="s">
        <v>163</v>
      </c>
      <c r="I552" s="9" t="s">
        <v>164</v>
      </c>
      <c r="J552" s="9" t="s">
        <v>203</v>
      </c>
      <c r="K552" s="9" t="s">
        <v>1157</v>
      </c>
      <c r="L552" s="9" t="s">
        <v>705</v>
      </c>
      <c r="M552" s="9" t="s">
        <v>281</v>
      </c>
      <c r="N552" s="9" t="s">
        <v>379</v>
      </c>
      <c r="O552" s="9" t="s">
        <v>1133</v>
      </c>
      <c r="P552" s="9" t="s">
        <v>1134</v>
      </c>
      <c r="Q552" s="9" t="s">
        <v>1135</v>
      </c>
      <c r="R552" s="9" t="s">
        <v>281</v>
      </c>
      <c r="S552" s="9" t="s">
        <v>1136</v>
      </c>
      <c r="T552" s="9" t="s">
        <v>356</v>
      </c>
      <c r="U552" s="9" t="s">
        <v>194</v>
      </c>
      <c r="V552" s="9" t="s">
        <v>208</v>
      </c>
      <c r="W552" s="9" t="s">
        <v>921</v>
      </c>
      <c r="X552" s="9" t="s">
        <v>1158</v>
      </c>
      <c r="Y552" s="9" t="s">
        <v>976</v>
      </c>
      <c r="Z552" s="9" t="s">
        <v>461</v>
      </c>
      <c r="AA552" s="9" t="s">
        <v>183</v>
      </c>
      <c r="AB552" s="19" t="n">
        <v>1540</v>
      </c>
      <c r="AC552" s="9"/>
      <c r="AD552" s="9"/>
      <c r="AE552" s="9" t="s">
        <v>167</v>
      </c>
    </row>
    <row r="553" customFormat="false" ht="21.75" hidden="false" customHeight="true" outlineLevel="0" collapsed="false">
      <c r="B553" s="14" t="n">
        <v>549</v>
      </c>
      <c r="C553" s="7" t="s">
        <v>50</v>
      </c>
      <c r="D553" s="7" t="s">
        <v>24</v>
      </c>
      <c r="E553" s="7" t="s">
        <v>87</v>
      </c>
      <c r="F553" s="7" t="s">
        <v>65</v>
      </c>
      <c r="G553" s="7" t="s">
        <v>321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18"/>
      <c r="AC553" s="7"/>
      <c r="AD553" s="7"/>
      <c r="AE553" s="7" t="s">
        <v>1164</v>
      </c>
    </row>
    <row r="554" customFormat="false" ht="21.75" hidden="false" customHeight="true" outlineLevel="0" collapsed="false">
      <c r="B554" s="15" t="n">
        <v>550</v>
      </c>
      <c r="C554" s="9" t="s">
        <v>50</v>
      </c>
      <c r="D554" s="9" t="s">
        <v>24</v>
      </c>
      <c r="E554" s="9" t="s">
        <v>87</v>
      </c>
      <c r="F554" s="9" t="s">
        <v>66</v>
      </c>
      <c r="G554" s="9" t="s">
        <v>321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19"/>
      <c r="AC554" s="9"/>
      <c r="AD554" s="9"/>
      <c r="AE554" s="9" t="s">
        <v>1103</v>
      </c>
    </row>
    <row r="555" customFormat="false" ht="21.75" hidden="false" customHeight="true" outlineLevel="0" collapsed="false">
      <c r="B555" s="14" t="n">
        <v>551</v>
      </c>
      <c r="C555" s="7" t="s">
        <v>50</v>
      </c>
      <c r="D555" s="7" t="s">
        <v>24</v>
      </c>
      <c r="E555" s="7" t="s">
        <v>87</v>
      </c>
      <c r="F555" s="7" t="s">
        <v>67</v>
      </c>
      <c r="G555" s="7" t="s">
        <v>1165</v>
      </c>
      <c r="H555" s="7" t="s">
        <v>230</v>
      </c>
      <c r="I555" s="7" t="s">
        <v>231</v>
      </c>
      <c r="J555" s="7" t="s">
        <v>449</v>
      </c>
      <c r="K555" s="7" t="s">
        <v>527</v>
      </c>
      <c r="L555" s="7" t="s">
        <v>451</v>
      </c>
      <c r="M555" s="7" t="s">
        <v>281</v>
      </c>
      <c r="N555" s="7" t="s">
        <v>1166</v>
      </c>
      <c r="O555" s="7" t="s">
        <v>1133</v>
      </c>
      <c r="P555" s="7" t="s">
        <v>1134</v>
      </c>
      <c r="Q555" s="7" t="s">
        <v>1135</v>
      </c>
      <c r="R555" s="7" t="s">
        <v>281</v>
      </c>
      <c r="S555" s="7" t="s">
        <v>1136</v>
      </c>
      <c r="T555" s="7" t="s">
        <v>1137</v>
      </c>
      <c r="U555" s="7" t="s">
        <v>148</v>
      </c>
      <c r="V555" s="7" t="s">
        <v>1138</v>
      </c>
      <c r="W555" s="7" t="s">
        <v>921</v>
      </c>
      <c r="X555" s="7" t="s">
        <v>1167</v>
      </c>
      <c r="Y555" s="7" t="s">
        <v>872</v>
      </c>
      <c r="Z555" s="7" t="s">
        <v>461</v>
      </c>
      <c r="AA555" s="7" t="s">
        <v>223</v>
      </c>
      <c r="AB555" s="18" t="n">
        <v>125</v>
      </c>
      <c r="AC555" s="7"/>
      <c r="AD555" s="7"/>
      <c r="AE555" s="7" t="s">
        <v>155</v>
      </c>
    </row>
    <row r="556" customFormat="false" ht="21.75" hidden="false" customHeight="true" outlineLevel="0" collapsed="false">
      <c r="B556" s="15" t="n">
        <v>552</v>
      </c>
      <c r="C556" s="9" t="s">
        <v>50</v>
      </c>
      <c r="D556" s="9" t="s">
        <v>24</v>
      </c>
      <c r="E556" s="9" t="s">
        <v>87</v>
      </c>
      <c r="F556" s="9" t="s">
        <v>67</v>
      </c>
      <c r="G556" s="9" t="s">
        <v>1168</v>
      </c>
      <c r="H556" s="9" t="s">
        <v>230</v>
      </c>
      <c r="I556" s="9" t="s">
        <v>231</v>
      </c>
      <c r="J556" s="9" t="s">
        <v>449</v>
      </c>
      <c r="K556" s="9" t="s">
        <v>527</v>
      </c>
      <c r="L556" s="9" t="s">
        <v>451</v>
      </c>
      <c r="M556" s="9" t="s">
        <v>281</v>
      </c>
      <c r="N556" s="9" t="s">
        <v>1166</v>
      </c>
      <c r="O556" s="9" t="s">
        <v>1133</v>
      </c>
      <c r="P556" s="9" t="s">
        <v>1134</v>
      </c>
      <c r="Q556" s="9" t="s">
        <v>1135</v>
      </c>
      <c r="R556" s="9" t="s">
        <v>281</v>
      </c>
      <c r="S556" s="9" t="s">
        <v>1136</v>
      </c>
      <c r="T556" s="9" t="s">
        <v>1137</v>
      </c>
      <c r="U556" s="9" t="s">
        <v>148</v>
      </c>
      <c r="V556" s="9" t="s">
        <v>1138</v>
      </c>
      <c r="W556" s="9" t="s">
        <v>921</v>
      </c>
      <c r="X556" s="9" t="s">
        <v>1167</v>
      </c>
      <c r="Y556" s="9" t="s">
        <v>872</v>
      </c>
      <c r="Z556" s="9" t="s">
        <v>461</v>
      </c>
      <c r="AA556" s="9" t="s">
        <v>223</v>
      </c>
      <c r="AB556" s="19" t="n">
        <v>185</v>
      </c>
      <c r="AC556" s="9"/>
      <c r="AD556" s="9"/>
      <c r="AE556" s="9" t="s">
        <v>159</v>
      </c>
    </row>
    <row r="557" customFormat="false" ht="21.75" hidden="false" customHeight="true" outlineLevel="0" collapsed="false">
      <c r="B557" s="14" t="n">
        <v>553</v>
      </c>
      <c r="C557" s="7" t="s">
        <v>50</v>
      </c>
      <c r="D557" s="7" t="s">
        <v>24</v>
      </c>
      <c r="E557" s="7" t="s">
        <v>87</v>
      </c>
      <c r="F557" s="7" t="s">
        <v>67</v>
      </c>
      <c r="G557" s="7" t="s">
        <v>1169</v>
      </c>
      <c r="H557" s="7" t="s">
        <v>240</v>
      </c>
      <c r="I557" s="7" t="s">
        <v>241</v>
      </c>
      <c r="J557" s="7" t="s">
        <v>449</v>
      </c>
      <c r="K557" s="7" t="s">
        <v>527</v>
      </c>
      <c r="L557" s="7" t="s">
        <v>451</v>
      </c>
      <c r="M557" s="7" t="s">
        <v>281</v>
      </c>
      <c r="N557" s="7" t="s">
        <v>1166</v>
      </c>
      <c r="O557" s="7" t="s">
        <v>1133</v>
      </c>
      <c r="P557" s="7" t="s">
        <v>1134</v>
      </c>
      <c r="Q557" s="7" t="s">
        <v>1135</v>
      </c>
      <c r="R557" s="7" t="s">
        <v>281</v>
      </c>
      <c r="S557" s="7" t="s">
        <v>1136</v>
      </c>
      <c r="T557" s="7" t="s">
        <v>1137</v>
      </c>
      <c r="U557" s="7" t="s">
        <v>148</v>
      </c>
      <c r="V557" s="7" t="s">
        <v>1138</v>
      </c>
      <c r="W557" s="7" t="s">
        <v>921</v>
      </c>
      <c r="X557" s="7" t="s">
        <v>1167</v>
      </c>
      <c r="Y557" s="7" t="s">
        <v>872</v>
      </c>
      <c r="Z557" s="7" t="s">
        <v>461</v>
      </c>
      <c r="AA557" s="7" t="s">
        <v>223</v>
      </c>
      <c r="AB557" s="18" t="n">
        <v>250</v>
      </c>
      <c r="AC557" s="7"/>
      <c r="AD557" s="7"/>
      <c r="AE557" s="7" t="s">
        <v>1170</v>
      </c>
    </row>
    <row r="558" customFormat="false" ht="21.75" hidden="false" customHeight="true" outlineLevel="0" collapsed="false">
      <c r="B558" s="15" t="n">
        <v>554</v>
      </c>
      <c r="C558" s="9" t="s">
        <v>50</v>
      </c>
      <c r="D558" s="9" t="s">
        <v>24</v>
      </c>
      <c r="E558" s="9" t="s">
        <v>87</v>
      </c>
      <c r="F558" s="9" t="s">
        <v>67</v>
      </c>
      <c r="G558" s="9" t="s">
        <v>1171</v>
      </c>
      <c r="H558" s="9" t="s">
        <v>240</v>
      </c>
      <c r="I558" s="9" t="s">
        <v>241</v>
      </c>
      <c r="J558" s="9" t="s">
        <v>449</v>
      </c>
      <c r="K558" s="9" t="s">
        <v>527</v>
      </c>
      <c r="L558" s="9" t="s">
        <v>451</v>
      </c>
      <c r="M558" s="9" t="s">
        <v>281</v>
      </c>
      <c r="N558" s="9" t="s">
        <v>1166</v>
      </c>
      <c r="O558" s="9" t="s">
        <v>1133</v>
      </c>
      <c r="P558" s="9" t="s">
        <v>1134</v>
      </c>
      <c r="Q558" s="9" t="s">
        <v>1135</v>
      </c>
      <c r="R558" s="9" t="s">
        <v>281</v>
      </c>
      <c r="S558" s="9" t="s">
        <v>1136</v>
      </c>
      <c r="T558" s="9" t="s">
        <v>1137</v>
      </c>
      <c r="U558" s="9" t="s">
        <v>148</v>
      </c>
      <c r="V558" s="9" t="s">
        <v>1138</v>
      </c>
      <c r="W558" s="9" t="s">
        <v>921</v>
      </c>
      <c r="X558" s="9" t="s">
        <v>1167</v>
      </c>
      <c r="Y558" s="9" t="s">
        <v>872</v>
      </c>
      <c r="Z558" s="9" t="s">
        <v>461</v>
      </c>
      <c r="AA558" s="9" t="s">
        <v>223</v>
      </c>
      <c r="AB558" s="19" t="n">
        <v>375</v>
      </c>
      <c r="AC558" s="9"/>
      <c r="AD558" s="9"/>
      <c r="AE558" s="9" t="s">
        <v>165</v>
      </c>
    </row>
    <row r="559" customFormat="false" ht="21.75" hidden="false" customHeight="true" outlineLevel="0" collapsed="false">
      <c r="B559" s="14" t="n">
        <v>555</v>
      </c>
      <c r="C559" s="7" t="s">
        <v>50</v>
      </c>
      <c r="D559" s="7" t="s">
        <v>24</v>
      </c>
      <c r="E559" s="7" t="s">
        <v>87</v>
      </c>
      <c r="F559" s="7" t="s">
        <v>67</v>
      </c>
      <c r="G559" s="7" t="s">
        <v>1172</v>
      </c>
      <c r="H559" s="7" t="s">
        <v>240</v>
      </c>
      <c r="I559" s="7" t="s">
        <v>241</v>
      </c>
      <c r="J559" s="7" t="s">
        <v>449</v>
      </c>
      <c r="K559" s="7" t="s">
        <v>527</v>
      </c>
      <c r="L559" s="7" t="s">
        <v>451</v>
      </c>
      <c r="M559" s="7" t="s">
        <v>281</v>
      </c>
      <c r="N559" s="7" t="s">
        <v>1166</v>
      </c>
      <c r="O559" s="7" t="s">
        <v>1133</v>
      </c>
      <c r="P559" s="7" t="s">
        <v>1134</v>
      </c>
      <c r="Q559" s="7" t="s">
        <v>1135</v>
      </c>
      <c r="R559" s="7" t="s">
        <v>281</v>
      </c>
      <c r="S559" s="7" t="s">
        <v>1136</v>
      </c>
      <c r="T559" s="7" t="s">
        <v>1137</v>
      </c>
      <c r="U559" s="7" t="s">
        <v>148</v>
      </c>
      <c r="V559" s="7" t="s">
        <v>1138</v>
      </c>
      <c r="W559" s="7" t="s">
        <v>921</v>
      </c>
      <c r="X559" s="7" t="s">
        <v>1167</v>
      </c>
      <c r="Y559" s="7" t="s">
        <v>872</v>
      </c>
      <c r="Z559" s="7" t="s">
        <v>461</v>
      </c>
      <c r="AA559" s="7" t="s">
        <v>223</v>
      </c>
      <c r="AB559" s="18" t="n">
        <v>550</v>
      </c>
      <c r="AC559" s="7"/>
      <c r="AD559" s="7"/>
      <c r="AE559" s="7" t="s">
        <v>167</v>
      </c>
    </row>
    <row r="560" customFormat="false" ht="21.75" hidden="false" customHeight="true" outlineLevel="0" collapsed="false">
      <c r="B560" s="15" t="n">
        <v>556</v>
      </c>
      <c r="C560" s="9" t="s">
        <v>50</v>
      </c>
      <c r="D560" s="9" t="s">
        <v>24</v>
      </c>
      <c r="E560" s="9" t="s">
        <v>87</v>
      </c>
      <c r="F560" s="9" t="s">
        <v>68</v>
      </c>
      <c r="G560" s="9" t="s">
        <v>321</v>
      </c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9"/>
      <c r="AC560" s="9"/>
      <c r="AD560" s="9"/>
      <c r="AE560" s="9" t="s">
        <v>1112</v>
      </c>
    </row>
    <row r="561" customFormat="false" ht="21.75" hidden="false" customHeight="true" outlineLevel="0" collapsed="false">
      <c r="B561" s="14" t="n">
        <v>557</v>
      </c>
      <c r="C561" s="7" t="s">
        <v>50</v>
      </c>
      <c r="D561" s="7" t="s">
        <v>24</v>
      </c>
      <c r="E561" s="7" t="s">
        <v>87</v>
      </c>
      <c r="F561" s="7" t="s">
        <v>69</v>
      </c>
      <c r="G561" s="7" t="s">
        <v>321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18"/>
      <c r="AC561" s="7"/>
      <c r="AD561" s="7"/>
      <c r="AE561" s="7" t="s">
        <v>1173</v>
      </c>
    </row>
    <row r="562" customFormat="false" ht="21.75" hidden="false" customHeight="true" outlineLevel="0" collapsed="false">
      <c r="B562" s="15" t="n">
        <v>558</v>
      </c>
      <c r="C562" s="9" t="s">
        <v>50</v>
      </c>
      <c r="D562" s="9" t="s">
        <v>24</v>
      </c>
      <c r="E562" s="9" t="s">
        <v>87</v>
      </c>
      <c r="F562" s="9" t="s">
        <v>70</v>
      </c>
      <c r="G562" s="9" t="s">
        <v>321</v>
      </c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9"/>
      <c r="AC562" s="9"/>
      <c r="AD562" s="9"/>
      <c r="AE562" s="9" t="s">
        <v>1114</v>
      </c>
    </row>
    <row r="563" customFormat="false" ht="21.75" hidden="false" customHeight="true" outlineLevel="0" collapsed="false">
      <c r="B563" s="14" t="n">
        <v>559</v>
      </c>
      <c r="C563" s="7" t="s">
        <v>50</v>
      </c>
      <c r="D563" s="7" t="s">
        <v>24</v>
      </c>
      <c r="E563" s="7" t="s">
        <v>87</v>
      </c>
      <c r="F563" s="7" t="s">
        <v>71</v>
      </c>
      <c r="G563" s="7" t="s">
        <v>321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18"/>
      <c r="AC563" s="7"/>
      <c r="AD563" s="7"/>
      <c r="AE563" s="7" t="s">
        <v>1174</v>
      </c>
    </row>
    <row r="564" customFormat="false" ht="21.75" hidden="false" customHeight="true" outlineLevel="0" collapsed="false">
      <c r="B564" s="15" t="n">
        <v>560</v>
      </c>
      <c r="C564" s="9" t="s">
        <v>50</v>
      </c>
      <c r="D564" s="9" t="s">
        <v>24</v>
      </c>
      <c r="E564" s="9" t="s">
        <v>87</v>
      </c>
      <c r="F564" s="9" t="s">
        <v>72</v>
      </c>
      <c r="G564" s="9" t="s">
        <v>321</v>
      </c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9"/>
      <c r="AC564" s="9"/>
      <c r="AD564" s="9"/>
      <c r="AE564" s="9" t="s">
        <v>1122</v>
      </c>
    </row>
    <row r="565" customFormat="false" ht="21.75" hidden="false" customHeight="true" outlineLevel="0" collapsed="false">
      <c r="B565" s="14" t="n">
        <v>561</v>
      </c>
      <c r="C565" s="7" t="s">
        <v>50</v>
      </c>
      <c r="D565" s="7" t="s">
        <v>24</v>
      </c>
      <c r="E565" s="7" t="s">
        <v>87</v>
      </c>
      <c r="F565" s="7" t="s">
        <v>73</v>
      </c>
      <c r="G565" s="7" t="s">
        <v>1175</v>
      </c>
      <c r="H565" s="7" t="s">
        <v>136</v>
      </c>
      <c r="I565" s="7" t="s">
        <v>137</v>
      </c>
      <c r="J565" s="7" t="s">
        <v>203</v>
      </c>
      <c r="K565" s="7" t="s">
        <v>1176</v>
      </c>
      <c r="L565" s="7" t="s">
        <v>482</v>
      </c>
      <c r="M565" s="7" t="s">
        <v>281</v>
      </c>
      <c r="N565" s="7" t="s">
        <v>1177</v>
      </c>
      <c r="O565" s="7" t="s">
        <v>1133</v>
      </c>
      <c r="P565" s="7" t="s">
        <v>1134</v>
      </c>
      <c r="Q565" s="7" t="s">
        <v>1135</v>
      </c>
      <c r="R565" s="7" t="s">
        <v>281</v>
      </c>
      <c r="S565" s="7" t="s">
        <v>1136</v>
      </c>
      <c r="T565" s="7" t="s">
        <v>356</v>
      </c>
      <c r="U565" s="7" t="s">
        <v>148</v>
      </c>
      <c r="V565" s="7" t="s">
        <v>1138</v>
      </c>
      <c r="W565" s="7" t="s">
        <v>921</v>
      </c>
      <c r="X565" s="7" t="s">
        <v>1149</v>
      </c>
      <c r="Y565" s="7" t="s">
        <v>841</v>
      </c>
      <c r="Z565" s="7" t="s">
        <v>461</v>
      </c>
      <c r="AA565" s="7" t="s">
        <v>154</v>
      </c>
      <c r="AB565" s="18" t="n">
        <v>200</v>
      </c>
      <c r="AC565" s="7"/>
      <c r="AD565" s="7"/>
      <c r="AE565" s="7" t="s">
        <v>155</v>
      </c>
    </row>
    <row r="566" customFormat="false" ht="21.75" hidden="false" customHeight="true" outlineLevel="0" collapsed="false">
      <c r="B566" s="15" t="n">
        <v>562</v>
      </c>
      <c r="C566" s="9" t="s">
        <v>50</v>
      </c>
      <c r="D566" s="9" t="s">
        <v>24</v>
      </c>
      <c r="E566" s="9" t="s">
        <v>87</v>
      </c>
      <c r="F566" s="9" t="s">
        <v>73</v>
      </c>
      <c r="G566" s="9" t="s">
        <v>1178</v>
      </c>
      <c r="H566" s="9" t="s">
        <v>157</v>
      </c>
      <c r="I566" s="9" t="s">
        <v>158</v>
      </c>
      <c r="J566" s="9" t="s">
        <v>203</v>
      </c>
      <c r="K566" s="9" t="s">
        <v>1176</v>
      </c>
      <c r="L566" s="9" t="s">
        <v>482</v>
      </c>
      <c r="M566" s="9" t="s">
        <v>281</v>
      </c>
      <c r="N566" s="9" t="s">
        <v>1177</v>
      </c>
      <c r="O566" s="9" t="s">
        <v>1133</v>
      </c>
      <c r="P566" s="9" t="s">
        <v>1134</v>
      </c>
      <c r="Q566" s="9" t="s">
        <v>1135</v>
      </c>
      <c r="R566" s="9" t="s">
        <v>281</v>
      </c>
      <c r="S566" s="9" t="s">
        <v>1136</v>
      </c>
      <c r="T566" s="9" t="s">
        <v>356</v>
      </c>
      <c r="U566" s="9" t="s">
        <v>148</v>
      </c>
      <c r="V566" s="9" t="s">
        <v>1138</v>
      </c>
      <c r="W566" s="9" t="s">
        <v>921</v>
      </c>
      <c r="X566" s="9" t="s">
        <v>1149</v>
      </c>
      <c r="Y566" s="9" t="s">
        <v>841</v>
      </c>
      <c r="Z566" s="9" t="s">
        <v>461</v>
      </c>
      <c r="AA566" s="9" t="s">
        <v>154</v>
      </c>
      <c r="AB566" s="19" t="n">
        <v>300</v>
      </c>
      <c r="AC566" s="9"/>
      <c r="AD566" s="9"/>
      <c r="AE566" s="9" t="s">
        <v>159</v>
      </c>
    </row>
    <row r="567" customFormat="false" ht="21.75" hidden="false" customHeight="true" outlineLevel="0" collapsed="false">
      <c r="B567" s="14" t="n">
        <v>563</v>
      </c>
      <c r="C567" s="7" t="s">
        <v>50</v>
      </c>
      <c r="D567" s="7" t="s">
        <v>24</v>
      </c>
      <c r="E567" s="7" t="s">
        <v>87</v>
      </c>
      <c r="F567" s="7" t="s">
        <v>73</v>
      </c>
      <c r="G567" s="7" t="s">
        <v>1179</v>
      </c>
      <c r="H567" s="7" t="s">
        <v>157</v>
      </c>
      <c r="I567" s="7" t="s">
        <v>158</v>
      </c>
      <c r="J567" s="7" t="s">
        <v>203</v>
      </c>
      <c r="K567" s="7" t="s">
        <v>1176</v>
      </c>
      <c r="L567" s="7" t="s">
        <v>482</v>
      </c>
      <c r="M567" s="7" t="s">
        <v>281</v>
      </c>
      <c r="N567" s="7" t="s">
        <v>1177</v>
      </c>
      <c r="O567" s="7" t="s">
        <v>1133</v>
      </c>
      <c r="P567" s="7" t="s">
        <v>1134</v>
      </c>
      <c r="Q567" s="7" t="s">
        <v>1135</v>
      </c>
      <c r="R567" s="7" t="s">
        <v>281</v>
      </c>
      <c r="S567" s="7" t="s">
        <v>1136</v>
      </c>
      <c r="T567" s="7" t="s">
        <v>356</v>
      </c>
      <c r="U567" s="7" t="s">
        <v>148</v>
      </c>
      <c r="V567" s="7" t="s">
        <v>1138</v>
      </c>
      <c r="W567" s="7" t="s">
        <v>921</v>
      </c>
      <c r="X567" s="7" t="s">
        <v>1149</v>
      </c>
      <c r="Y567" s="7" t="s">
        <v>841</v>
      </c>
      <c r="Z567" s="7" t="s">
        <v>461</v>
      </c>
      <c r="AA567" s="7" t="s">
        <v>154</v>
      </c>
      <c r="AB567" s="18" t="n">
        <v>400</v>
      </c>
      <c r="AC567" s="7"/>
      <c r="AD567" s="7"/>
      <c r="AE567" s="7" t="s">
        <v>1180</v>
      </c>
    </row>
    <row r="568" customFormat="false" ht="21.75" hidden="false" customHeight="true" outlineLevel="0" collapsed="false">
      <c r="B568" s="15" t="n">
        <v>564</v>
      </c>
      <c r="C568" s="9" t="s">
        <v>50</v>
      </c>
      <c r="D568" s="9" t="s">
        <v>24</v>
      </c>
      <c r="E568" s="9" t="s">
        <v>87</v>
      </c>
      <c r="F568" s="9" t="s">
        <v>73</v>
      </c>
      <c r="G568" s="9" t="s">
        <v>1168</v>
      </c>
      <c r="H568" s="9" t="s">
        <v>163</v>
      </c>
      <c r="I568" s="9" t="s">
        <v>164</v>
      </c>
      <c r="J568" s="9" t="s">
        <v>203</v>
      </c>
      <c r="K568" s="9" t="s">
        <v>1176</v>
      </c>
      <c r="L568" s="9" t="s">
        <v>482</v>
      </c>
      <c r="M568" s="9" t="s">
        <v>281</v>
      </c>
      <c r="N568" s="9" t="s">
        <v>1177</v>
      </c>
      <c r="O568" s="9" t="s">
        <v>1133</v>
      </c>
      <c r="P568" s="9" t="s">
        <v>1134</v>
      </c>
      <c r="Q568" s="9" t="s">
        <v>1135</v>
      </c>
      <c r="R568" s="9" t="s">
        <v>281</v>
      </c>
      <c r="S568" s="9" t="s">
        <v>1136</v>
      </c>
      <c r="T568" s="9" t="s">
        <v>356</v>
      </c>
      <c r="U568" s="9" t="s">
        <v>148</v>
      </c>
      <c r="V568" s="9" t="s">
        <v>1138</v>
      </c>
      <c r="W568" s="9" t="s">
        <v>921</v>
      </c>
      <c r="X568" s="9" t="s">
        <v>1149</v>
      </c>
      <c r="Y568" s="9" t="s">
        <v>841</v>
      </c>
      <c r="Z568" s="9" t="s">
        <v>461</v>
      </c>
      <c r="AA568" s="9" t="s">
        <v>154</v>
      </c>
      <c r="AB568" s="19" t="n">
        <v>600</v>
      </c>
      <c r="AC568" s="9"/>
      <c r="AD568" s="9"/>
      <c r="AE568" s="9" t="s">
        <v>165</v>
      </c>
    </row>
    <row r="569" customFormat="false" ht="21.75" hidden="false" customHeight="true" outlineLevel="0" collapsed="false">
      <c r="B569" s="14" t="n">
        <v>565</v>
      </c>
      <c r="C569" s="7" t="s">
        <v>50</v>
      </c>
      <c r="D569" s="7" t="s">
        <v>24</v>
      </c>
      <c r="E569" s="7" t="s">
        <v>87</v>
      </c>
      <c r="F569" s="7" t="s">
        <v>73</v>
      </c>
      <c r="G569" s="7" t="s">
        <v>1181</v>
      </c>
      <c r="H569" s="7" t="s">
        <v>163</v>
      </c>
      <c r="I569" s="7" t="s">
        <v>164</v>
      </c>
      <c r="J569" s="7" t="s">
        <v>203</v>
      </c>
      <c r="K569" s="7" t="s">
        <v>1176</v>
      </c>
      <c r="L569" s="7" t="s">
        <v>482</v>
      </c>
      <c r="M569" s="7" t="s">
        <v>281</v>
      </c>
      <c r="N569" s="7" t="s">
        <v>1177</v>
      </c>
      <c r="O569" s="7" t="s">
        <v>1133</v>
      </c>
      <c r="P569" s="7" t="s">
        <v>1134</v>
      </c>
      <c r="Q569" s="7" t="s">
        <v>1135</v>
      </c>
      <c r="R569" s="7" t="s">
        <v>281</v>
      </c>
      <c r="S569" s="7" t="s">
        <v>1136</v>
      </c>
      <c r="T569" s="7" t="s">
        <v>356</v>
      </c>
      <c r="U569" s="7" t="s">
        <v>148</v>
      </c>
      <c r="V569" s="7" t="s">
        <v>1138</v>
      </c>
      <c r="W569" s="7" t="s">
        <v>921</v>
      </c>
      <c r="X569" s="7" t="s">
        <v>1149</v>
      </c>
      <c r="Y569" s="7" t="s">
        <v>841</v>
      </c>
      <c r="Z569" s="7" t="s">
        <v>461</v>
      </c>
      <c r="AA569" s="7" t="s">
        <v>154</v>
      </c>
      <c r="AB569" s="18" t="n">
        <v>880</v>
      </c>
      <c r="AC569" s="7"/>
      <c r="AD569" s="7"/>
      <c r="AE569" s="7" t="s">
        <v>167</v>
      </c>
    </row>
    <row r="570" customFormat="false" ht="21.75" hidden="false" customHeight="true" outlineLevel="0" collapsed="false">
      <c r="B570" s="15" t="n">
        <v>566</v>
      </c>
      <c r="C570" s="9" t="s">
        <v>50</v>
      </c>
      <c r="D570" s="9" t="s">
        <v>24</v>
      </c>
      <c r="E570" s="9" t="s">
        <v>87</v>
      </c>
      <c r="F570" s="9" t="s">
        <v>74</v>
      </c>
      <c r="G570" s="9" t="s">
        <v>321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19"/>
      <c r="AC570" s="9"/>
      <c r="AD570" s="9"/>
      <c r="AE570" s="9" t="s">
        <v>1182</v>
      </c>
    </row>
    <row r="571" customFormat="false" ht="21.75" hidden="false" customHeight="true" outlineLevel="0" collapsed="false">
      <c r="B571" s="14" t="n">
        <v>567</v>
      </c>
      <c r="C571" s="7" t="s">
        <v>51</v>
      </c>
      <c r="D571" s="7" t="s">
        <v>24</v>
      </c>
      <c r="E571" s="7" t="s">
        <v>91</v>
      </c>
      <c r="F571" s="7" t="s">
        <v>61</v>
      </c>
      <c r="G571" s="7" t="s">
        <v>1183</v>
      </c>
      <c r="H571" s="7" t="s">
        <v>136</v>
      </c>
      <c r="I571" s="7" t="s">
        <v>137</v>
      </c>
      <c r="J571" s="7" t="s">
        <v>203</v>
      </c>
      <c r="K571" s="7" t="s">
        <v>918</v>
      </c>
      <c r="L571" s="7" t="s">
        <v>205</v>
      </c>
      <c r="M571" s="7" t="s">
        <v>326</v>
      </c>
      <c r="N571" s="7" t="s">
        <v>1184</v>
      </c>
      <c r="O571" s="7" t="s">
        <v>1185</v>
      </c>
      <c r="P571" s="7" t="s">
        <v>144</v>
      </c>
      <c r="Q571" s="7" t="s">
        <v>1186</v>
      </c>
      <c r="R571" s="7" t="s">
        <v>1186</v>
      </c>
      <c r="S571" s="7" t="s">
        <v>472</v>
      </c>
      <c r="T571" s="7" t="s">
        <v>356</v>
      </c>
      <c r="U571" s="7" t="s">
        <v>148</v>
      </c>
      <c r="V571" s="7" t="s">
        <v>1138</v>
      </c>
      <c r="W571" s="7" t="s">
        <v>682</v>
      </c>
      <c r="X571" s="7" t="s">
        <v>1187</v>
      </c>
      <c r="Y571" s="7" t="s">
        <v>1188</v>
      </c>
      <c r="Z571" s="7" t="s">
        <v>337</v>
      </c>
      <c r="AA571" s="7" t="s">
        <v>154</v>
      </c>
      <c r="AB571" s="18" t="n">
        <v>50</v>
      </c>
      <c r="AC571" s="7"/>
      <c r="AD571" s="7"/>
      <c r="AE571" s="7" t="s">
        <v>155</v>
      </c>
    </row>
    <row r="572" customFormat="false" ht="21.75" hidden="false" customHeight="true" outlineLevel="0" collapsed="false">
      <c r="B572" s="15" t="n">
        <v>568</v>
      </c>
      <c r="C572" s="9" t="s">
        <v>51</v>
      </c>
      <c r="D572" s="9" t="s">
        <v>24</v>
      </c>
      <c r="E572" s="9" t="s">
        <v>91</v>
      </c>
      <c r="F572" s="9" t="s">
        <v>61</v>
      </c>
      <c r="G572" s="9" t="s">
        <v>1189</v>
      </c>
      <c r="H572" s="9" t="s">
        <v>157</v>
      </c>
      <c r="I572" s="9" t="s">
        <v>158</v>
      </c>
      <c r="J572" s="9" t="s">
        <v>203</v>
      </c>
      <c r="K572" s="9" t="s">
        <v>918</v>
      </c>
      <c r="L572" s="9" t="s">
        <v>205</v>
      </c>
      <c r="M572" s="9" t="s">
        <v>326</v>
      </c>
      <c r="N572" s="9" t="s">
        <v>1184</v>
      </c>
      <c r="O572" s="9" t="s">
        <v>1185</v>
      </c>
      <c r="P572" s="9" t="s">
        <v>144</v>
      </c>
      <c r="Q572" s="9" t="s">
        <v>1186</v>
      </c>
      <c r="R572" s="9" t="s">
        <v>1186</v>
      </c>
      <c r="S572" s="9" t="s">
        <v>472</v>
      </c>
      <c r="T572" s="9" t="s">
        <v>356</v>
      </c>
      <c r="U572" s="9" t="s">
        <v>148</v>
      </c>
      <c r="V572" s="9" t="s">
        <v>1138</v>
      </c>
      <c r="W572" s="9" t="s">
        <v>682</v>
      </c>
      <c r="X572" s="9" t="s">
        <v>1187</v>
      </c>
      <c r="Y572" s="9" t="s">
        <v>1188</v>
      </c>
      <c r="Z572" s="9" t="s">
        <v>337</v>
      </c>
      <c r="AA572" s="9" t="s">
        <v>154</v>
      </c>
      <c r="AB572" s="19" t="n">
        <v>70</v>
      </c>
      <c r="AC572" s="9"/>
      <c r="AD572" s="9"/>
      <c r="AE572" s="9" t="s">
        <v>159</v>
      </c>
    </row>
    <row r="573" customFormat="false" ht="21.75" hidden="false" customHeight="true" outlineLevel="0" collapsed="false">
      <c r="B573" s="14" t="n">
        <v>569</v>
      </c>
      <c r="C573" s="7" t="s">
        <v>51</v>
      </c>
      <c r="D573" s="7" t="s">
        <v>24</v>
      </c>
      <c r="E573" s="7" t="s">
        <v>91</v>
      </c>
      <c r="F573" s="7" t="s">
        <v>61</v>
      </c>
      <c r="G573" s="7" t="s">
        <v>1190</v>
      </c>
      <c r="H573" s="7" t="s">
        <v>157</v>
      </c>
      <c r="I573" s="7" t="s">
        <v>158</v>
      </c>
      <c r="J573" s="7" t="s">
        <v>203</v>
      </c>
      <c r="K573" s="7" t="s">
        <v>918</v>
      </c>
      <c r="L573" s="7" t="s">
        <v>205</v>
      </c>
      <c r="M573" s="7" t="s">
        <v>326</v>
      </c>
      <c r="N573" s="7" t="s">
        <v>1184</v>
      </c>
      <c r="O573" s="7" t="s">
        <v>1185</v>
      </c>
      <c r="P573" s="7" t="s">
        <v>144</v>
      </c>
      <c r="Q573" s="7" t="s">
        <v>1186</v>
      </c>
      <c r="R573" s="7" t="s">
        <v>1186</v>
      </c>
      <c r="S573" s="7" t="s">
        <v>472</v>
      </c>
      <c r="T573" s="7" t="s">
        <v>356</v>
      </c>
      <c r="U573" s="7" t="s">
        <v>148</v>
      </c>
      <c r="V573" s="7" t="s">
        <v>1138</v>
      </c>
      <c r="W573" s="7" t="s">
        <v>682</v>
      </c>
      <c r="X573" s="7" t="s">
        <v>1187</v>
      </c>
      <c r="Y573" s="7" t="s">
        <v>1188</v>
      </c>
      <c r="Z573" s="7" t="s">
        <v>337</v>
      </c>
      <c r="AA573" s="7" t="s">
        <v>154</v>
      </c>
      <c r="AB573" s="18" t="n">
        <v>95</v>
      </c>
      <c r="AC573" s="7"/>
      <c r="AD573" s="7"/>
      <c r="AE573" s="7" t="s">
        <v>1191</v>
      </c>
    </row>
    <row r="574" customFormat="false" ht="21.75" hidden="false" customHeight="true" outlineLevel="0" collapsed="false">
      <c r="B574" s="15" t="n">
        <v>570</v>
      </c>
      <c r="C574" s="9" t="s">
        <v>51</v>
      </c>
      <c r="D574" s="9" t="s">
        <v>24</v>
      </c>
      <c r="E574" s="9" t="s">
        <v>91</v>
      </c>
      <c r="F574" s="9" t="s">
        <v>61</v>
      </c>
      <c r="G574" s="9" t="s">
        <v>1192</v>
      </c>
      <c r="H574" s="9" t="s">
        <v>163</v>
      </c>
      <c r="I574" s="9" t="s">
        <v>164</v>
      </c>
      <c r="J574" s="9" t="s">
        <v>203</v>
      </c>
      <c r="K574" s="9" t="s">
        <v>918</v>
      </c>
      <c r="L574" s="9" t="s">
        <v>205</v>
      </c>
      <c r="M574" s="9" t="s">
        <v>326</v>
      </c>
      <c r="N574" s="9" t="s">
        <v>1184</v>
      </c>
      <c r="O574" s="9" t="s">
        <v>1185</v>
      </c>
      <c r="P574" s="9" t="s">
        <v>144</v>
      </c>
      <c r="Q574" s="9" t="s">
        <v>1186</v>
      </c>
      <c r="R574" s="9" t="s">
        <v>1186</v>
      </c>
      <c r="S574" s="9" t="s">
        <v>472</v>
      </c>
      <c r="T574" s="9" t="s">
        <v>356</v>
      </c>
      <c r="U574" s="9" t="s">
        <v>148</v>
      </c>
      <c r="V574" s="9" t="s">
        <v>1138</v>
      </c>
      <c r="W574" s="9" t="s">
        <v>682</v>
      </c>
      <c r="X574" s="9" t="s">
        <v>1187</v>
      </c>
      <c r="Y574" s="9" t="s">
        <v>1188</v>
      </c>
      <c r="Z574" s="9" t="s">
        <v>337</v>
      </c>
      <c r="AA574" s="9" t="s">
        <v>154</v>
      </c>
      <c r="AB574" s="19" t="n">
        <v>140</v>
      </c>
      <c r="AC574" s="9"/>
      <c r="AD574" s="9"/>
      <c r="AE574" s="9" t="s">
        <v>165</v>
      </c>
    </row>
    <row r="575" customFormat="false" ht="21.75" hidden="false" customHeight="true" outlineLevel="0" collapsed="false">
      <c r="B575" s="14" t="n">
        <v>571</v>
      </c>
      <c r="C575" s="7" t="s">
        <v>51</v>
      </c>
      <c r="D575" s="7" t="s">
        <v>24</v>
      </c>
      <c r="E575" s="7" t="s">
        <v>91</v>
      </c>
      <c r="F575" s="7" t="s">
        <v>61</v>
      </c>
      <c r="G575" s="7" t="s">
        <v>1193</v>
      </c>
      <c r="H575" s="7" t="s">
        <v>163</v>
      </c>
      <c r="I575" s="7" t="s">
        <v>164</v>
      </c>
      <c r="J575" s="7" t="s">
        <v>203</v>
      </c>
      <c r="K575" s="7" t="s">
        <v>918</v>
      </c>
      <c r="L575" s="7" t="s">
        <v>205</v>
      </c>
      <c r="M575" s="7" t="s">
        <v>326</v>
      </c>
      <c r="N575" s="7" t="s">
        <v>1184</v>
      </c>
      <c r="O575" s="7" t="s">
        <v>1185</v>
      </c>
      <c r="P575" s="7" t="s">
        <v>144</v>
      </c>
      <c r="Q575" s="7" t="s">
        <v>1186</v>
      </c>
      <c r="R575" s="7" t="s">
        <v>1186</v>
      </c>
      <c r="S575" s="7" t="s">
        <v>472</v>
      </c>
      <c r="T575" s="7" t="s">
        <v>356</v>
      </c>
      <c r="U575" s="7" t="s">
        <v>148</v>
      </c>
      <c r="V575" s="7" t="s">
        <v>1138</v>
      </c>
      <c r="W575" s="7" t="s">
        <v>682</v>
      </c>
      <c r="X575" s="7" t="s">
        <v>1187</v>
      </c>
      <c r="Y575" s="7" t="s">
        <v>1188</v>
      </c>
      <c r="Z575" s="7" t="s">
        <v>337</v>
      </c>
      <c r="AA575" s="7" t="s">
        <v>154</v>
      </c>
      <c r="AB575" s="18" t="n">
        <v>210</v>
      </c>
      <c r="AC575" s="7"/>
      <c r="AD575" s="7"/>
      <c r="AE575" s="7" t="s">
        <v>167</v>
      </c>
    </row>
    <row r="576" customFormat="false" ht="21.75" hidden="false" customHeight="true" outlineLevel="0" collapsed="false">
      <c r="B576" s="15" t="n">
        <v>572</v>
      </c>
      <c r="C576" s="9" t="s">
        <v>51</v>
      </c>
      <c r="D576" s="9" t="s">
        <v>24</v>
      </c>
      <c r="E576" s="9" t="s">
        <v>91</v>
      </c>
      <c r="F576" s="9" t="s">
        <v>62</v>
      </c>
      <c r="G576" s="9" t="s">
        <v>1194</v>
      </c>
      <c r="H576" s="9" t="s">
        <v>136</v>
      </c>
      <c r="I576" s="9" t="s">
        <v>137</v>
      </c>
      <c r="J576" s="9" t="s">
        <v>203</v>
      </c>
      <c r="K576" s="9" t="s">
        <v>481</v>
      </c>
      <c r="L576" s="9" t="s">
        <v>354</v>
      </c>
      <c r="M576" s="9" t="s">
        <v>326</v>
      </c>
      <c r="N576" s="9" t="s">
        <v>772</v>
      </c>
      <c r="O576" s="9" t="s">
        <v>1185</v>
      </c>
      <c r="P576" s="9" t="s">
        <v>144</v>
      </c>
      <c r="Q576" s="9" t="s">
        <v>1186</v>
      </c>
      <c r="R576" s="9" t="s">
        <v>1186</v>
      </c>
      <c r="S576" s="9" t="s">
        <v>472</v>
      </c>
      <c r="T576" s="9" t="s">
        <v>570</v>
      </c>
      <c r="U576" s="9" t="s">
        <v>148</v>
      </c>
      <c r="V576" s="9" t="s">
        <v>380</v>
      </c>
      <c r="W576" s="9" t="s">
        <v>682</v>
      </c>
      <c r="X576" s="9" t="s">
        <v>1195</v>
      </c>
      <c r="Y576" s="9" t="s">
        <v>237</v>
      </c>
      <c r="Z576" s="9" t="s">
        <v>337</v>
      </c>
      <c r="AA576" s="9" t="s">
        <v>154</v>
      </c>
      <c r="AB576" s="19" t="n">
        <v>80</v>
      </c>
      <c r="AC576" s="9"/>
      <c r="AD576" s="9"/>
      <c r="AE576" s="9" t="s">
        <v>155</v>
      </c>
    </row>
    <row r="577" customFormat="false" ht="21.75" hidden="false" customHeight="true" outlineLevel="0" collapsed="false">
      <c r="B577" s="14" t="n">
        <v>573</v>
      </c>
      <c r="C577" s="7" t="s">
        <v>51</v>
      </c>
      <c r="D577" s="7" t="s">
        <v>24</v>
      </c>
      <c r="E577" s="7" t="s">
        <v>91</v>
      </c>
      <c r="F577" s="7" t="s">
        <v>62</v>
      </c>
      <c r="G577" s="7" t="s">
        <v>1196</v>
      </c>
      <c r="H577" s="7" t="s">
        <v>157</v>
      </c>
      <c r="I577" s="7" t="s">
        <v>158</v>
      </c>
      <c r="J577" s="7" t="s">
        <v>203</v>
      </c>
      <c r="K577" s="7" t="s">
        <v>481</v>
      </c>
      <c r="L577" s="7" t="s">
        <v>354</v>
      </c>
      <c r="M577" s="7" t="s">
        <v>326</v>
      </c>
      <c r="N577" s="7" t="s">
        <v>772</v>
      </c>
      <c r="O577" s="7" t="s">
        <v>1185</v>
      </c>
      <c r="P577" s="7" t="s">
        <v>144</v>
      </c>
      <c r="Q577" s="7" t="s">
        <v>1186</v>
      </c>
      <c r="R577" s="7" t="s">
        <v>1186</v>
      </c>
      <c r="S577" s="7" t="s">
        <v>472</v>
      </c>
      <c r="T577" s="7" t="s">
        <v>570</v>
      </c>
      <c r="U577" s="7" t="s">
        <v>148</v>
      </c>
      <c r="V577" s="7" t="s">
        <v>380</v>
      </c>
      <c r="W577" s="7" t="s">
        <v>682</v>
      </c>
      <c r="X577" s="7" t="s">
        <v>1195</v>
      </c>
      <c r="Y577" s="7" t="s">
        <v>237</v>
      </c>
      <c r="Z577" s="7" t="s">
        <v>337</v>
      </c>
      <c r="AA577" s="7" t="s">
        <v>154</v>
      </c>
      <c r="AB577" s="18" t="n">
        <v>125</v>
      </c>
      <c r="AC577" s="7"/>
      <c r="AD577" s="7"/>
      <c r="AE577" s="7" t="s">
        <v>159</v>
      </c>
    </row>
    <row r="578" customFormat="false" ht="21.75" hidden="false" customHeight="true" outlineLevel="0" collapsed="false">
      <c r="B578" s="15" t="n">
        <v>574</v>
      </c>
      <c r="C578" s="9" t="s">
        <v>51</v>
      </c>
      <c r="D578" s="9" t="s">
        <v>24</v>
      </c>
      <c r="E578" s="9" t="s">
        <v>91</v>
      </c>
      <c r="F578" s="9" t="s">
        <v>62</v>
      </c>
      <c r="G578" s="9" t="s">
        <v>1197</v>
      </c>
      <c r="H578" s="9" t="s">
        <v>157</v>
      </c>
      <c r="I578" s="9" t="s">
        <v>158</v>
      </c>
      <c r="J578" s="9" t="s">
        <v>203</v>
      </c>
      <c r="K578" s="9" t="s">
        <v>481</v>
      </c>
      <c r="L578" s="9" t="s">
        <v>354</v>
      </c>
      <c r="M578" s="9" t="s">
        <v>326</v>
      </c>
      <c r="N578" s="9" t="s">
        <v>772</v>
      </c>
      <c r="O578" s="9" t="s">
        <v>1185</v>
      </c>
      <c r="P578" s="9" t="s">
        <v>144</v>
      </c>
      <c r="Q578" s="9" t="s">
        <v>1186</v>
      </c>
      <c r="R578" s="9" t="s">
        <v>1186</v>
      </c>
      <c r="S578" s="9" t="s">
        <v>472</v>
      </c>
      <c r="T578" s="9" t="s">
        <v>570</v>
      </c>
      <c r="U578" s="9" t="s">
        <v>148</v>
      </c>
      <c r="V578" s="9" t="s">
        <v>380</v>
      </c>
      <c r="W578" s="9" t="s">
        <v>682</v>
      </c>
      <c r="X578" s="9" t="s">
        <v>1195</v>
      </c>
      <c r="Y578" s="9" t="s">
        <v>237</v>
      </c>
      <c r="Z578" s="9" t="s">
        <v>337</v>
      </c>
      <c r="AA578" s="9" t="s">
        <v>154</v>
      </c>
      <c r="AB578" s="19" t="n">
        <v>165</v>
      </c>
      <c r="AC578" s="9"/>
      <c r="AD578" s="9"/>
      <c r="AE578" s="9" t="s">
        <v>1198</v>
      </c>
    </row>
    <row r="579" customFormat="false" ht="21.75" hidden="false" customHeight="true" outlineLevel="0" collapsed="false">
      <c r="B579" s="14" t="n">
        <v>575</v>
      </c>
      <c r="C579" s="7" t="s">
        <v>51</v>
      </c>
      <c r="D579" s="7" t="s">
        <v>24</v>
      </c>
      <c r="E579" s="7" t="s">
        <v>91</v>
      </c>
      <c r="F579" s="7" t="s">
        <v>62</v>
      </c>
      <c r="G579" s="7" t="s">
        <v>1199</v>
      </c>
      <c r="H579" s="7" t="s">
        <v>163</v>
      </c>
      <c r="I579" s="7" t="s">
        <v>164</v>
      </c>
      <c r="J579" s="7" t="s">
        <v>203</v>
      </c>
      <c r="K579" s="7" t="s">
        <v>481</v>
      </c>
      <c r="L579" s="7" t="s">
        <v>354</v>
      </c>
      <c r="M579" s="7" t="s">
        <v>326</v>
      </c>
      <c r="N579" s="7" t="s">
        <v>772</v>
      </c>
      <c r="O579" s="7" t="s">
        <v>1185</v>
      </c>
      <c r="P579" s="7" t="s">
        <v>144</v>
      </c>
      <c r="Q579" s="7" t="s">
        <v>1186</v>
      </c>
      <c r="R579" s="7" t="s">
        <v>1186</v>
      </c>
      <c r="S579" s="7" t="s">
        <v>472</v>
      </c>
      <c r="T579" s="7" t="s">
        <v>570</v>
      </c>
      <c r="U579" s="7" t="s">
        <v>148</v>
      </c>
      <c r="V579" s="7" t="s">
        <v>380</v>
      </c>
      <c r="W579" s="7" t="s">
        <v>682</v>
      </c>
      <c r="X579" s="7" t="s">
        <v>1195</v>
      </c>
      <c r="Y579" s="7" t="s">
        <v>237</v>
      </c>
      <c r="Z579" s="7" t="s">
        <v>337</v>
      </c>
      <c r="AA579" s="7" t="s">
        <v>154</v>
      </c>
      <c r="AB579" s="18" t="n">
        <v>250</v>
      </c>
      <c r="AC579" s="7"/>
      <c r="AD579" s="7"/>
      <c r="AE579" s="7" t="s">
        <v>165</v>
      </c>
    </row>
    <row r="580" customFormat="false" ht="21.75" hidden="false" customHeight="true" outlineLevel="0" collapsed="false">
      <c r="B580" s="15" t="n">
        <v>576</v>
      </c>
      <c r="C580" s="9" t="s">
        <v>51</v>
      </c>
      <c r="D580" s="9" t="s">
        <v>24</v>
      </c>
      <c r="E580" s="9" t="s">
        <v>91</v>
      </c>
      <c r="F580" s="9" t="s">
        <v>62</v>
      </c>
      <c r="G580" s="9" t="s">
        <v>1200</v>
      </c>
      <c r="H580" s="9" t="s">
        <v>163</v>
      </c>
      <c r="I580" s="9" t="s">
        <v>164</v>
      </c>
      <c r="J580" s="9" t="s">
        <v>203</v>
      </c>
      <c r="K580" s="9" t="s">
        <v>481</v>
      </c>
      <c r="L580" s="9" t="s">
        <v>354</v>
      </c>
      <c r="M580" s="9" t="s">
        <v>326</v>
      </c>
      <c r="N580" s="9" t="s">
        <v>772</v>
      </c>
      <c r="O580" s="9" t="s">
        <v>1185</v>
      </c>
      <c r="P580" s="9" t="s">
        <v>144</v>
      </c>
      <c r="Q580" s="9" t="s">
        <v>1186</v>
      </c>
      <c r="R580" s="9" t="s">
        <v>1186</v>
      </c>
      <c r="S580" s="9" t="s">
        <v>472</v>
      </c>
      <c r="T580" s="9" t="s">
        <v>570</v>
      </c>
      <c r="U580" s="9" t="s">
        <v>148</v>
      </c>
      <c r="V580" s="9" t="s">
        <v>380</v>
      </c>
      <c r="W580" s="9" t="s">
        <v>682</v>
      </c>
      <c r="X580" s="9" t="s">
        <v>1195</v>
      </c>
      <c r="Y580" s="9" t="s">
        <v>237</v>
      </c>
      <c r="Z580" s="9" t="s">
        <v>337</v>
      </c>
      <c r="AA580" s="9" t="s">
        <v>154</v>
      </c>
      <c r="AB580" s="19" t="n">
        <v>365</v>
      </c>
      <c r="AC580" s="9"/>
      <c r="AD580" s="9"/>
      <c r="AE580" s="9" t="s">
        <v>167</v>
      </c>
    </row>
    <row r="581" customFormat="false" ht="21.75" hidden="false" customHeight="true" outlineLevel="0" collapsed="false">
      <c r="B581" s="14" t="n">
        <v>577</v>
      </c>
      <c r="C581" s="7" t="s">
        <v>51</v>
      </c>
      <c r="D581" s="7" t="s">
        <v>24</v>
      </c>
      <c r="E581" s="7" t="s">
        <v>91</v>
      </c>
      <c r="F581" s="7" t="s">
        <v>63</v>
      </c>
      <c r="G581" s="7" t="s">
        <v>1201</v>
      </c>
      <c r="H581" s="7" t="s">
        <v>136</v>
      </c>
      <c r="I581" s="7" t="s">
        <v>137</v>
      </c>
      <c r="J581" s="7" t="s">
        <v>1202</v>
      </c>
      <c r="K581" s="7" t="s">
        <v>488</v>
      </c>
      <c r="L581" s="7" t="s">
        <v>1203</v>
      </c>
      <c r="M581" s="7" t="s">
        <v>326</v>
      </c>
      <c r="N581" s="7" t="s">
        <v>1204</v>
      </c>
      <c r="O581" s="7" t="s">
        <v>1185</v>
      </c>
      <c r="P581" s="7" t="s">
        <v>144</v>
      </c>
      <c r="Q581" s="7" t="s">
        <v>1186</v>
      </c>
      <c r="R581" s="7" t="s">
        <v>1186</v>
      </c>
      <c r="S581" s="7" t="s">
        <v>472</v>
      </c>
      <c r="T581" s="7" t="s">
        <v>1205</v>
      </c>
      <c r="U581" s="7" t="s">
        <v>148</v>
      </c>
      <c r="V581" s="7" t="s">
        <v>236</v>
      </c>
      <c r="W581" s="7" t="s">
        <v>682</v>
      </c>
      <c r="X581" s="7" t="s">
        <v>1206</v>
      </c>
      <c r="Y581" s="7" t="s">
        <v>336</v>
      </c>
      <c r="Z581" s="7" t="s">
        <v>337</v>
      </c>
      <c r="AA581" s="7" t="s">
        <v>154</v>
      </c>
      <c r="AB581" s="18" t="n">
        <v>65</v>
      </c>
      <c r="AC581" s="7"/>
      <c r="AD581" s="7"/>
      <c r="AE581" s="7" t="s">
        <v>155</v>
      </c>
    </row>
    <row r="582" customFormat="false" ht="21.75" hidden="false" customHeight="true" outlineLevel="0" collapsed="false">
      <c r="B582" s="15" t="n">
        <v>578</v>
      </c>
      <c r="C582" s="9" t="s">
        <v>51</v>
      </c>
      <c r="D582" s="9" t="s">
        <v>24</v>
      </c>
      <c r="E582" s="9" t="s">
        <v>91</v>
      </c>
      <c r="F582" s="9" t="s">
        <v>63</v>
      </c>
      <c r="G582" s="9" t="s">
        <v>1207</v>
      </c>
      <c r="H582" s="9" t="s">
        <v>157</v>
      </c>
      <c r="I582" s="9" t="s">
        <v>158</v>
      </c>
      <c r="J582" s="9" t="s">
        <v>1202</v>
      </c>
      <c r="K582" s="9" t="s">
        <v>488</v>
      </c>
      <c r="L582" s="9" t="s">
        <v>1203</v>
      </c>
      <c r="M582" s="9" t="s">
        <v>326</v>
      </c>
      <c r="N582" s="9" t="s">
        <v>1204</v>
      </c>
      <c r="O582" s="9" t="s">
        <v>1185</v>
      </c>
      <c r="P582" s="9" t="s">
        <v>144</v>
      </c>
      <c r="Q582" s="9" t="s">
        <v>1186</v>
      </c>
      <c r="R582" s="9" t="s">
        <v>1186</v>
      </c>
      <c r="S582" s="9" t="s">
        <v>472</v>
      </c>
      <c r="T582" s="9" t="s">
        <v>1205</v>
      </c>
      <c r="U582" s="9" t="s">
        <v>148</v>
      </c>
      <c r="V582" s="9" t="s">
        <v>236</v>
      </c>
      <c r="W582" s="9" t="s">
        <v>682</v>
      </c>
      <c r="X582" s="9" t="s">
        <v>1206</v>
      </c>
      <c r="Y582" s="9" t="s">
        <v>336</v>
      </c>
      <c r="Z582" s="9" t="s">
        <v>337</v>
      </c>
      <c r="AA582" s="9" t="s">
        <v>154</v>
      </c>
      <c r="AB582" s="19" t="n">
        <v>100</v>
      </c>
      <c r="AC582" s="9"/>
      <c r="AD582" s="9"/>
      <c r="AE582" s="9" t="s">
        <v>159</v>
      </c>
    </row>
    <row r="583" customFormat="false" ht="21.75" hidden="false" customHeight="true" outlineLevel="0" collapsed="false">
      <c r="B583" s="14" t="n">
        <v>579</v>
      </c>
      <c r="C583" s="7" t="s">
        <v>51</v>
      </c>
      <c r="D583" s="7" t="s">
        <v>24</v>
      </c>
      <c r="E583" s="7" t="s">
        <v>91</v>
      </c>
      <c r="F583" s="7" t="s">
        <v>63</v>
      </c>
      <c r="G583" s="7" t="s">
        <v>1208</v>
      </c>
      <c r="H583" s="7" t="s">
        <v>157</v>
      </c>
      <c r="I583" s="7" t="s">
        <v>158</v>
      </c>
      <c r="J583" s="7" t="s">
        <v>1202</v>
      </c>
      <c r="K583" s="7" t="s">
        <v>488</v>
      </c>
      <c r="L583" s="7" t="s">
        <v>1203</v>
      </c>
      <c r="M583" s="7" t="s">
        <v>326</v>
      </c>
      <c r="N583" s="7" t="s">
        <v>1204</v>
      </c>
      <c r="O583" s="7" t="s">
        <v>1185</v>
      </c>
      <c r="P583" s="7" t="s">
        <v>144</v>
      </c>
      <c r="Q583" s="7" t="s">
        <v>1186</v>
      </c>
      <c r="R583" s="7" t="s">
        <v>1186</v>
      </c>
      <c r="S583" s="7" t="s">
        <v>472</v>
      </c>
      <c r="T583" s="7" t="s">
        <v>1205</v>
      </c>
      <c r="U583" s="7" t="s">
        <v>148</v>
      </c>
      <c r="V583" s="7" t="s">
        <v>236</v>
      </c>
      <c r="W583" s="7" t="s">
        <v>682</v>
      </c>
      <c r="X583" s="7" t="s">
        <v>1206</v>
      </c>
      <c r="Y583" s="7" t="s">
        <v>336</v>
      </c>
      <c r="Z583" s="7" t="s">
        <v>337</v>
      </c>
      <c r="AA583" s="7" t="s">
        <v>154</v>
      </c>
      <c r="AB583" s="18" t="n">
        <v>130</v>
      </c>
      <c r="AC583" s="7"/>
      <c r="AD583" s="7"/>
      <c r="AE583" s="7" t="s">
        <v>1209</v>
      </c>
    </row>
    <row r="584" customFormat="false" ht="21.75" hidden="false" customHeight="true" outlineLevel="0" collapsed="false">
      <c r="B584" s="15" t="n">
        <v>580</v>
      </c>
      <c r="C584" s="9" t="s">
        <v>51</v>
      </c>
      <c r="D584" s="9" t="s">
        <v>24</v>
      </c>
      <c r="E584" s="9" t="s">
        <v>91</v>
      </c>
      <c r="F584" s="9" t="s">
        <v>63</v>
      </c>
      <c r="G584" s="9" t="s">
        <v>1210</v>
      </c>
      <c r="H584" s="9" t="s">
        <v>163</v>
      </c>
      <c r="I584" s="9" t="s">
        <v>164</v>
      </c>
      <c r="J584" s="9" t="s">
        <v>1202</v>
      </c>
      <c r="K584" s="9" t="s">
        <v>488</v>
      </c>
      <c r="L584" s="9" t="s">
        <v>1203</v>
      </c>
      <c r="M584" s="9" t="s">
        <v>326</v>
      </c>
      <c r="N584" s="9" t="s">
        <v>1204</v>
      </c>
      <c r="O584" s="9" t="s">
        <v>1185</v>
      </c>
      <c r="P584" s="9" t="s">
        <v>144</v>
      </c>
      <c r="Q584" s="9" t="s">
        <v>1186</v>
      </c>
      <c r="R584" s="9" t="s">
        <v>1186</v>
      </c>
      <c r="S584" s="9" t="s">
        <v>472</v>
      </c>
      <c r="T584" s="9" t="s">
        <v>1205</v>
      </c>
      <c r="U584" s="9" t="s">
        <v>148</v>
      </c>
      <c r="V584" s="9" t="s">
        <v>236</v>
      </c>
      <c r="W584" s="9" t="s">
        <v>682</v>
      </c>
      <c r="X584" s="9" t="s">
        <v>1206</v>
      </c>
      <c r="Y584" s="9" t="s">
        <v>336</v>
      </c>
      <c r="Z584" s="9" t="s">
        <v>337</v>
      </c>
      <c r="AA584" s="9" t="s">
        <v>154</v>
      </c>
      <c r="AB584" s="19" t="n">
        <v>195</v>
      </c>
      <c r="AC584" s="9"/>
      <c r="AD584" s="9"/>
      <c r="AE584" s="9" t="s">
        <v>165</v>
      </c>
    </row>
    <row r="585" customFormat="false" ht="21.75" hidden="false" customHeight="true" outlineLevel="0" collapsed="false">
      <c r="B585" s="14" t="n">
        <v>581</v>
      </c>
      <c r="C585" s="7" t="s">
        <v>51</v>
      </c>
      <c r="D585" s="7" t="s">
        <v>24</v>
      </c>
      <c r="E585" s="7" t="s">
        <v>91</v>
      </c>
      <c r="F585" s="7" t="s">
        <v>63</v>
      </c>
      <c r="G585" s="7" t="s">
        <v>1211</v>
      </c>
      <c r="H585" s="7" t="s">
        <v>163</v>
      </c>
      <c r="I585" s="7" t="s">
        <v>164</v>
      </c>
      <c r="J585" s="7" t="s">
        <v>1202</v>
      </c>
      <c r="K585" s="7" t="s">
        <v>488</v>
      </c>
      <c r="L585" s="7" t="s">
        <v>1203</v>
      </c>
      <c r="M585" s="7" t="s">
        <v>326</v>
      </c>
      <c r="N585" s="7" t="s">
        <v>1204</v>
      </c>
      <c r="O585" s="7" t="s">
        <v>1185</v>
      </c>
      <c r="P585" s="7" t="s">
        <v>144</v>
      </c>
      <c r="Q585" s="7" t="s">
        <v>1186</v>
      </c>
      <c r="R585" s="7" t="s">
        <v>1186</v>
      </c>
      <c r="S585" s="7" t="s">
        <v>472</v>
      </c>
      <c r="T585" s="7" t="s">
        <v>1205</v>
      </c>
      <c r="U585" s="7" t="s">
        <v>148</v>
      </c>
      <c r="V585" s="7" t="s">
        <v>236</v>
      </c>
      <c r="W585" s="7" t="s">
        <v>682</v>
      </c>
      <c r="X585" s="7" t="s">
        <v>1206</v>
      </c>
      <c r="Y585" s="7" t="s">
        <v>336</v>
      </c>
      <c r="Z585" s="7" t="s">
        <v>337</v>
      </c>
      <c r="AA585" s="7" t="s">
        <v>154</v>
      </c>
      <c r="AB585" s="18" t="n">
        <v>285</v>
      </c>
      <c r="AC585" s="7"/>
      <c r="AD585" s="7"/>
      <c r="AE585" s="7" t="s">
        <v>167</v>
      </c>
    </row>
    <row r="586" customFormat="false" ht="21.75" hidden="false" customHeight="true" outlineLevel="0" collapsed="false">
      <c r="B586" s="15" t="n">
        <v>582</v>
      </c>
      <c r="C586" s="9" t="s">
        <v>51</v>
      </c>
      <c r="D586" s="9" t="s">
        <v>24</v>
      </c>
      <c r="E586" s="9" t="s">
        <v>91</v>
      </c>
      <c r="F586" s="9" t="s">
        <v>64</v>
      </c>
      <c r="G586" s="9" t="s">
        <v>1212</v>
      </c>
      <c r="H586" s="9" t="s">
        <v>136</v>
      </c>
      <c r="I586" s="9" t="s">
        <v>137</v>
      </c>
      <c r="J586" s="9" t="s">
        <v>203</v>
      </c>
      <c r="K586" s="9" t="s">
        <v>1213</v>
      </c>
      <c r="L586" s="9" t="s">
        <v>623</v>
      </c>
      <c r="M586" s="9" t="s">
        <v>326</v>
      </c>
      <c r="N586" s="9" t="s">
        <v>1214</v>
      </c>
      <c r="O586" s="9" t="s">
        <v>1185</v>
      </c>
      <c r="P586" s="9" t="s">
        <v>144</v>
      </c>
      <c r="Q586" s="9" t="s">
        <v>1186</v>
      </c>
      <c r="R586" s="9" t="s">
        <v>1186</v>
      </c>
      <c r="S586" s="9" t="s">
        <v>472</v>
      </c>
      <c r="T586" s="9" t="s">
        <v>356</v>
      </c>
      <c r="U586" s="9" t="s">
        <v>194</v>
      </c>
      <c r="V586" s="9" t="s">
        <v>296</v>
      </c>
      <c r="W586" s="9" t="s">
        <v>682</v>
      </c>
      <c r="X586" s="9" t="s">
        <v>1215</v>
      </c>
      <c r="Y586" s="9" t="s">
        <v>976</v>
      </c>
      <c r="Z586" s="9" t="s">
        <v>337</v>
      </c>
      <c r="AA586" s="9" t="s">
        <v>183</v>
      </c>
      <c r="AB586" s="19" t="n">
        <v>210</v>
      </c>
      <c r="AC586" s="9"/>
      <c r="AD586" s="9"/>
      <c r="AE586" s="9" t="s">
        <v>155</v>
      </c>
    </row>
    <row r="587" customFormat="false" ht="21.75" hidden="false" customHeight="true" outlineLevel="0" collapsed="false">
      <c r="B587" s="14" t="n">
        <v>583</v>
      </c>
      <c r="C587" s="7" t="s">
        <v>51</v>
      </c>
      <c r="D587" s="7" t="s">
        <v>24</v>
      </c>
      <c r="E587" s="7" t="s">
        <v>91</v>
      </c>
      <c r="F587" s="7" t="s">
        <v>64</v>
      </c>
      <c r="G587" s="7" t="s">
        <v>1216</v>
      </c>
      <c r="H587" s="7" t="s">
        <v>136</v>
      </c>
      <c r="I587" s="7" t="s">
        <v>137</v>
      </c>
      <c r="J587" s="7" t="s">
        <v>203</v>
      </c>
      <c r="K587" s="7" t="s">
        <v>1213</v>
      </c>
      <c r="L587" s="7" t="s">
        <v>623</v>
      </c>
      <c r="M587" s="7" t="s">
        <v>326</v>
      </c>
      <c r="N587" s="7" t="s">
        <v>1214</v>
      </c>
      <c r="O587" s="7" t="s">
        <v>1185</v>
      </c>
      <c r="P587" s="7" t="s">
        <v>144</v>
      </c>
      <c r="Q587" s="7" t="s">
        <v>1186</v>
      </c>
      <c r="R587" s="7" t="s">
        <v>1186</v>
      </c>
      <c r="S587" s="7" t="s">
        <v>472</v>
      </c>
      <c r="T587" s="7" t="s">
        <v>356</v>
      </c>
      <c r="U587" s="7" t="s">
        <v>194</v>
      </c>
      <c r="V587" s="7" t="s">
        <v>296</v>
      </c>
      <c r="W587" s="7" t="s">
        <v>682</v>
      </c>
      <c r="X587" s="7" t="s">
        <v>1215</v>
      </c>
      <c r="Y587" s="7" t="s">
        <v>976</v>
      </c>
      <c r="Z587" s="7" t="s">
        <v>337</v>
      </c>
      <c r="AA587" s="7" t="s">
        <v>183</v>
      </c>
      <c r="AB587" s="18" t="n">
        <v>315</v>
      </c>
      <c r="AC587" s="7"/>
      <c r="AD587" s="7"/>
      <c r="AE587" s="7" t="s">
        <v>159</v>
      </c>
    </row>
    <row r="588" customFormat="false" ht="21.75" hidden="false" customHeight="true" outlineLevel="0" collapsed="false">
      <c r="B588" s="15" t="n">
        <v>584</v>
      </c>
      <c r="C588" s="9" t="s">
        <v>51</v>
      </c>
      <c r="D588" s="9" t="s">
        <v>24</v>
      </c>
      <c r="E588" s="9" t="s">
        <v>91</v>
      </c>
      <c r="F588" s="9" t="s">
        <v>64</v>
      </c>
      <c r="G588" s="9" t="s">
        <v>1217</v>
      </c>
      <c r="H588" s="9" t="s">
        <v>157</v>
      </c>
      <c r="I588" s="9" t="s">
        <v>158</v>
      </c>
      <c r="J588" s="9" t="s">
        <v>203</v>
      </c>
      <c r="K588" s="9" t="s">
        <v>1213</v>
      </c>
      <c r="L588" s="9" t="s">
        <v>623</v>
      </c>
      <c r="M588" s="9" t="s">
        <v>326</v>
      </c>
      <c r="N588" s="9" t="s">
        <v>1214</v>
      </c>
      <c r="O588" s="9" t="s">
        <v>1185</v>
      </c>
      <c r="P588" s="9" t="s">
        <v>144</v>
      </c>
      <c r="Q588" s="9" t="s">
        <v>1186</v>
      </c>
      <c r="R588" s="9" t="s">
        <v>1186</v>
      </c>
      <c r="S588" s="9" t="s">
        <v>472</v>
      </c>
      <c r="T588" s="9" t="s">
        <v>356</v>
      </c>
      <c r="U588" s="9" t="s">
        <v>194</v>
      </c>
      <c r="V588" s="9" t="s">
        <v>296</v>
      </c>
      <c r="W588" s="9" t="s">
        <v>682</v>
      </c>
      <c r="X588" s="9" t="s">
        <v>1215</v>
      </c>
      <c r="Y588" s="9" t="s">
        <v>976</v>
      </c>
      <c r="Z588" s="9" t="s">
        <v>337</v>
      </c>
      <c r="AA588" s="9" t="s">
        <v>183</v>
      </c>
      <c r="AB588" s="19" t="n">
        <v>420</v>
      </c>
      <c r="AC588" s="9"/>
      <c r="AD588" s="9"/>
      <c r="AE588" s="9" t="s">
        <v>1218</v>
      </c>
    </row>
    <row r="589" customFormat="false" ht="21.75" hidden="false" customHeight="true" outlineLevel="0" collapsed="false">
      <c r="B589" s="14" t="n">
        <v>585</v>
      </c>
      <c r="C589" s="7" t="s">
        <v>51</v>
      </c>
      <c r="D589" s="7" t="s">
        <v>24</v>
      </c>
      <c r="E589" s="7" t="s">
        <v>91</v>
      </c>
      <c r="F589" s="7" t="s">
        <v>64</v>
      </c>
      <c r="G589" s="7" t="s">
        <v>1219</v>
      </c>
      <c r="H589" s="7" t="s">
        <v>157</v>
      </c>
      <c r="I589" s="7" t="s">
        <v>158</v>
      </c>
      <c r="J589" s="7" t="s">
        <v>203</v>
      </c>
      <c r="K589" s="7" t="s">
        <v>1213</v>
      </c>
      <c r="L589" s="7" t="s">
        <v>623</v>
      </c>
      <c r="M589" s="7" t="s">
        <v>326</v>
      </c>
      <c r="N589" s="7" t="s">
        <v>1214</v>
      </c>
      <c r="O589" s="7" t="s">
        <v>1185</v>
      </c>
      <c r="P589" s="7" t="s">
        <v>144</v>
      </c>
      <c r="Q589" s="7" t="s">
        <v>1186</v>
      </c>
      <c r="R589" s="7" t="s">
        <v>1186</v>
      </c>
      <c r="S589" s="7" t="s">
        <v>472</v>
      </c>
      <c r="T589" s="7" t="s">
        <v>356</v>
      </c>
      <c r="U589" s="7" t="s">
        <v>194</v>
      </c>
      <c r="V589" s="7" t="s">
        <v>296</v>
      </c>
      <c r="W589" s="7" t="s">
        <v>682</v>
      </c>
      <c r="X589" s="7" t="s">
        <v>1215</v>
      </c>
      <c r="Y589" s="7" t="s">
        <v>976</v>
      </c>
      <c r="Z589" s="7" t="s">
        <v>337</v>
      </c>
      <c r="AA589" s="7" t="s">
        <v>183</v>
      </c>
      <c r="AB589" s="18" t="n">
        <v>630</v>
      </c>
      <c r="AC589" s="7"/>
      <c r="AD589" s="7"/>
      <c r="AE589" s="7" t="s">
        <v>165</v>
      </c>
    </row>
    <row r="590" customFormat="false" ht="21.75" hidden="false" customHeight="true" outlineLevel="0" collapsed="false">
      <c r="B590" s="15" t="n">
        <v>586</v>
      </c>
      <c r="C590" s="9" t="s">
        <v>51</v>
      </c>
      <c r="D590" s="9" t="s">
        <v>24</v>
      </c>
      <c r="E590" s="9" t="s">
        <v>91</v>
      </c>
      <c r="F590" s="9" t="s">
        <v>64</v>
      </c>
      <c r="G590" s="9" t="s">
        <v>1220</v>
      </c>
      <c r="H590" s="9" t="s">
        <v>163</v>
      </c>
      <c r="I590" s="9" t="s">
        <v>164</v>
      </c>
      <c r="J590" s="9" t="s">
        <v>203</v>
      </c>
      <c r="K590" s="9" t="s">
        <v>1213</v>
      </c>
      <c r="L590" s="9" t="s">
        <v>623</v>
      </c>
      <c r="M590" s="9" t="s">
        <v>326</v>
      </c>
      <c r="N590" s="9" t="s">
        <v>1214</v>
      </c>
      <c r="O590" s="9" t="s">
        <v>1185</v>
      </c>
      <c r="P590" s="9" t="s">
        <v>144</v>
      </c>
      <c r="Q590" s="9" t="s">
        <v>1186</v>
      </c>
      <c r="R590" s="9" t="s">
        <v>1186</v>
      </c>
      <c r="S590" s="9" t="s">
        <v>472</v>
      </c>
      <c r="T590" s="9" t="s">
        <v>356</v>
      </c>
      <c r="U590" s="9" t="s">
        <v>194</v>
      </c>
      <c r="V590" s="9" t="s">
        <v>296</v>
      </c>
      <c r="W590" s="9" t="s">
        <v>682</v>
      </c>
      <c r="X590" s="9" t="s">
        <v>1215</v>
      </c>
      <c r="Y590" s="9" t="s">
        <v>976</v>
      </c>
      <c r="Z590" s="9" t="s">
        <v>337</v>
      </c>
      <c r="AA590" s="9" t="s">
        <v>183</v>
      </c>
      <c r="AB590" s="19" t="n">
        <v>925</v>
      </c>
      <c r="AC590" s="9"/>
      <c r="AD590" s="9"/>
      <c r="AE590" s="9" t="s">
        <v>167</v>
      </c>
    </row>
    <row r="591" customFormat="false" ht="21.75" hidden="false" customHeight="true" outlineLevel="0" collapsed="false">
      <c r="B591" s="14" t="n">
        <v>587</v>
      </c>
      <c r="C591" s="7" t="s">
        <v>51</v>
      </c>
      <c r="D591" s="7" t="s">
        <v>24</v>
      </c>
      <c r="E591" s="7" t="s">
        <v>91</v>
      </c>
      <c r="F591" s="7" t="s">
        <v>65</v>
      </c>
      <c r="G591" s="7" t="s">
        <v>1221</v>
      </c>
      <c r="H591" s="7" t="s">
        <v>136</v>
      </c>
      <c r="I591" s="7" t="s">
        <v>137</v>
      </c>
      <c r="J591" s="7" t="s">
        <v>203</v>
      </c>
      <c r="K591" s="7" t="s">
        <v>1222</v>
      </c>
      <c r="L591" s="7" t="s">
        <v>205</v>
      </c>
      <c r="M591" s="7" t="s">
        <v>326</v>
      </c>
      <c r="N591" s="7" t="s">
        <v>206</v>
      </c>
      <c r="O591" s="7" t="s">
        <v>1185</v>
      </c>
      <c r="P591" s="7" t="s">
        <v>144</v>
      </c>
      <c r="Q591" s="7" t="s">
        <v>1186</v>
      </c>
      <c r="R591" s="7" t="s">
        <v>1186</v>
      </c>
      <c r="S591" s="7" t="s">
        <v>472</v>
      </c>
      <c r="T591" s="7" t="s">
        <v>356</v>
      </c>
      <c r="U591" s="7" t="s">
        <v>148</v>
      </c>
      <c r="V591" s="7" t="s">
        <v>951</v>
      </c>
      <c r="W591" s="7" t="s">
        <v>682</v>
      </c>
      <c r="X591" s="7" t="s">
        <v>1223</v>
      </c>
      <c r="Y591" s="7" t="s">
        <v>475</v>
      </c>
      <c r="Z591" s="7" t="s">
        <v>337</v>
      </c>
      <c r="AA591" s="7" t="s">
        <v>154</v>
      </c>
      <c r="AB591" s="18" t="n">
        <v>105</v>
      </c>
      <c r="AC591" s="7"/>
      <c r="AD591" s="7"/>
      <c r="AE591" s="7" t="s">
        <v>155</v>
      </c>
    </row>
    <row r="592" customFormat="false" ht="21.75" hidden="false" customHeight="true" outlineLevel="0" collapsed="false">
      <c r="B592" s="15" t="n">
        <v>588</v>
      </c>
      <c r="C592" s="9" t="s">
        <v>51</v>
      </c>
      <c r="D592" s="9" t="s">
        <v>24</v>
      </c>
      <c r="E592" s="9" t="s">
        <v>91</v>
      </c>
      <c r="F592" s="9" t="s">
        <v>65</v>
      </c>
      <c r="G592" s="9" t="s">
        <v>1224</v>
      </c>
      <c r="H592" s="9" t="s">
        <v>136</v>
      </c>
      <c r="I592" s="9" t="s">
        <v>137</v>
      </c>
      <c r="J592" s="9" t="s">
        <v>203</v>
      </c>
      <c r="K592" s="9" t="s">
        <v>1222</v>
      </c>
      <c r="L592" s="9" t="s">
        <v>205</v>
      </c>
      <c r="M592" s="9" t="s">
        <v>326</v>
      </c>
      <c r="N592" s="9" t="s">
        <v>206</v>
      </c>
      <c r="O592" s="9" t="s">
        <v>1185</v>
      </c>
      <c r="P592" s="9" t="s">
        <v>144</v>
      </c>
      <c r="Q592" s="9" t="s">
        <v>1186</v>
      </c>
      <c r="R592" s="9" t="s">
        <v>1186</v>
      </c>
      <c r="S592" s="9" t="s">
        <v>472</v>
      </c>
      <c r="T592" s="9" t="s">
        <v>356</v>
      </c>
      <c r="U592" s="9" t="s">
        <v>148</v>
      </c>
      <c r="V592" s="9" t="s">
        <v>951</v>
      </c>
      <c r="W592" s="9" t="s">
        <v>682</v>
      </c>
      <c r="X592" s="9" t="s">
        <v>1223</v>
      </c>
      <c r="Y592" s="9" t="s">
        <v>475</v>
      </c>
      <c r="Z592" s="9" t="s">
        <v>337</v>
      </c>
      <c r="AA592" s="9" t="s">
        <v>154</v>
      </c>
      <c r="AB592" s="19" t="n">
        <v>160</v>
      </c>
      <c r="AC592" s="9"/>
      <c r="AD592" s="9"/>
      <c r="AE592" s="9" t="s">
        <v>159</v>
      </c>
    </row>
    <row r="593" customFormat="false" ht="21.75" hidden="false" customHeight="true" outlineLevel="0" collapsed="false">
      <c r="B593" s="14" t="n">
        <v>589</v>
      </c>
      <c r="C593" s="7" t="s">
        <v>51</v>
      </c>
      <c r="D593" s="7" t="s">
        <v>24</v>
      </c>
      <c r="E593" s="7" t="s">
        <v>91</v>
      </c>
      <c r="F593" s="7" t="s">
        <v>65</v>
      </c>
      <c r="G593" s="7" t="s">
        <v>1212</v>
      </c>
      <c r="H593" s="7" t="s">
        <v>157</v>
      </c>
      <c r="I593" s="7" t="s">
        <v>158</v>
      </c>
      <c r="J593" s="7" t="s">
        <v>203</v>
      </c>
      <c r="K593" s="7" t="s">
        <v>1222</v>
      </c>
      <c r="L593" s="7" t="s">
        <v>205</v>
      </c>
      <c r="M593" s="7" t="s">
        <v>326</v>
      </c>
      <c r="N593" s="7" t="s">
        <v>206</v>
      </c>
      <c r="O593" s="7" t="s">
        <v>1185</v>
      </c>
      <c r="P593" s="7" t="s">
        <v>144</v>
      </c>
      <c r="Q593" s="7" t="s">
        <v>1186</v>
      </c>
      <c r="R593" s="7" t="s">
        <v>1186</v>
      </c>
      <c r="S593" s="7" t="s">
        <v>472</v>
      </c>
      <c r="T593" s="7" t="s">
        <v>356</v>
      </c>
      <c r="U593" s="7" t="s">
        <v>148</v>
      </c>
      <c r="V593" s="7" t="s">
        <v>951</v>
      </c>
      <c r="W593" s="7" t="s">
        <v>682</v>
      </c>
      <c r="X593" s="7" t="s">
        <v>1223</v>
      </c>
      <c r="Y593" s="7" t="s">
        <v>475</v>
      </c>
      <c r="Z593" s="7" t="s">
        <v>337</v>
      </c>
      <c r="AA593" s="7" t="s">
        <v>154</v>
      </c>
      <c r="AB593" s="18" t="n">
        <v>210</v>
      </c>
      <c r="AC593" s="7"/>
      <c r="AD593" s="7"/>
      <c r="AE593" s="7" t="s">
        <v>1225</v>
      </c>
    </row>
    <row r="594" customFormat="false" ht="21.75" hidden="false" customHeight="true" outlineLevel="0" collapsed="false">
      <c r="B594" s="15" t="n">
        <v>590</v>
      </c>
      <c r="C594" s="9" t="s">
        <v>51</v>
      </c>
      <c r="D594" s="9" t="s">
        <v>24</v>
      </c>
      <c r="E594" s="9" t="s">
        <v>91</v>
      </c>
      <c r="F594" s="9" t="s">
        <v>65</v>
      </c>
      <c r="G594" s="9" t="s">
        <v>1226</v>
      </c>
      <c r="H594" s="9" t="s">
        <v>157</v>
      </c>
      <c r="I594" s="9" t="s">
        <v>158</v>
      </c>
      <c r="J594" s="9" t="s">
        <v>203</v>
      </c>
      <c r="K594" s="9" t="s">
        <v>1222</v>
      </c>
      <c r="L594" s="9" t="s">
        <v>205</v>
      </c>
      <c r="M594" s="9" t="s">
        <v>326</v>
      </c>
      <c r="N594" s="9" t="s">
        <v>206</v>
      </c>
      <c r="O594" s="9" t="s">
        <v>1185</v>
      </c>
      <c r="P594" s="9" t="s">
        <v>144</v>
      </c>
      <c r="Q594" s="9" t="s">
        <v>1186</v>
      </c>
      <c r="R594" s="9" t="s">
        <v>1186</v>
      </c>
      <c r="S594" s="9" t="s">
        <v>472</v>
      </c>
      <c r="T594" s="9" t="s">
        <v>356</v>
      </c>
      <c r="U594" s="9" t="s">
        <v>148</v>
      </c>
      <c r="V594" s="9" t="s">
        <v>951</v>
      </c>
      <c r="W594" s="9" t="s">
        <v>682</v>
      </c>
      <c r="X594" s="9" t="s">
        <v>1223</v>
      </c>
      <c r="Y594" s="9" t="s">
        <v>475</v>
      </c>
      <c r="Z594" s="9" t="s">
        <v>337</v>
      </c>
      <c r="AA594" s="9" t="s">
        <v>154</v>
      </c>
      <c r="AB594" s="19" t="n">
        <v>315</v>
      </c>
      <c r="AC594" s="9"/>
      <c r="AD594" s="9"/>
      <c r="AE594" s="9" t="s">
        <v>165</v>
      </c>
    </row>
    <row r="595" customFormat="false" ht="21.75" hidden="false" customHeight="true" outlineLevel="0" collapsed="false">
      <c r="B595" s="14" t="n">
        <v>591</v>
      </c>
      <c r="C595" s="7" t="s">
        <v>51</v>
      </c>
      <c r="D595" s="7" t="s">
        <v>24</v>
      </c>
      <c r="E595" s="7" t="s">
        <v>91</v>
      </c>
      <c r="F595" s="7" t="s">
        <v>65</v>
      </c>
      <c r="G595" s="7" t="s">
        <v>1216</v>
      </c>
      <c r="H595" s="7" t="s">
        <v>163</v>
      </c>
      <c r="I595" s="7" t="s">
        <v>164</v>
      </c>
      <c r="J595" s="7" t="s">
        <v>203</v>
      </c>
      <c r="K595" s="7" t="s">
        <v>1222</v>
      </c>
      <c r="L595" s="7" t="s">
        <v>205</v>
      </c>
      <c r="M595" s="7" t="s">
        <v>326</v>
      </c>
      <c r="N595" s="7" t="s">
        <v>206</v>
      </c>
      <c r="O595" s="7" t="s">
        <v>1185</v>
      </c>
      <c r="P595" s="7" t="s">
        <v>144</v>
      </c>
      <c r="Q595" s="7" t="s">
        <v>1186</v>
      </c>
      <c r="R595" s="7" t="s">
        <v>1186</v>
      </c>
      <c r="S595" s="7" t="s">
        <v>472</v>
      </c>
      <c r="T595" s="7" t="s">
        <v>356</v>
      </c>
      <c r="U595" s="7" t="s">
        <v>148</v>
      </c>
      <c r="V595" s="7" t="s">
        <v>951</v>
      </c>
      <c r="W595" s="7" t="s">
        <v>682</v>
      </c>
      <c r="X595" s="7" t="s">
        <v>1223</v>
      </c>
      <c r="Y595" s="7" t="s">
        <v>475</v>
      </c>
      <c r="Z595" s="7" t="s">
        <v>337</v>
      </c>
      <c r="AA595" s="7" t="s">
        <v>154</v>
      </c>
      <c r="AB595" s="18" t="n">
        <v>460</v>
      </c>
      <c r="AC595" s="7"/>
      <c r="AD595" s="7"/>
      <c r="AE595" s="7" t="s">
        <v>167</v>
      </c>
    </row>
    <row r="596" customFormat="false" ht="21.75" hidden="false" customHeight="true" outlineLevel="0" collapsed="false">
      <c r="B596" s="15" t="n">
        <v>592</v>
      </c>
      <c r="C596" s="9" t="s">
        <v>51</v>
      </c>
      <c r="D596" s="9" t="s">
        <v>24</v>
      </c>
      <c r="E596" s="9" t="s">
        <v>91</v>
      </c>
      <c r="F596" s="9" t="s">
        <v>66</v>
      </c>
      <c r="G596" s="9" t="s">
        <v>1227</v>
      </c>
      <c r="H596" s="9" t="s">
        <v>136</v>
      </c>
      <c r="I596" s="9" t="s">
        <v>137</v>
      </c>
      <c r="J596" s="9" t="s">
        <v>1011</v>
      </c>
      <c r="K596" s="9" t="s">
        <v>217</v>
      </c>
      <c r="L596" s="9" t="s">
        <v>218</v>
      </c>
      <c r="M596" s="9" t="s">
        <v>326</v>
      </c>
      <c r="N596" s="9" t="s">
        <v>772</v>
      </c>
      <c r="O596" s="9" t="s">
        <v>1185</v>
      </c>
      <c r="P596" s="9" t="s">
        <v>144</v>
      </c>
      <c r="Q596" s="9" t="s">
        <v>1186</v>
      </c>
      <c r="R596" s="9" t="s">
        <v>1186</v>
      </c>
      <c r="S596" s="9" t="s">
        <v>472</v>
      </c>
      <c r="T596" s="9" t="s">
        <v>223</v>
      </c>
      <c r="U596" s="9" t="s">
        <v>148</v>
      </c>
      <c r="V596" s="9" t="s">
        <v>387</v>
      </c>
      <c r="W596" s="9" t="s">
        <v>682</v>
      </c>
      <c r="X596" s="9" t="s">
        <v>1228</v>
      </c>
      <c r="Y596" s="9" t="s">
        <v>400</v>
      </c>
      <c r="Z596" s="9" t="s">
        <v>337</v>
      </c>
      <c r="AA596" s="9" t="s">
        <v>223</v>
      </c>
      <c r="AB596" s="19" t="n">
        <v>90</v>
      </c>
      <c r="AC596" s="9"/>
      <c r="AD596" s="9"/>
      <c r="AE596" s="9" t="s">
        <v>155</v>
      </c>
    </row>
    <row r="597" customFormat="false" ht="21.75" hidden="false" customHeight="true" outlineLevel="0" collapsed="false">
      <c r="B597" s="14" t="n">
        <v>593</v>
      </c>
      <c r="C597" s="7" t="s">
        <v>51</v>
      </c>
      <c r="D597" s="7" t="s">
        <v>24</v>
      </c>
      <c r="E597" s="7" t="s">
        <v>91</v>
      </c>
      <c r="F597" s="7" t="s">
        <v>66</v>
      </c>
      <c r="G597" s="7" t="s">
        <v>1229</v>
      </c>
      <c r="H597" s="7" t="s">
        <v>157</v>
      </c>
      <c r="I597" s="7" t="s">
        <v>158</v>
      </c>
      <c r="J597" s="7" t="s">
        <v>1011</v>
      </c>
      <c r="K597" s="7" t="s">
        <v>217</v>
      </c>
      <c r="L597" s="7" t="s">
        <v>218</v>
      </c>
      <c r="M597" s="7" t="s">
        <v>326</v>
      </c>
      <c r="N597" s="7" t="s">
        <v>772</v>
      </c>
      <c r="O597" s="7" t="s">
        <v>1185</v>
      </c>
      <c r="P597" s="7" t="s">
        <v>144</v>
      </c>
      <c r="Q597" s="7" t="s">
        <v>1186</v>
      </c>
      <c r="R597" s="7" t="s">
        <v>1186</v>
      </c>
      <c r="S597" s="7" t="s">
        <v>472</v>
      </c>
      <c r="T597" s="7" t="s">
        <v>223</v>
      </c>
      <c r="U597" s="7" t="s">
        <v>148</v>
      </c>
      <c r="V597" s="7" t="s">
        <v>387</v>
      </c>
      <c r="W597" s="7" t="s">
        <v>682</v>
      </c>
      <c r="X597" s="7" t="s">
        <v>1228</v>
      </c>
      <c r="Y597" s="7" t="s">
        <v>400</v>
      </c>
      <c r="Z597" s="7" t="s">
        <v>337</v>
      </c>
      <c r="AA597" s="7" t="s">
        <v>223</v>
      </c>
      <c r="AB597" s="18" t="n">
        <v>140</v>
      </c>
      <c r="AC597" s="7"/>
      <c r="AD597" s="7"/>
      <c r="AE597" s="7" t="s">
        <v>159</v>
      </c>
    </row>
    <row r="598" customFormat="false" ht="21.75" hidden="false" customHeight="true" outlineLevel="0" collapsed="false">
      <c r="B598" s="15" t="n">
        <v>594</v>
      </c>
      <c r="C598" s="9" t="s">
        <v>51</v>
      </c>
      <c r="D598" s="9" t="s">
        <v>24</v>
      </c>
      <c r="E598" s="9" t="s">
        <v>91</v>
      </c>
      <c r="F598" s="9" t="s">
        <v>66</v>
      </c>
      <c r="G598" s="9" t="s">
        <v>1230</v>
      </c>
      <c r="H598" s="9" t="s">
        <v>157</v>
      </c>
      <c r="I598" s="9" t="s">
        <v>158</v>
      </c>
      <c r="J598" s="9" t="s">
        <v>1011</v>
      </c>
      <c r="K598" s="9" t="s">
        <v>217</v>
      </c>
      <c r="L598" s="9" t="s">
        <v>218</v>
      </c>
      <c r="M598" s="9" t="s">
        <v>326</v>
      </c>
      <c r="N598" s="9" t="s">
        <v>772</v>
      </c>
      <c r="O598" s="9" t="s">
        <v>1185</v>
      </c>
      <c r="P598" s="9" t="s">
        <v>144</v>
      </c>
      <c r="Q598" s="9" t="s">
        <v>1186</v>
      </c>
      <c r="R598" s="9" t="s">
        <v>1186</v>
      </c>
      <c r="S598" s="9" t="s">
        <v>472</v>
      </c>
      <c r="T598" s="9" t="s">
        <v>223</v>
      </c>
      <c r="U598" s="9" t="s">
        <v>148</v>
      </c>
      <c r="V598" s="9" t="s">
        <v>387</v>
      </c>
      <c r="W598" s="9" t="s">
        <v>682</v>
      </c>
      <c r="X598" s="9" t="s">
        <v>1228</v>
      </c>
      <c r="Y598" s="9" t="s">
        <v>400</v>
      </c>
      <c r="Z598" s="9" t="s">
        <v>337</v>
      </c>
      <c r="AA598" s="9" t="s">
        <v>223</v>
      </c>
      <c r="AB598" s="19" t="n">
        <v>185</v>
      </c>
      <c r="AC598" s="9"/>
      <c r="AD598" s="9"/>
      <c r="AE598" s="9" t="s">
        <v>1231</v>
      </c>
    </row>
    <row r="599" customFormat="false" ht="21.75" hidden="false" customHeight="true" outlineLevel="0" collapsed="false">
      <c r="B599" s="14" t="n">
        <v>595</v>
      </c>
      <c r="C599" s="7" t="s">
        <v>51</v>
      </c>
      <c r="D599" s="7" t="s">
        <v>24</v>
      </c>
      <c r="E599" s="7" t="s">
        <v>91</v>
      </c>
      <c r="F599" s="7" t="s">
        <v>66</v>
      </c>
      <c r="G599" s="7" t="s">
        <v>1232</v>
      </c>
      <c r="H599" s="7" t="s">
        <v>163</v>
      </c>
      <c r="I599" s="7" t="s">
        <v>164</v>
      </c>
      <c r="J599" s="7" t="s">
        <v>1011</v>
      </c>
      <c r="K599" s="7" t="s">
        <v>217</v>
      </c>
      <c r="L599" s="7" t="s">
        <v>218</v>
      </c>
      <c r="M599" s="7" t="s">
        <v>326</v>
      </c>
      <c r="N599" s="7" t="s">
        <v>772</v>
      </c>
      <c r="O599" s="7" t="s">
        <v>1185</v>
      </c>
      <c r="P599" s="7" t="s">
        <v>144</v>
      </c>
      <c r="Q599" s="7" t="s">
        <v>1186</v>
      </c>
      <c r="R599" s="7" t="s">
        <v>1186</v>
      </c>
      <c r="S599" s="7" t="s">
        <v>472</v>
      </c>
      <c r="T599" s="7" t="s">
        <v>223</v>
      </c>
      <c r="U599" s="7" t="s">
        <v>148</v>
      </c>
      <c r="V599" s="7" t="s">
        <v>387</v>
      </c>
      <c r="W599" s="7" t="s">
        <v>682</v>
      </c>
      <c r="X599" s="7" t="s">
        <v>1228</v>
      </c>
      <c r="Y599" s="7" t="s">
        <v>400</v>
      </c>
      <c r="Z599" s="7" t="s">
        <v>337</v>
      </c>
      <c r="AA599" s="7" t="s">
        <v>223</v>
      </c>
      <c r="AB599" s="18" t="n">
        <v>280</v>
      </c>
      <c r="AC599" s="7"/>
      <c r="AD599" s="7"/>
      <c r="AE599" s="7" t="s">
        <v>165</v>
      </c>
    </row>
    <row r="600" customFormat="false" ht="21.75" hidden="false" customHeight="true" outlineLevel="0" collapsed="false">
      <c r="B600" s="15" t="n">
        <v>596</v>
      </c>
      <c r="C600" s="9" t="s">
        <v>51</v>
      </c>
      <c r="D600" s="9" t="s">
        <v>24</v>
      </c>
      <c r="E600" s="9" t="s">
        <v>91</v>
      </c>
      <c r="F600" s="9" t="s">
        <v>66</v>
      </c>
      <c r="G600" s="9" t="s">
        <v>1233</v>
      </c>
      <c r="H600" s="9" t="s">
        <v>163</v>
      </c>
      <c r="I600" s="9" t="s">
        <v>164</v>
      </c>
      <c r="J600" s="9" t="s">
        <v>1011</v>
      </c>
      <c r="K600" s="9" t="s">
        <v>217</v>
      </c>
      <c r="L600" s="9" t="s">
        <v>218</v>
      </c>
      <c r="M600" s="9" t="s">
        <v>326</v>
      </c>
      <c r="N600" s="9" t="s">
        <v>772</v>
      </c>
      <c r="O600" s="9" t="s">
        <v>1185</v>
      </c>
      <c r="P600" s="9" t="s">
        <v>144</v>
      </c>
      <c r="Q600" s="9" t="s">
        <v>1186</v>
      </c>
      <c r="R600" s="9" t="s">
        <v>1186</v>
      </c>
      <c r="S600" s="9" t="s">
        <v>472</v>
      </c>
      <c r="T600" s="9" t="s">
        <v>223</v>
      </c>
      <c r="U600" s="9" t="s">
        <v>148</v>
      </c>
      <c r="V600" s="9" t="s">
        <v>387</v>
      </c>
      <c r="W600" s="9" t="s">
        <v>682</v>
      </c>
      <c r="X600" s="9" t="s">
        <v>1228</v>
      </c>
      <c r="Y600" s="9" t="s">
        <v>400</v>
      </c>
      <c r="Z600" s="9" t="s">
        <v>337</v>
      </c>
      <c r="AA600" s="9" t="s">
        <v>223</v>
      </c>
      <c r="AB600" s="19" t="n">
        <v>405</v>
      </c>
      <c r="AC600" s="9"/>
      <c r="AD600" s="9"/>
      <c r="AE600" s="9" t="s">
        <v>167</v>
      </c>
    </row>
    <row r="601" customFormat="false" ht="21.75" hidden="false" customHeight="true" outlineLevel="0" collapsed="false">
      <c r="B601" s="14" t="n">
        <v>597</v>
      </c>
      <c r="C601" s="7" t="s">
        <v>51</v>
      </c>
      <c r="D601" s="7" t="s">
        <v>24</v>
      </c>
      <c r="E601" s="7" t="s">
        <v>91</v>
      </c>
      <c r="F601" s="7" t="s">
        <v>67</v>
      </c>
      <c r="G601" s="7" t="s">
        <v>1234</v>
      </c>
      <c r="H601" s="7" t="s">
        <v>230</v>
      </c>
      <c r="I601" s="7" t="s">
        <v>231</v>
      </c>
      <c r="J601" s="7" t="s">
        <v>396</v>
      </c>
      <c r="K601" s="7" t="s">
        <v>527</v>
      </c>
      <c r="L601" s="7" t="s">
        <v>528</v>
      </c>
      <c r="M601" s="7" t="s">
        <v>326</v>
      </c>
      <c r="N601" s="7" t="s">
        <v>529</v>
      </c>
      <c r="O601" s="7" t="s">
        <v>1185</v>
      </c>
      <c r="P601" s="7" t="s">
        <v>144</v>
      </c>
      <c r="Q601" s="7" t="s">
        <v>1186</v>
      </c>
      <c r="R601" s="7" t="s">
        <v>1186</v>
      </c>
      <c r="S601" s="7" t="s">
        <v>472</v>
      </c>
      <c r="T601" s="7" t="s">
        <v>356</v>
      </c>
      <c r="U601" s="7" t="s">
        <v>148</v>
      </c>
      <c r="V601" s="7" t="s">
        <v>380</v>
      </c>
      <c r="W601" s="7" t="s">
        <v>682</v>
      </c>
      <c r="X601" s="7" t="s">
        <v>1235</v>
      </c>
      <c r="Y601" s="7" t="s">
        <v>475</v>
      </c>
      <c r="Z601" s="7" t="s">
        <v>337</v>
      </c>
      <c r="AA601" s="7" t="s">
        <v>154</v>
      </c>
      <c r="AB601" s="18" t="n">
        <v>140</v>
      </c>
      <c r="AC601" s="7"/>
      <c r="AD601" s="7"/>
      <c r="AE601" s="7" t="s">
        <v>155</v>
      </c>
    </row>
    <row r="602" customFormat="false" ht="21.75" hidden="false" customHeight="true" outlineLevel="0" collapsed="false">
      <c r="B602" s="15" t="n">
        <v>598</v>
      </c>
      <c r="C602" s="9" t="s">
        <v>51</v>
      </c>
      <c r="D602" s="9" t="s">
        <v>24</v>
      </c>
      <c r="E602" s="9" t="s">
        <v>91</v>
      </c>
      <c r="F602" s="9" t="s">
        <v>67</v>
      </c>
      <c r="G602" s="9" t="s">
        <v>1236</v>
      </c>
      <c r="H602" s="9" t="s">
        <v>230</v>
      </c>
      <c r="I602" s="9" t="s">
        <v>231</v>
      </c>
      <c r="J602" s="9" t="s">
        <v>396</v>
      </c>
      <c r="K602" s="9" t="s">
        <v>527</v>
      </c>
      <c r="L602" s="9" t="s">
        <v>528</v>
      </c>
      <c r="M602" s="9" t="s">
        <v>326</v>
      </c>
      <c r="N602" s="9" t="s">
        <v>529</v>
      </c>
      <c r="O602" s="9" t="s">
        <v>1185</v>
      </c>
      <c r="P602" s="9" t="s">
        <v>144</v>
      </c>
      <c r="Q602" s="9" t="s">
        <v>1186</v>
      </c>
      <c r="R602" s="9" t="s">
        <v>1186</v>
      </c>
      <c r="S602" s="9" t="s">
        <v>472</v>
      </c>
      <c r="T602" s="9" t="s">
        <v>356</v>
      </c>
      <c r="U602" s="9" t="s">
        <v>148</v>
      </c>
      <c r="V602" s="9" t="s">
        <v>380</v>
      </c>
      <c r="W602" s="9" t="s">
        <v>682</v>
      </c>
      <c r="X602" s="9" t="s">
        <v>1235</v>
      </c>
      <c r="Y602" s="9" t="s">
        <v>475</v>
      </c>
      <c r="Z602" s="9" t="s">
        <v>337</v>
      </c>
      <c r="AA602" s="9" t="s">
        <v>154</v>
      </c>
      <c r="AB602" s="19" t="n">
        <v>210</v>
      </c>
      <c r="AC602" s="9"/>
      <c r="AD602" s="9"/>
      <c r="AE602" s="9" t="s">
        <v>159</v>
      </c>
    </row>
    <row r="603" customFormat="false" ht="21.75" hidden="false" customHeight="true" outlineLevel="0" collapsed="false">
      <c r="B603" s="14" t="n">
        <v>599</v>
      </c>
      <c r="C603" s="7" t="s">
        <v>51</v>
      </c>
      <c r="D603" s="7" t="s">
        <v>24</v>
      </c>
      <c r="E603" s="7" t="s">
        <v>91</v>
      </c>
      <c r="F603" s="7" t="s">
        <v>67</v>
      </c>
      <c r="G603" s="7" t="s">
        <v>1237</v>
      </c>
      <c r="H603" s="7" t="s">
        <v>240</v>
      </c>
      <c r="I603" s="7" t="s">
        <v>241</v>
      </c>
      <c r="J603" s="7" t="s">
        <v>396</v>
      </c>
      <c r="K603" s="7" t="s">
        <v>527</v>
      </c>
      <c r="L603" s="7" t="s">
        <v>528</v>
      </c>
      <c r="M603" s="7" t="s">
        <v>326</v>
      </c>
      <c r="N603" s="7" t="s">
        <v>529</v>
      </c>
      <c r="O603" s="7" t="s">
        <v>1185</v>
      </c>
      <c r="P603" s="7" t="s">
        <v>144</v>
      </c>
      <c r="Q603" s="7" t="s">
        <v>1186</v>
      </c>
      <c r="R603" s="7" t="s">
        <v>1186</v>
      </c>
      <c r="S603" s="7" t="s">
        <v>472</v>
      </c>
      <c r="T603" s="7" t="s">
        <v>356</v>
      </c>
      <c r="U603" s="7" t="s">
        <v>148</v>
      </c>
      <c r="V603" s="7" t="s">
        <v>380</v>
      </c>
      <c r="W603" s="7" t="s">
        <v>682</v>
      </c>
      <c r="X603" s="7" t="s">
        <v>1235</v>
      </c>
      <c r="Y603" s="7" t="s">
        <v>475</v>
      </c>
      <c r="Z603" s="7" t="s">
        <v>337</v>
      </c>
      <c r="AA603" s="7" t="s">
        <v>154</v>
      </c>
      <c r="AB603" s="18" t="n">
        <v>280</v>
      </c>
      <c r="AC603" s="7"/>
      <c r="AD603" s="7"/>
      <c r="AE603" s="7" t="s">
        <v>533</v>
      </c>
    </row>
    <row r="604" customFormat="false" ht="21.75" hidden="false" customHeight="true" outlineLevel="0" collapsed="false">
      <c r="B604" s="15" t="n">
        <v>600</v>
      </c>
      <c r="C604" s="9" t="s">
        <v>51</v>
      </c>
      <c r="D604" s="9" t="s">
        <v>24</v>
      </c>
      <c r="E604" s="9" t="s">
        <v>91</v>
      </c>
      <c r="F604" s="9" t="s">
        <v>67</v>
      </c>
      <c r="G604" s="9" t="s">
        <v>1238</v>
      </c>
      <c r="H604" s="9" t="s">
        <v>240</v>
      </c>
      <c r="I604" s="9" t="s">
        <v>241</v>
      </c>
      <c r="J604" s="9" t="s">
        <v>396</v>
      </c>
      <c r="K604" s="9" t="s">
        <v>527</v>
      </c>
      <c r="L604" s="9" t="s">
        <v>528</v>
      </c>
      <c r="M604" s="9" t="s">
        <v>326</v>
      </c>
      <c r="N604" s="9" t="s">
        <v>529</v>
      </c>
      <c r="O604" s="9" t="s">
        <v>1185</v>
      </c>
      <c r="P604" s="9" t="s">
        <v>144</v>
      </c>
      <c r="Q604" s="9" t="s">
        <v>1186</v>
      </c>
      <c r="R604" s="9" t="s">
        <v>1186</v>
      </c>
      <c r="S604" s="9" t="s">
        <v>472</v>
      </c>
      <c r="T604" s="9" t="s">
        <v>356</v>
      </c>
      <c r="U604" s="9" t="s">
        <v>148</v>
      </c>
      <c r="V604" s="9" t="s">
        <v>380</v>
      </c>
      <c r="W604" s="9" t="s">
        <v>682</v>
      </c>
      <c r="X604" s="9" t="s">
        <v>1235</v>
      </c>
      <c r="Y604" s="9" t="s">
        <v>475</v>
      </c>
      <c r="Z604" s="9" t="s">
        <v>337</v>
      </c>
      <c r="AA604" s="9" t="s">
        <v>154</v>
      </c>
      <c r="AB604" s="19" t="n">
        <v>420</v>
      </c>
      <c r="AC604" s="9"/>
      <c r="AD604" s="9"/>
      <c r="AE604" s="9" t="s">
        <v>165</v>
      </c>
    </row>
    <row r="605" customFormat="false" ht="21.75" hidden="false" customHeight="true" outlineLevel="0" collapsed="false">
      <c r="B605" s="14" t="n">
        <v>601</v>
      </c>
      <c r="C605" s="7" t="s">
        <v>51</v>
      </c>
      <c r="D605" s="7" t="s">
        <v>24</v>
      </c>
      <c r="E605" s="7" t="s">
        <v>91</v>
      </c>
      <c r="F605" s="7" t="s">
        <v>67</v>
      </c>
      <c r="G605" s="7" t="s">
        <v>1239</v>
      </c>
      <c r="H605" s="7" t="s">
        <v>240</v>
      </c>
      <c r="I605" s="7" t="s">
        <v>241</v>
      </c>
      <c r="J605" s="7" t="s">
        <v>396</v>
      </c>
      <c r="K605" s="7" t="s">
        <v>527</v>
      </c>
      <c r="L605" s="7" t="s">
        <v>528</v>
      </c>
      <c r="M605" s="7" t="s">
        <v>326</v>
      </c>
      <c r="N605" s="7" t="s">
        <v>529</v>
      </c>
      <c r="O605" s="7" t="s">
        <v>1185</v>
      </c>
      <c r="P605" s="7" t="s">
        <v>144</v>
      </c>
      <c r="Q605" s="7" t="s">
        <v>1186</v>
      </c>
      <c r="R605" s="7" t="s">
        <v>1186</v>
      </c>
      <c r="S605" s="7" t="s">
        <v>472</v>
      </c>
      <c r="T605" s="7" t="s">
        <v>356</v>
      </c>
      <c r="U605" s="7" t="s">
        <v>148</v>
      </c>
      <c r="V605" s="7" t="s">
        <v>380</v>
      </c>
      <c r="W605" s="7" t="s">
        <v>682</v>
      </c>
      <c r="X605" s="7" t="s">
        <v>1235</v>
      </c>
      <c r="Y605" s="7" t="s">
        <v>475</v>
      </c>
      <c r="Z605" s="7" t="s">
        <v>337</v>
      </c>
      <c r="AA605" s="7" t="s">
        <v>154</v>
      </c>
      <c r="AB605" s="18" t="n">
        <v>615</v>
      </c>
      <c r="AC605" s="7"/>
      <c r="AD605" s="7"/>
      <c r="AE605" s="7" t="s">
        <v>167</v>
      </c>
    </row>
    <row r="606" customFormat="false" ht="21.75" hidden="false" customHeight="true" outlineLevel="0" collapsed="false">
      <c r="B606" s="15" t="n">
        <v>602</v>
      </c>
      <c r="C606" s="9" t="s">
        <v>51</v>
      </c>
      <c r="D606" s="9" t="s">
        <v>24</v>
      </c>
      <c r="E606" s="9" t="s">
        <v>91</v>
      </c>
      <c r="F606" s="9" t="s">
        <v>68</v>
      </c>
      <c r="G606" s="9" t="s">
        <v>1240</v>
      </c>
      <c r="H606" s="9" t="s">
        <v>246</v>
      </c>
      <c r="I606" s="9" t="s">
        <v>247</v>
      </c>
      <c r="J606" s="9" t="s">
        <v>1241</v>
      </c>
      <c r="K606" s="9" t="s">
        <v>1242</v>
      </c>
      <c r="L606" s="9" t="s">
        <v>623</v>
      </c>
      <c r="M606" s="9" t="s">
        <v>116</v>
      </c>
      <c r="N606" s="9" t="s">
        <v>1243</v>
      </c>
      <c r="O606" s="9" t="s">
        <v>1185</v>
      </c>
      <c r="P606" s="9" t="s">
        <v>144</v>
      </c>
      <c r="Q606" s="9" t="s">
        <v>1186</v>
      </c>
      <c r="R606" s="9" t="s">
        <v>1186</v>
      </c>
      <c r="S606" s="9" t="s">
        <v>472</v>
      </c>
      <c r="T606" s="9" t="s">
        <v>356</v>
      </c>
      <c r="U606" s="9" t="s">
        <v>194</v>
      </c>
      <c r="V606" s="9" t="s">
        <v>1244</v>
      </c>
      <c r="W606" s="9" t="s">
        <v>682</v>
      </c>
      <c r="X606" s="9" t="s">
        <v>1245</v>
      </c>
      <c r="Y606" s="9" t="s">
        <v>626</v>
      </c>
      <c r="Z606" s="9" t="s">
        <v>337</v>
      </c>
      <c r="AA606" s="9" t="s">
        <v>183</v>
      </c>
      <c r="AB606" s="19" t="n">
        <v>950</v>
      </c>
      <c r="AC606" s="9"/>
      <c r="AD606" s="9"/>
      <c r="AE606" s="9" t="s">
        <v>155</v>
      </c>
    </row>
    <row r="607" customFormat="false" ht="21.75" hidden="false" customHeight="true" outlineLevel="0" collapsed="false">
      <c r="B607" s="14" t="n">
        <v>603</v>
      </c>
      <c r="C607" s="7" t="s">
        <v>51</v>
      </c>
      <c r="D607" s="7" t="s">
        <v>24</v>
      </c>
      <c r="E607" s="7" t="s">
        <v>91</v>
      </c>
      <c r="F607" s="7" t="s">
        <v>68</v>
      </c>
      <c r="G607" s="7" t="s">
        <v>1246</v>
      </c>
      <c r="H607" s="7" t="s">
        <v>254</v>
      </c>
      <c r="I607" s="7" t="s">
        <v>255</v>
      </c>
      <c r="J607" s="7" t="s">
        <v>1241</v>
      </c>
      <c r="K607" s="7" t="s">
        <v>1242</v>
      </c>
      <c r="L607" s="7" t="s">
        <v>623</v>
      </c>
      <c r="M607" s="7" t="s">
        <v>116</v>
      </c>
      <c r="N607" s="7" t="s">
        <v>1243</v>
      </c>
      <c r="O607" s="7" t="s">
        <v>1185</v>
      </c>
      <c r="P607" s="7" t="s">
        <v>144</v>
      </c>
      <c r="Q607" s="7" t="s">
        <v>1186</v>
      </c>
      <c r="R607" s="7" t="s">
        <v>1186</v>
      </c>
      <c r="S607" s="7" t="s">
        <v>472</v>
      </c>
      <c r="T607" s="7" t="s">
        <v>356</v>
      </c>
      <c r="U607" s="7" t="s">
        <v>194</v>
      </c>
      <c r="V607" s="7" t="s">
        <v>1244</v>
      </c>
      <c r="W607" s="7" t="s">
        <v>682</v>
      </c>
      <c r="X607" s="7" t="s">
        <v>1245</v>
      </c>
      <c r="Y607" s="7" t="s">
        <v>626</v>
      </c>
      <c r="Z607" s="7" t="s">
        <v>337</v>
      </c>
      <c r="AA607" s="7" t="s">
        <v>183</v>
      </c>
      <c r="AB607" s="18" t="n">
        <v>1425</v>
      </c>
      <c r="AC607" s="7"/>
      <c r="AD607" s="7"/>
      <c r="AE607" s="7" t="s">
        <v>159</v>
      </c>
    </row>
    <row r="608" customFormat="false" ht="21.75" hidden="false" customHeight="true" outlineLevel="0" collapsed="false">
      <c r="B608" s="15" t="n">
        <v>604</v>
      </c>
      <c r="C608" s="9" t="s">
        <v>51</v>
      </c>
      <c r="D608" s="9" t="s">
        <v>24</v>
      </c>
      <c r="E608" s="9" t="s">
        <v>91</v>
      </c>
      <c r="F608" s="9" t="s">
        <v>68</v>
      </c>
      <c r="G608" s="9" t="s">
        <v>1247</v>
      </c>
      <c r="H608" s="9" t="s">
        <v>257</v>
      </c>
      <c r="I608" s="9" t="s">
        <v>258</v>
      </c>
      <c r="J608" s="9" t="s">
        <v>1241</v>
      </c>
      <c r="K608" s="9" t="s">
        <v>1242</v>
      </c>
      <c r="L608" s="9" t="s">
        <v>623</v>
      </c>
      <c r="M608" s="9" t="s">
        <v>116</v>
      </c>
      <c r="N608" s="9" t="s">
        <v>1243</v>
      </c>
      <c r="O608" s="9" t="s">
        <v>1185</v>
      </c>
      <c r="P608" s="9" t="s">
        <v>144</v>
      </c>
      <c r="Q608" s="9" t="s">
        <v>1186</v>
      </c>
      <c r="R608" s="9" t="s">
        <v>1186</v>
      </c>
      <c r="S608" s="9" t="s">
        <v>472</v>
      </c>
      <c r="T608" s="9" t="s">
        <v>356</v>
      </c>
      <c r="U608" s="9" t="s">
        <v>194</v>
      </c>
      <c r="V608" s="9" t="s">
        <v>1244</v>
      </c>
      <c r="W608" s="9" t="s">
        <v>682</v>
      </c>
      <c r="X608" s="9" t="s">
        <v>1245</v>
      </c>
      <c r="Y608" s="9" t="s">
        <v>626</v>
      </c>
      <c r="Z608" s="9" t="s">
        <v>337</v>
      </c>
      <c r="AA608" s="9" t="s">
        <v>183</v>
      </c>
      <c r="AB608" s="19" t="n">
        <v>1900</v>
      </c>
      <c r="AC608" s="9"/>
      <c r="AD608" s="9"/>
      <c r="AE608" s="9" t="s">
        <v>1248</v>
      </c>
    </row>
    <row r="609" customFormat="false" ht="21.75" hidden="false" customHeight="true" outlineLevel="0" collapsed="false">
      <c r="B609" s="14" t="n">
        <v>605</v>
      </c>
      <c r="C609" s="7" t="s">
        <v>51</v>
      </c>
      <c r="D609" s="7" t="s">
        <v>24</v>
      </c>
      <c r="E609" s="7" t="s">
        <v>91</v>
      </c>
      <c r="F609" s="7" t="s">
        <v>68</v>
      </c>
      <c r="G609" s="7" t="s">
        <v>1249</v>
      </c>
      <c r="H609" s="7" t="s">
        <v>257</v>
      </c>
      <c r="I609" s="7" t="s">
        <v>258</v>
      </c>
      <c r="J609" s="7" t="s">
        <v>1241</v>
      </c>
      <c r="K609" s="7" t="s">
        <v>1242</v>
      </c>
      <c r="L609" s="7" t="s">
        <v>623</v>
      </c>
      <c r="M609" s="7" t="s">
        <v>116</v>
      </c>
      <c r="N609" s="7" t="s">
        <v>1243</v>
      </c>
      <c r="O609" s="7" t="s">
        <v>1185</v>
      </c>
      <c r="P609" s="7" t="s">
        <v>144</v>
      </c>
      <c r="Q609" s="7" t="s">
        <v>1186</v>
      </c>
      <c r="R609" s="7" t="s">
        <v>1186</v>
      </c>
      <c r="S609" s="7" t="s">
        <v>472</v>
      </c>
      <c r="T609" s="7" t="s">
        <v>356</v>
      </c>
      <c r="U609" s="7" t="s">
        <v>194</v>
      </c>
      <c r="V609" s="7" t="s">
        <v>1244</v>
      </c>
      <c r="W609" s="7" t="s">
        <v>682</v>
      </c>
      <c r="X609" s="7" t="s">
        <v>1245</v>
      </c>
      <c r="Y609" s="7" t="s">
        <v>626</v>
      </c>
      <c r="Z609" s="7" t="s">
        <v>337</v>
      </c>
      <c r="AA609" s="7" t="s">
        <v>183</v>
      </c>
      <c r="AB609" s="18" t="n">
        <v>2850</v>
      </c>
      <c r="AC609" s="7"/>
      <c r="AD609" s="7"/>
      <c r="AE609" s="7" t="s">
        <v>165</v>
      </c>
    </row>
    <row r="610" customFormat="false" ht="21.75" hidden="false" customHeight="true" outlineLevel="0" collapsed="false">
      <c r="B610" s="15" t="n">
        <v>606</v>
      </c>
      <c r="C610" s="9" t="s">
        <v>51</v>
      </c>
      <c r="D610" s="9" t="s">
        <v>24</v>
      </c>
      <c r="E610" s="9" t="s">
        <v>91</v>
      </c>
      <c r="F610" s="9" t="s">
        <v>68</v>
      </c>
      <c r="G610" s="9" t="s">
        <v>1250</v>
      </c>
      <c r="H610" s="9" t="s">
        <v>262</v>
      </c>
      <c r="I610" s="9" t="s">
        <v>263</v>
      </c>
      <c r="J610" s="9" t="s">
        <v>1241</v>
      </c>
      <c r="K610" s="9" t="s">
        <v>1242</v>
      </c>
      <c r="L610" s="9" t="s">
        <v>623</v>
      </c>
      <c r="M610" s="9" t="s">
        <v>116</v>
      </c>
      <c r="N610" s="9" t="s">
        <v>1243</v>
      </c>
      <c r="O610" s="9" t="s">
        <v>1185</v>
      </c>
      <c r="P610" s="9" t="s">
        <v>144</v>
      </c>
      <c r="Q610" s="9" t="s">
        <v>1186</v>
      </c>
      <c r="R610" s="9" t="s">
        <v>1186</v>
      </c>
      <c r="S610" s="9" t="s">
        <v>472</v>
      </c>
      <c r="T610" s="9" t="s">
        <v>356</v>
      </c>
      <c r="U610" s="9" t="s">
        <v>194</v>
      </c>
      <c r="V610" s="9" t="s">
        <v>1244</v>
      </c>
      <c r="W610" s="9" t="s">
        <v>682</v>
      </c>
      <c r="X610" s="9" t="s">
        <v>1245</v>
      </c>
      <c r="Y610" s="9" t="s">
        <v>626</v>
      </c>
      <c r="Z610" s="9" t="s">
        <v>337</v>
      </c>
      <c r="AA610" s="9" t="s">
        <v>183</v>
      </c>
      <c r="AB610" s="19" t="n">
        <v>4180</v>
      </c>
      <c r="AC610" s="9"/>
      <c r="AD610" s="9"/>
      <c r="AE610" s="9" t="s">
        <v>167</v>
      </c>
    </row>
    <row r="611" customFormat="false" ht="21.75" hidden="false" customHeight="true" outlineLevel="0" collapsed="false">
      <c r="B611" s="14" t="n">
        <v>607</v>
      </c>
      <c r="C611" s="7" t="s">
        <v>51</v>
      </c>
      <c r="D611" s="7" t="s">
        <v>24</v>
      </c>
      <c r="E611" s="7" t="s">
        <v>91</v>
      </c>
      <c r="F611" s="7" t="s">
        <v>69</v>
      </c>
      <c r="G611" s="7" t="s">
        <v>1251</v>
      </c>
      <c r="H611" s="7" t="s">
        <v>136</v>
      </c>
      <c r="I611" s="7" t="s">
        <v>137</v>
      </c>
      <c r="J611" s="7" t="s">
        <v>203</v>
      </c>
      <c r="K611" s="7" t="s">
        <v>1252</v>
      </c>
      <c r="L611" s="7" t="s">
        <v>281</v>
      </c>
      <c r="M611" s="7" t="s">
        <v>326</v>
      </c>
      <c r="N611" s="7" t="s">
        <v>266</v>
      </c>
      <c r="O611" s="7" t="s">
        <v>1185</v>
      </c>
      <c r="P611" s="7" t="s">
        <v>144</v>
      </c>
      <c r="Q611" s="7" t="s">
        <v>1186</v>
      </c>
      <c r="R611" s="7" t="s">
        <v>1186</v>
      </c>
      <c r="S611" s="7" t="s">
        <v>472</v>
      </c>
      <c r="T611" s="7" t="s">
        <v>223</v>
      </c>
      <c r="U611" s="7" t="s">
        <v>148</v>
      </c>
      <c r="V611" s="7" t="s">
        <v>1253</v>
      </c>
      <c r="W611" s="7" t="s">
        <v>682</v>
      </c>
      <c r="X611" s="7" t="s">
        <v>1254</v>
      </c>
      <c r="Y611" s="7" t="s">
        <v>1255</v>
      </c>
      <c r="Z611" s="7" t="s">
        <v>337</v>
      </c>
      <c r="AA611" s="7" t="s">
        <v>223</v>
      </c>
      <c r="AB611" s="18" t="n">
        <v>75</v>
      </c>
      <c r="AC611" s="7"/>
      <c r="AD611" s="7"/>
      <c r="AE611" s="7" t="s">
        <v>155</v>
      </c>
    </row>
    <row r="612" customFormat="false" ht="21.75" hidden="false" customHeight="true" outlineLevel="0" collapsed="false">
      <c r="B612" s="15" t="n">
        <v>608</v>
      </c>
      <c r="C612" s="9" t="s">
        <v>51</v>
      </c>
      <c r="D612" s="9" t="s">
        <v>24</v>
      </c>
      <c r="E612" s="9" t="s">
        <v>91</v>
      </c>
      <c r="F612" s="9" t="s">
        <v>69</v>
      </c>
      <c r="G612" s="9" t="s">
        <v>1256</v>
      </c>
      <c r="H612" s="9" t="s">
        <v>136</v>
      </c>
      <c r="I612" s="9" t="s">
        <v>137</v>
      </c>
      <c r="J612" s="9" t="s">
        <v>203</v>
      </c>
      <c r="K612" s="9" t="s">
        <v>1252</v>
      </c>
      <c r="L612" s="9" t="s">
        <v>281</v>
      </c>
      <c r="M612" s="9" t="s">
        <v>326</v>
      </c>
      <c r="N612" s="9" t="s">
        <v>266</v>
      </c>
      <c r="O612" s="9" t="s">
        <v>1185</v>
      </c>
      <c r="P612" s="9" t="s">
        <v>144</v>
      </c>
      <c r="Q612" s="9" t="s">
        <v>1186</v>
      </c>
      <c r="R612" s="9" t="s">
        <v>1186</v>
      </c>
      <c r="S612" s="9" t="s">
        <v>472</v>
      </c>
      <c r="T612" s="9" t="s">
        <v>223</v>
      </c>
      <c r="U612" s="9" t="s">
        <v>148</v>
      </c>
      <c r="V612" s="9" t="s">
        <v>1253</v>
      </c>
      <c r="W612" s="9" t="s">
        <v>682</v>
      </c>
      <c r="X612" s="9" t="s">
        <v>1254</v>
      </c>
      <c r="Y612" s="9" t="s">
        <v>1255</v>
      </c>
      <c r="Z612" s="9" t="s">
        <v>337</v>
      </c>
      <c r="AA612" s="9" t="s">
        <v>223</v>
      </c>
      <c r="AB612" s="19" t="n">
        <v>110</v>
      </c>
      <c r="AC612" s="9"/>
      <c r="AD612" s="9"/>
      <c r="AE612" s="9" t="s">
        <v>159</v>
      </c>
    </row>
    <row r="613" customFormat="false" ht="21.75" hidden="false" customHeight="true" outlineLevel="0" collapsed="false">
      <c r="B613" s="14" t="n">
        <v>609</v>
      </c>
      <c r="C613" s="7" t="s">
        <v>51</v>
      </c>
      <c r="D613" s="7" t="s">
        <v>24</v>
      </c>
      <c r="E613" s="7" t="s">
        <v>91</v>
      </c>
      <c r="F613" s="7" t="s">
        <v>69</v>
      </c>
      <c r="G613" s="7" t="s">
        <v>1257</v>
      </c>
      <c r="H613" s="7" t="s">
        <v>157</v>
      </c>
      <c r="I613" s="7" t="s">
        <v>158</v>
      </c>
      <c r="J613" s="7" t="s">
        <v>203</v>
      </c>
      <c r="K613" s="7" t="s">
        <v>1252</v>
      </c>
      <c r="L613" s="7" t="s">
        <v>281</v>
      </c>
      <c r="M613" s="7" t="s">
        <v>326</v>
      </c>
      <c r="N613" s="7" t="s">
        <v>266</v>
      </c>
      <c r="O613" s="7" t="s">
        <v>1185</v>
      </c>
      <c r="P613" s="7" t="s">
        <v>144</v>
      </c>
      <c r="Q613" s="7" t="s">
        <v>1186</v>
      </c>
      <c r="R613" s="7" t="s">
        <v>1186</v>
      </c>
      <c r="S613" s="7" t="s">
        <v>472</v>
      </c>
      <c r="T613" s="7" t="s">
        <v>223</v>
      </c>
      <c r="U613" s="7" t="s">
        <v>148</v>
      </c>
      <c r="V613" s="7" t="s">
        <v>1253</v>
      </c>
      <c r="W613" s="7" t="s">
        <v>682</v>
      </c>
      <c r="X613" s="7" t="s">
        <v>1254</v>
      </c>
      <c r="Y613" s="7" t="s">
        <v>1255</v>
      </c>
      <c r="Z613" s="7" t="s">
        <v>337</v>
      </c>
      <c r="AA613" s="7" t="s">
        <v>223</v>
      </c>
      <c r="AB613" s="18" t="n">
        <v>150</v>
      </c>
      <c r="AC613" s="7"/>
      <c r="AD613" s="7"/>
      <c r="AE613" s="7" t="s">
        <v>1258</v>
      </c>
    </row>
    <row r="614" customFormat="false" ht="21.75" hidden="false" customHeight="true" outlineLevel="0" collapsed="false">
      <c r="B614" s="15" t="n">
        <v>610</v>
      </c>
      <c r="C614" s="9" t="s">
        <v>51</v>
      </c>
      <c r="D614" s="9" t="s">
        <v>24</v>
      </c>
      <c r="E614" s="9" t="s">
        <v>91</v>
      </c>
      <c r="F614" s="9" t="s">
        <v>69</v>
      </c>
      <c r="G614" s="9" t="s">
        <v>1259</v>
      </c>
      <c r="H614" s="9" t="s">
        <v>157</v>
      </c>
      <c r="I614" s="9" t="s">
        <v>158</v>
      </c>
      <c r="J614" s="9" t="s">
        <v>203</v>
      </c>
      <c r="K614" s="9" t="s">
        <v>1252</v>
      </c>
      <c r="L614" s="9" t="s">
        <v>281</v>
      </c>
      <c r="M614" s="9" t="s">
        <v>326</v>
      </c>
      <c r="N614" s="9" t="s">
        <v>266</v>
      </c>
      <c r="O614" s="9" t="s">
        <v>1185</v>
      </c>
      <c r="P614" s="9" t="s">
        <v>144</v>
      </c>
      <c r="Q614" s="9" t="s">
        <v>1186</v>
      </c>
      <c r="R614" s="9" t="s">
        <v>1186</v>
      </c>
      <c r="S614" s="9" t="s">
        <v>472</v>
      </c>
      <c r="T614" s="9" t="s">
        <v>223</v>
      </c>
      <c r="U614" s="9" t="s">
        <v>148</v>
      </c>
      <c r="V614" s="9" t="s">
        <v>1253</v>
      </c>
      <c r="W614" s="9" t="s">
        <v>682</v>
      </c>
      <c r="X614" s="9" t="s">
        <v>1254</v>
      </c>
      <c r="Y614" s="9" t="s">
        <v>1255</v>
      </c>
      <c r="Z614" s="9" t="s">
        <v>337</v>
      </c>
      <c r="AA614" s="9" t="s">
        <v>223</v>
      </c>
      <c r="AB614" s="19" t="n">
        <v>225</v>
      </c>
      <c r="AC614" s="9"/>
      <c r="AD614" s="9"/>
      <c r="AE614" s="9" t="s">
        <v>165</v>
      </c>
    </row>
    <row r="615" customFormat="false" ht="21.75" hidden="false" customHeight="true" outlineLevel="0" collapsed="false">
      <c r="B615" s="14" t="n">
        <v>611</v>
      </c>
      <c r="C615" s="7" t="s">
        <v>51</v>
      </c>
      <c r="D615" s="7" t="s">
        <v>24</v>
      </c>
      <c r="E615" s="7" t="s">
        <v>91</v>
      </c>
      <c r="F615" s="7" t="s">
        <v>69</v>
      </c>
      <c r="G615" s="7" t="s">
        <v>1260</v>
      </c>
      <c r="H615" s="7" t="s">
        <v>157</v>
      </c>
      <c r="I615" s="7" t="s">
        <v>158</v>
      </c>
      <c r="J615" s="7" t="s">
        <v>203</v>
      </c>
      <c r="K615" s="7" t="s">
        <v>1252</v>
      </c>
      <c r="L615" s="7" t="s">
        <v>281</v>
      </c>
      <c r="M615" s="7" t="s">
        <v>326</v>
      </c>
      <c r="N615" s="7" t="s">
        <v>266</v>
      </c>
      <c r="O615" s="7" t="s">
        <v>1185</v>
      </c>
      <c r="P615" s="7" t="s">
        <v>144</v>
      </c>
      <c r="Q615" s="7" t="s">
        <v>1186</v>
      </c>
      <c r="R615" s="7" t="s">
        <v>1186</v>
      </c>
      <c r="S615" s="7" t="s">
        <v>472</v>
      </c>
      <c r="T615" s="7" t="s">
        <v>223</v>
      </c>
      <c r="U615" s="7" t="s">
        <v>148</v>
      </c>
      <c r="V615" s="7" t="s">
        <v>1253</v>
      </c>
      <c r="W615" s="7" t="s">
        <v>682</v>
      </c>
      <c r="X615" s="7" t="s">
        <v>1254</v>
      </c>
      <c r="Y615" s="7" t="s">
        <v>1255</v>
      </c>
      <c r="Z615" s="7" t="s">
        <v>337</v>
      </c>
      <c r="AA615" s="7" t="s">
        <v>223</v>
      </c>
      <c r="AB615" s="18" t="n">
        <v>330</v>
      </c>
      <c r="AC615" s="7"/>
      <c r="AD615" s="7"/>
      <c r="AE615" s="7" t="s">
        <v>167</v>
      </c>
    </row>
    <row r="616" customFormat="false" ht="21.75" hidden="false" customHeight="true" outlineLevel="0" collapsed="false">
      <c r="B616" s="15" t="n">
        <v>612</v>
      </c>
      <c r="C616" s="9" t="s">
        <v>51</v>
      </c>
      <c r="D616" s="9" t="s">
        <v>24</v>
      </c>
      <c r="E616" s="9" t="s">
        <v>91</v>
      </c>
      <c r="F616" s="9" t="s">
        <v>70</v>
      </c>
      <c r="G616" s="9" t="s">
        <v>1261</v>
      </c>
      <c r="H616" s="9" t="s">
        <v>276</v>
      </c>
      <c r="I616" s="9" t="s">
        <v>277</v>
      </c>
      <c r="J616" s="9" t="s">
        <v>549</v>
      </c>
      <c r="K616" s="9" t="s">
        <v>1262</v>
      </c>
      <c r="L616" s="9" t="s">
        <v>551</v>
      </c>
      <c r="M616" s="9" t="s">
        <v>281</v>
      </c>
      <c r="N616" s="9" t="s">
        <v>1263</v>
      </c>
      <c r="O616" s="9" t="s">
        <v>1185</v>
      </c>
      <c r="P616" s="9" t="s">
        <v>144</v>
      </c>
      <c r="Q616" s="9" t="s">
        <v>1186</v>
      </c>
      <c r="R616" s="9" t="s">
        <v>1186</v>
      </c>
      <c r="S616" s="9" t="s">
        <v>472</v>
      </c>
      <c r="T616" s="9" t="s">
        <v>356</v>
      </c>
      <c r="U616" s="9" t="s">
        <v>194</v>
      </c>
      <c r="V616" s="9" t="s">
        <v>368</v>
      </c>
      <c r="W616" s="9" t="s">
        <v>682</v>
      </c>
      <c r="X616" s="9" t="s">
        <v>1264</v>
      </c>
      <c r="Y616" s="9" t="s">
        <v>976</v>
      </c>
      <c r="Z616" s="9" t="s">
        <v>337</v>
      </c>
      <c r="AA616" s="9" t="s">
        <v>183</v>
      </c>
      <c r="AB616" s="19" t="n">
        <v>725</v>
      </c>
      <c r="AC616" s="9"/>
      <c r="AD616" s="9"/>
      <c r="AE616" s="9" t="s">
        <v>155</v>
      </c>
    </row>
    <row r="617" customFormat="false" ht="21.75" hidden="false" customHeight="true" outlineLevel="0" collapsed="false">
      <c r="B617" s="14" t="n">
        <v>613</v>
      </c>
      <c r="C617" s="7" t="s">
        <v>51</v>
      </c>
      <c r="D617" s="7" t="s">
        <v>24</v>
      </c>
      <c r="E617" s="7" t="s">
        <v>91</v>
      </c>
      <c r="F617" s="7" t="s">
        <v>70</v>
      </c>
      <c r="G617" s="7" t="s">
        <v>1265</v>
      </c>
      <c r="H617" s="7" t="s">
        <v>276</v>
      </c>
      <c r="I617" s="7" t="s">
        <v>277</v>
      </c>
      <c r="J617" s="7" t="s">
        <v>549</v>
      </c>
      <c r="K617" s="7" t="s">
        <v>1262</v>
      </c>
      <c r="L617" s="7" t="s">
        <v>551</v>
      </c>
      <c r="M617" s="7" t="s">
        <v>281</v>
      </c>
      <c r="N617" s="7" t="s">
        <v>1263</v>
      </c>
      <c r="O617" s="7" t="s">
        <v>1185</v>
      </c>
      <c r="P617" s="7" t="s">
        <v>144</v>
      </c>
      <c r="Q617" s="7" t="s">
        <v>1186</v>
      </c>
      <c r="R617" s="7" t="s">
        <v>1186</v>
      </c>
      <c r="S617" s="7" t="s">
        <v>472</v>
      </c>
      <c r="T617" s="7" t="s">
        <v>356</v>
      </c>
      <c r="U617" s="7" t="s">
        <v>194</v>
      </c>
      <c r="V617" s="7" t="s">
        <v>368</v>
      </c>
      <c r="W617" s="7" t="s">
        <v>682</v>
      </c>
      <c r="X617" s="7" t="s">
        <v>1264</v>
      </c>
      <c r="Y617" s="7" t="s">
        <v>976</v>
      </c>
      <c r="Z617" s="7" t="s">
        <v>337</v>
      </c>
      <c r="AA617" s="7" t="s">
        <v>183</v>
      </c>
      <c r="AB617" s="18" t="n">
        <v>1090</v>
      </c>
      <c r="AC617" s="7"/>
      <c r="AD617" s="7"/>
      <c r="AE617" s="7" t="s">
        <v>159</v>
      </c>
    </row>
    <row r="618" customFormat="false" ht="21.75" hidden="false" customHeight="true" outlineLevel="0" collapsed="false">
      <c r="B618" s="15" t="n">
        <v>614</v>
      </c>
      <c r="C618" s="9" t="s">
        <v>51</v>
      </c>
      <c r="D618" s="9" t="s">
        <v>24</v>
      </c>
      <c r="E618" s="9" t="s">
        <v>91</v>
      </c>
      <c r="F618" s="9" t="s">
        <v>70</v>
      </c>
      <c r="G618" s="9" t="s">
        <v>1266</v>
      </c>
      <c r="H618" s="9" t="s">
        <v>287</v>
      </c>
      <c r="I618" s="9" t="s">
        <v>288</v>
      </c>
      <c r="J618" s="9" t="s">
        <v>549</v>
      </c>
      <c r="K618" s="9" t="s">
        <v>1262</v>
      </c>
      <c r="L618" s="9" t="s">
        <v>551</v>
      </c>
      <c r="M618" s="9" t="s">
        <v>281</v>
      </c>
      <c r="N618" s="9" t="s">
        <v>1263</v>
      </c>
      <c r="O618" s="9" t="s">
        <v>1185</v>
      </c>
      <c r="P618" s="9" t="s">
        <v>144</v>
      </c>
      <c r="Q618" s="9" t="s">
        <v>1186</v>
      </c>
      <c r="R618" s="9" t="s">
        <v>1186</v>
      </c>
      <c r="S618" s="9" t="s">
        <v>472</v>
      </c>
      <c r="T618" s="9" t="s">
        <v>356</v>
      </c>
      <c r="U618" s="9" t="s">
        <v>194</v>
      </c>
      <c r="V618" s="9" t="s">
        <v>368</v>
      </c>
      <c r="W618" s="9" t="s">
        <v>682</v>
      </c>
      <c r="X618" s="9" t="s">
        <v>1264</v>
      </c>
      <c r="Y618" s="9" t="s">
        <v>976</v>
      </c>
      <c r="Z618" s="9" t="s">
        <v>337</v>
      </c>
      <c r="AA618" s="9" t="s">
        <v>183</v>
      </c>
      <c r="AB618" s="19" t="n">
        <v>1450</v>
      </c>
      <c r="AC618" s="9"/>
      <c r="AD618" s="9"/>
      <c r="AE618" s="9" t="s">
        <v>1267</v>
      </c>
    </row>
    <row r="619" customFormat="false" ht="21.75" hidden="false" customHeight="true" outlineLevel="0" collapsed="false">
      <c r="B619" s="14" t="n">
        <v>615</v>
      </c>
      <c r="C619" s="7" t="s">
        <v>51</v>
      </c>
      <c r="D619" s="7" t="s">
        <v>24</v>
      </c>
      <c r="E619" s="7" t="s">
        <v>91</v>
      </c>
      <c r="F619" s="7" t="s">
        <v>70</v>
      </c>
      <c r="G619" s="7" t="s">
        <v>1268</v>
      </c>
      <c r="H619" s="7" t="s">
        <v>287</v>
      </c>
      <c r="I619" s="7" t="s">
        <v>288</v>
      </c>
      <c r="J619" s="7" t="s">
        <v>549</v>
      </c>
      <c r="K619" s="7" t="s">
        <v>1262</v>
      </c>
      <c r="L619" s="7" t="s">
        <v>551</v>
      </c>
      <c r="M619" s="7" t="s">
        <v>281</v>
      </c>
      <c r="N619" s="7" t="s">
        <v>1263</v>
      </c>
      <c r="O619" s="7" t="s">
        <v>1185</v>
      </c>
      <c r="P619" s="7" t="s">
        <v>144</v>
      </c>
      <c r="Q619" s="7" t="s">
        <v>1186</v>
      </c>
      <c r="R619" s="7" t="s">
        <v>1186</v>
      </c>
      <c r="S619" s="7" t="s">
        <v>472</v>
      </c>
      <c r="T619" s="7" t="s">
        <v>356</v>
      </c>
      <c r="U619" s="7" t="s">
        <v>194</v>
      </c>
      <c r="V619" s="7" t="s">
        <v>368</v>
      </c>
      <c r="W619" s="7" t="s">
        <v>682</v>
      </c>
      <c r="X619" s="7" t="s">
        <v>1264</v>
      </c>
      <c r="Y619" s="7" t="s">
        <v>976</v>
      </c>
      <c r="Z619" s="7" t="s">
        <v>337</v>
      </c>
      <c r="AA619" s="7" t="s">
        <v>183</v>
      </c>
      <c r="AB619" s="18" t="n">
        <v>2175</v>
      </c>
      <c r="AC619" s="7"/>
      <c r="AD619" s="7"/>
      <c r="AE619" s="7" t="s">
        <v>165</v>
      </c>
    </row>
    <row r="620" customFormat="false" ht="21.75" hidden="false" customHeight="true" outlineLevel="0" collapsed="false">
      <c r="B620" s="15" t="n">
        <v>616</v>
      </c>
      <c r="C620" s="9" t="s">
        <v>51</v>
      </c>
      <c r="D620" s="9" t="s">
        <v>24</v>
      </c>
      <c r="E620" s="9" t="s">
        <v>91</v>
      </c>
      <c r="F620" s="9" t="s">
        <v>70</v>
      </c>
      <c r="G620" s="9" t="s">
        <v>1269</v>
      </c>
      <c r="H620" s="9" t="s">
        <v>287</v>
      </c>
      <c r="I620" s="9" t="s">
        <v>288</v>
      </c>
      <c r="J620" s="9" t="s">
        <v>549</v>
      </c>
      <c r="K620" s="9" t="s">
        <v>1262</v>
      </c>
      <c r="L620" s="9" t="s">
        <v>551</v>
      </c>
      <c r="M620" s="9" t="s">
        <v>281</v>
      </c>
      <c r="N620" s="9" t="s">
        <v>1263</v>
      </c>
      <c r="O620" s="9" t="s">
        <v>1185</v>
      </c>
      <c r="P620" s="9" t="s">
        <v>144</v>
      </c>
      <c r="Q620" s="9" t="s">
        <v>1186</v>
      </c>
      <c r="R620" s="9" t="s">
        <v>1186</v>
      </c>
      <c r="S620" s="9" t="s">
        <v>472</v>
      </c>
      <c r="T620" s="9" t="s">
        <v>356</v>
      </c>
      <c r="U620" s="9" t="s">
        <v>194</v>
      </c>
      <c r="V620" s="9" t="s">
        <v>368</v>
      </c>
      <c r="W620" s="9" t="s">
        <v>682</v>
      </c>
      <c r="X620" s="9" t="s">
        <v>1264</v>
      </c>
      <c r="Y620" s="9" t="s">
        <v>976</v>
      </c>
      <c r="Z620" s="9" t="s">
        <v>337</v>
      </c>
      <c r="AA620" s="9" t="s">
        <v>183</v>
      </c>
      <c r="AB620" s="19" t="n">
        <v>3190</v>
      </c>
      <c r="AC620" s="9"/>
      <c r="AD620" s="9"/>
      <c r="AE620" s="9" t="s">
        <v>167</v>
      </c>
    </row>
    <row r="621" customFormat="false" ht="21.75" hidden="false" customHeight="true" outlineLevel="0" collapsed="false">
      <c r="B621" s="14" t="n">
        <v>617</v>
      </c>
      <c r="C621" s="7" t="s">
        <v>51</v>
      </c>
      <c r="D621" s="7" t="s">
        <v>24</v>
      </c>
      <c r="E621" s="7" t="s">
        <v>91</v>
      </c>
      <c r="F621" s="7" t="s">
        <v>71</v>
      </c>
      <c r="G621" s="7" t="s">
        <v>1270</v>
      </c>
      <c r="H621" s="7" t="s">
        <v>136</v>
      </c>
      <c r="I621" s="7" t="s">
        <v>137</v>
      </c>
      <c r="J621" s="7" t="s">
        <v>396</v>
      </c>
      <c r="K621" s="7" t="s">
        <v>429</v>
      </c>
      <c r="L621" s="7" t="s">
        <v>1271</v>
      </c>
      <c r="M621" s="7" t="s">
        <v>326</v>
      </c>
      <c r="N621" s="7" t="s">
        <v>1272</v>
      </c>
      <c r="O621" s="7" t="s">
        <v>1185</v>
      </c>
      <c r="P621" s="7" t="s">
        <v>144</v>
      </c>
      <c r="Q621" s="7" t="s">
        <v>1186</v>
      </c>
      <c r="R621" s="7" t="s">
        <v>1186</v>
      </c>
      <c r="S621" s="7" t="s">
        <v>472</v>
      </c>
      <c r="T621" s="7" t="s">
        <v>356</v>
      </c>
      <c r="U621" s="7" t="s">
        <v>194</v>
      </c>
      <c r="V621" s="7" t="s">
        <v>368</v>
      </c>
      <c r="W621" s="7" t="s">
        <v>682</v>
      </c>
      <c r="X621" s="7" t="s">
        <v>1273</v>
      </c>
      <c r="Y621" s="7" t="s">
        <v>210</v>
      </c>
      <c r="Z621" s="7" t="s">
        <v>337</v>
      </c>
      <c r="AA621" s="7" t="s">
        <v>183</v>
      </c>
      <c r="AB621" s="18" t="n">
        <v>275</v>
      </c>
      <c r="AC621" s="7"/>
      <c r="AD621" s="7"/>
      <c r="AE621" s="7" t="s">
        <v>155</v>
      </c>
    </row>
    <row r="622" customFormat="false" ht="21.75" hidden="false" customHeight="true" outlineLevel="0" collapsed="false">
      <c r="B622" s="15" t="n">
        <v>618</v>
      </c>
      <c r="C622" s="9" t="s">
        <v>51</v>
      </c>
      <c r="D622" s="9" t="s">
        <v>24</v>
      </c>
      <c r="E622" s="9" t="s">
        <v>91</v>
      </c>
      <c r="F622" s="9" t="s">
        <v>71</v>
      </c>
      <c r="G622" s="9" t="s">
        <v>1274</v>
      </c>
      <c r="H622" s="9" t="s">
        <v>157</v>
      </c>
      <c r="I622" s="9" t="s">
        <v>158</v>
      </c>
      <c r="J622" s="9" t="s">
        <v>396</v>
      </c>
      <c r="K622" s="9" t="s">
        <v>429</v>
      </c>
      <c r="L622" s="9" t="s">
        <v>1271</v>
      </c>
      <c r="M622" s="9" t="s">
        <v>326</v>
      </c>
      <c r="N622" s="9" t="s">
        <v>1272</v>
      </c>
      <c r="O622" s="9" t="s">
        <v>1185</v>
      </c>
      <c r="P622" s="9" t="s">
        <v>144</v>
      </c>
      <c r="Q622" s="9" t="s">
        <v>1186</v>
      </c>
      <c r="R622" s="9" t="s">
        <v>1186</v>
      </c>
      <c r="S622" s="9" t="s">
        <v>472</v>
      </c>
      <c r="T622" s="9" t="s">
        <v>356</v>
      </c>
      <c r="U622" s="9" t="s">
        <v>194</v>
      </c>
      <c r="V622" s="9" t="s">
        <v>368</v>
      </c>
      <c r="W622" s="9" t="s">
        <v>682</v>
      </c>
      <c r="X622" s="9" t="s">
        <v>1273</v>
      </c>
      <c r="Y622" s="9" t="s">
        <v>210</v>
      </c>
      <c r="Z622" s="9" t="s">
        <v>337</v>
      </c>
      <c r="AA622" s="9" t="s">
        <v>183</v>
      </c>
      <c r="AB622" s="19" t="n">
        <v>410</v>
      </c>
      <c r="AC622" s="9"/>
      <c r="AD622" s="9"/>
      <c r="AE622" s="9" t="s">
        <v>159</v>
      </c>
    </row>
    <row r="623" customFormat="false" ht="21.75" hidden="false" customHeight="true" outlineLevel="0" collapsed="false">
      <c r="B623" s="14" t="n">
        <v>619</v>
      </c>
      <c r="C623" s="7" t="s">
        <v>51</v>
      </c>
      <c r="D623" s="7" t="s">
        <v>24</v>
      </c>
      <c r="E623" s="7" t="s">
        <v>91</v>
      </c>
      <c r="F623" s="7" t="s">
        <v>71</v>
      </c>
      <c r="G623" s="7" t="s">
        <v>1275</v>
      </c>
      <c r="H623" s="7" t="s">
        <v>163</v>
      </c>
      <c r="I623" s="7" t="s">
        <v>164</v>
      </c>
      <c r="J623" s="7" t="s">
        <v>396</v>
      </c>
      <c r="K623" s="7" t="s">
        <v>429</v>
      </c>
      <c r="L623" s="7" t="s">
        <v>1271</v>
      </c>
      <c r="M623" s="7" t="s">
        <v>326</v>
      </c>
      <c r="N623" s="7" t="s">
        <v>1272</v>
      </c>
      <c r="O623" s="7" t="s">
        <v>1185</v>
      </c>
      <c r="P623" s="7" t="s">
        <v>144</v>
      </c>
      <c r="Q623" s="7" t="s">
        <v>1186</v>
      </c>
      <c r="R623" s="7" t="s">
        <v>1186</v>
      </c>
      <c r="S623" s="7" t="s">
        <v>472</v>
      </c>
      <c r="T623" s="7" t="s">
        <v>356</v>
      </c>
      <c r="U623" s="7" t="s">
        <v>194</v>
      </c>
      <c r="V623" s="7" t="s">
        <v>368</v>
      </c>
      <c r="W623" s="7" t="s">
        <v>682</v>
      </c>
      <c r="X623" s="7" t="s">
        <v>1273</v>
      </c>
      <c r="Y623" s="7" t="s">
        <v>210</v>
      </c>
      <c r="Z623" s="7" t="s">
        <v>337</v>
      </c>
      <c r="AA623" s="7" t="s">
        <v>183</v>
      </c>
      <c r="AB623" s="18" t="n">
        <v>550</v>
      </c>
      <c r="AC623" s="7"/>
      <c r="AD623" s="7"/>
      <c r="AE623" s="7" t="s">
        <v>1276</v>
      </c>
    </row>
    <row r="624" customFormat="false" ht="21.75" hidden="false" customHeight="true" outlineLevel="0" collapsed="false">
      <c r="B624" s="15" t="n">
        <v>620</v>
      </c>
      <c r="C624" s="9" t="s">
        <v>51</v>
      </c>
      <c r="D624" s="9" t="s">
        <v>24</v>
      </c>
      <c r="E624" s="9" t="s">
        <v>91</v>
      </c>
      <c r="F624" s="9" t="s">
        <v>71</v>
      </c>
      <c r="G624" s="9" t="s">
        <v>1277</v>
      </c>
      <c r="H624" s="9" t="s">
        <v>163</v>
      </c>
      <c r="I624" s="9" t="s">
        <v>164</v>
      </c>
      <c r="J624" s="9" t="s">
        <v>396</v>
      </c>
      <c r="K624" s="9" t="s">
        <v>429</v>
      </c>
      <c r="L624" s="9" t="s">
        <v>1271</v>
      </c>
      <c r="M624" s="9" t="s">
        <v>326</v>
      </c>
      <c r="N624" s="9" t="s">
        <v>1272</v>
      </c>
      <c r="O624" s="9" t="s">
        <v>1185</v>
      </c>
      <c r="P624" s="9" t="s">
        <v>144</v>
      </c>
      <c r="Q624" s="9" t="s">
        <v>1186</v>
      </c>
      <c r="R624" s="9" t="s">
        <v>1186</v>
      </c>
      <c r="S624" s="9" t="s">
        <v>472</v>
      </c>
      <c r="T624" s="9" t="s">
        <v>356</v>
      </c>
      <c r="U624" s="9" t="s">
        <v>194</v>
      </c>
      <c r="V624" s="9" t="s">
        <v>368</v>
      </c>
      <c r="W624" s="9" t="s">
        <v>682</v>
      </c>
      <c r="X624" s="9" t="s">
        <v>1273</v>
      </c>
      <c r="Y624" s="9" t="s">
        <v>210</v>
      </c>
      <c r="Z624" s="9" t="s">
        <v>337</v>
      </c>
      <c r="AA624" s="9" t="s">
        <v>183</v>
      </c>
      <c r="AB624" s="19" t="n">
        <v>825</v>
      </c>
      <c r="AC624" s="9"/>
      <c r="AD624" s="9"/>
      <c r="AE624" s="9" t="s">
        <v>165</v>
      </c>
    </row>
    <row r="625" customFormat="false" ht="21.75" hidden="false" customHeight="true" outlineLevel="0" collapsed="false">
      <c r="B625" s="14" t="n">
        <v>621</v>
      </c>
      <c r="C625" s="7" t="s">
        <v>51</v>
      </c>
      <c r="D625" s="7" t="s">
        <v>24</v>
      </c>
      <c r="E625" s="7" t="s">
        <v>91</v>
      </c>
      <c r="F625" s="7" t="s">
        <v>71</v>
      </c>
      <c r="G625" s="7" t="s">
        <v>1278</v>
      </c>
      <c r="H625" s="7" t="s">
        <v>163</v>
      </c>
      <c r="I625" s="7" t="s">
        <v>164</v>
      </c>
      <c r="J625" s="7" t="s">
        <v>396</v>
      </c>
      <c r="K625" s="7" t="s">
        <v>429</v>
      </c>
      <c r="L625" s="7" t="s">
        <v>1271</v>
      </c>
      <c r="M625" s="7" t="s">
        <v>326</v>
      </c>
      <c r="N625" s="7" t="s">
        <v>1272</v>
      </c>
      <c r="O625" s="7" t="s">
        <v>1185</v>
      </c>
      <c r="P625" s="7" t="s">
        <v>144</v>
      </c>
      <c r="Q625" s="7" t="s">
        <v>1186</v>
      </c>
      <c r="R625" s="7" t="s">
        <v>1186</v>
      </c>
      <c r="S625" s="7" t="s">
        <v>472</v>
      </c>
      <c r="T625" s="7" t="s">
        <v>356</v>
      </c>
      <c r="U625" s="7" t="s">
        <v>194</v>
      </c>
      <c r="V625" s="7" t="s">
        <v>368</v>
      </c>
      <c r="W625" s="7" t="s">
        <v>682</v>
      </c>
      <c r="X625" s="7" t="s">
        <v>1273</v>
      </c>
      <c r="Y625" s="7" t="s">
        <v>210</v>
      </c>
      <c r="Z625" s="7" t="s">
        <v>337</v>
      </c>
      <c r="AA625" s="7" t="s">
        <v>183</v>
      </c>
      <c r="AB625" s="18" t="n">
        <v>1210</v>
      </c>
      <c r="AC625" s="7"/>
      <c r="AD625" s="7"/>
      <c r="AE625" s="7" t="s">
        <v>167</v>
      </c>
    </row>
    <row r="626" customFormat="false" ht="21.75" hidden="false" customHeight="true" outlineLevel="0" collapsed="false">
      <c r="B626" s="15" t="n">
        <v>622</v>
      </c>
      <c r="C626" s="9" t="s">
        <v>51</v>
      </c>
      <c r="D626" s="9" t="s">
        <v>24</v>
      </c>
      <c r="E626" s="9" t="s">
        <v>91</v>
      </c>
      <c r="F626" s="9" t="s">
        <v>72</v>
      </c>
      <c r="G626" s="9" t="s">
        <v>1279</v>
      </c>
      <c r="H626" s="9" t="s">
        <v>301</v>
      </c>
      <c r="I626" s="9" t="s">
        <v>302</v>
      </c>
      <c r="J626" s="9" t="s">
        <v>567</v>
      </c>
      <c r="K626" s="9" t="s">
        <v>1280</v>
      </c>
      <c r="L626" s="9" t="s">
        <v>1281</v>
      </c>
      <c r="M626" s="9" t="s">
        <v>326</v>
      </c>
      <c r="N626" s="9" t="s">
        <v>1282</v>
      </c>
      <c r="O626" s="9" t="s">
        <v>1185</v>
      </c>
      <c r="P626" s="9" t="s">
        <v>144</v>
      </c>
      <c r="Q626" s="9" t="s">
        <v>1186</v>
      </c>
      <c r="R626" s="9" t="s">
        <v>1186</v>
      </c>
      <c r="S626" s="9" t="s">
        <v>472</v>
      </c>
      <c r="T626" s="9" t="s">
        <v>1205</v>
      </c>
      <c r="U626" s="9" t="s">
        <v>194</v>
      </c>
      <c r="V626" s="9" t="s">
        <v>208</v>
      </c>
      <c r="W626" s="9" t="s">
        <v>682</v>
      </c>
      <c r="X626" s="9" t="s">
        <v>1283</v>
      </c>
      <c r="Y626" s="9" t="s">
        <v>307</v>
      </c>
      <c r="Z626" s="9" t="s">
        <v>337</v>
      </c>
      <c r="AA626" s="9" t="s">
        <v>183</v>
      </c>
      <c r="AB626" s="19" t="n">
        <v>310</v>
      </c>
      <c r="AC626" s="9"/>
      <c r="AD626" s="9"/>
      <c r="AE626" s="9" t="s">
        <v>155</v>
      </c>
    </row>
    <row r="627" customFormat="false" ht="21.75" hidden="false" customHeight="true" outlineLevel="0" collapsed="false">
      <c r="B627" s="14" t="n">
        <v>623</v>
      </c>
      <c r="C627" s="7" t="s">
        <v>51</v>
      </c>
      <c r="D627" s="7" t="s">
        <v>24</v>
      </c>
      <c r="E627" s="7" t="s">
        <v>91</v>
      </c>
      <c r="F627" s="7" t="s">
        <v>72</v>
      </c>
      <c r="G627" s="7" t="s">
        <v>1284</v>
      </c>
      <c r="H627" s="7" t="s">
        <v>309</v>
      </c>
      <c r="I627" s="7" t="s">
        <v>310</v>
      </c>
      <c r="J627" s="7" t="s">
        <v>567</v>
      </c>
      <c r="K627" s="7" t="s">
        <v>1280</v>
      </c>
      <c r="L627" s="7" t="s">
        <v>1281</v>
      </c>
      <c r="M627" s="7" t="s">
        <v>326</v>
      </c>
      <c r="N627" s="7" t="s">
        <v>1282</v>
      </c>
      <c r="O627" s="7" t="s">
        <v>1185</v>
      </c>
      <c r="P627" s="7" t="s">
        <v>144</v>
      </c>
      <c r="Q627" s="7" t="s">
        <v>1186</v>
      </c>
      <c r="R627" s="7" t="s">
        <v>1186</v>
      </c>
      <c r="S627" s="7" t="s">
        <v>472</v>
      </c>
      <c r="T627" s="7" t="s">
        <v>1205</v>
      </c>
      <c r="U627" s="7" t="s">
        <v>194</v>
      </c>
      <c r="V627" s="7" t="s">
        <v>208</v>
      </c>
      <c r="W627" s="7" t="s">
        <v>682</v>
      </c>
      <c r="X627" s="7" t="s">
        <v>1283</v>
      </c>
      <c r="Y627" s="7" t="s">
        <v>307</v>
      </c>
      <c r="Z627" s="7" t="s">
        <v>337</v>
      </c>
      <c r="AA627" s="7" t="s">
        <v>183</v>
      </c>
      <c r="AB627" s="18" t="n">
        <v>465</v>
      </c>
      <c r="AC627" s="7"/>
      <c r="AD627" s="7"/>
      <c r="AE627" s="7" t="s">
        <v>159</v>
      </c>
    </row>
    <row r="628" customFormat="false" ht="21.75" hidden="false" customHeight="true" outlineLevel="0" collapsed="false">
      <c r="B628" s="15" t="n">
        <v>624</v>
      </c>
      <c r="C628" s="9" t="s">
        <v>51</v>
      </c>
      <c r="D628" s="9" t="s">
        <v>24</v>
      </c>
      <c r="E628" s="9" t="s">
        <v>91</v>
      </c>
      <c r="F628" s="9" t="s">
        <v>72</v>
      </c>
      <c r="G628" s="9" t="s">
        <v>1285</v>
      </c>
      <c r="H628" s="9" t="s">
        <v>309</v>
      </c>
      <c r="I628" s="9" t="s">
        <v>310</v>
      </c>
      <c r="J628" s="9" t="s">
        <v>567</v>
      </c>
      <c r="K628" s="9" t="s">
        <v>1280</v>
      </c>
      <c r="L628" s="9" t="s">
        <v>1281</v>
      </c>
      <c r="M628" s="9" t="s">
        <v>326</v>
      </c>
      <c r="N628" s="9" t="s">
        <v>1282</v>
      </c>
      <c r="O628" s="9" t="s">
        <v>1185</v>
      </c>
      <c r="P628" s="9" t="s">
        <v>144</v>
      </c>
      <c r="Q628" s="9" t="s">
        <v>1186</v>
      </c>
      <c r="R628" s="9" t="s">
        <v>1186</v>
      </c>
      <c r="S628" s="9" t="s">
        <v>472</v>
      </c>
      <c r="T628" s="9" t="s">
        <v>1205</v>
      </c>
      <c r="U628" s="9" t="s">
        <v>194</v>
      </c>
      <c r="V628" s="9" t="s">
        <v>208</v>
      </c>
      <c r="W628" s="9" t="s">
        <v>682</v>
      </c>
      <c r="X628" s="9" t="s">
        <v>1283</v>
      </c>
      <c r="Y628" s="9" t="s">
        <v>307</v>
      </c>
      <c r="Z628" s="9" t="s">
        <v>337</v>
      </c>
      <c r="AA628" s="9" t="s">
        <v>183</v>
      </c>
      <c r="AB628" s="19" t="n">
        <v>620</v>
      </c>
      <c r="AC628" s="9"/>
      <c r="AD628" s="9"/>
      <c r="AE628" s="9" t="s">
        <v>1286</v>
      </c>
    </row>
    <row r="629" customFormat="false" ht="21.75" hidden="false" customHeight="true" outlineLevel="0" collapsed="false">
      <c r="B629" s="14" t="n">
        <v>625</v>
      </c>
      <c r="C629" s="7" t="s">
        <v>51</v>
      </c>
      <c r="D629" s="7" t="s">
        <v>24</v>
      </c>
      <c r="E629" s="7" t="s">
        <v>91</v>
      </c>
      <c r="F629" s="7" t="s">
        <v>72</v>
      </c>
      <c r="G629" s="7" t="s">
        <v>1287</v>
      </c>
      <c r="H629" s="7" t="s">
        <v>309</v>
      </c>
      <c r="I629" s="7" t="s">
        <v>310</v>
      </c>
      <c r="J629" s="7" t="s">
        <v>567</v>
      </c>
      <c r="K629" s="7" t="s">
        <v>1280</v>
      </c>
      <c r="L629" s="7" t="s">
        <v>1281</v>
      </c>
      <c r="M629" s="7" t="s">
        <v>326</v>
      </c>
      <c r="N629" s="7" t="s">
        <v>1282</v>
      </c>
      <c r="O629" s="7" t="s">
        <v>1185</v>
      </c>
      <c r="P629" s="7" t="s">
        <v>144</v>
      </c>
      <c r="Q629" s="7" t="s">
        <v>1186</v>
      </c>
      <c r="R629" s="7" t="s">
        <v>1186</v>
      </c>
      <c r="S629" s="7" t="s">
        <v>472</v>
      </c>
      <c r="T629" s="7" t="s">
        <v>1205</v>
      </c>
      <c r="U629" s="7" t="s">
        <v>194</v>
      </c>
      <c r="V629" s="7" t="s">
        <v>208</v>
      </c>
      <c r="W629" s="7" t="s">
        <v>682</v>
      </c>
      <c r="X629" s="7" t="s">
        <v>1283</v>
      </c>
      <c r="Y629" s="7" t="s">
        <v>307</v>
      </c>
      <c r="Z629" s="7" t="s">
        <v>337</v>
      </c>
      <c r="AA629" s="7" t="s">
        <v>183</v>
      </c>
      <c r="AB629" s="18" t="n">
        <v>930</v>
      </c>
      <c r="AC629" s="7"/>
      <c r="AD629" s="7"/>
      <c r="AE629" s="7" t="s">
        <v>165</v>
      </c>
    </row>
    <row r="630" customFormat="false" ht="21.75" hidden="false" customHeight="true" outlineLevel="0" collapsed="false">
      <c r="B630" s="15" t="n">
        <v>626</v>
      </c>
      <c r="C630" s="9" t="s">
        <v>51</v>
      </c>
      <c r="D630" s="9" t="s">
        <v>24</v>
      </c>
      <c r="E630" s="9" t="s">
        <v>91</v>
      </c>
      <c r="F630" s="9" t="s">
        <v>72</v>
      </c>
      <c r="G630" s="9" t="s">
        <v>1288</v>
      </c>
      <c r="H630" s="9" t="s">
        <v>315</v>
      </c>
      <c r="I630" s="9" t="s">
        <v>316</v>
      </c>
      <c r="J630" s="9" t="s">
        <v>567</v>
      </c>
      <c r="K630" s="9" t="s">
        <v>1280</v>
      </c>
      <c r="L630" s="9" t="s">
        <v>1281</v>
      </c>
      <c r="M630" s="9" t="s">
        <v>326</v>
      </c>
      <c r="N630" s="9" t="s">
        <v>1282</v>
      </c>
      <c r="O630" s="9" t="s">
        <v>1185</v>
      </c>
      <c r="P630" s="9" t="s">
        <v>144</v>
      </c>
      <c r="Q630" s="9" t="s">
        <v>1186</v>
      </c>
      <c r="R630" s="9" t="s">
        <v>1186</v>
      </c>
      <c r="S630" s="9" t="s">
        <v>472</v>
      </c>
      <c r="T630" s="9" t="s">
        <v>1205</v>
      </c>
      <c r="U630" s="9" t="s">
        <v>194</v>
      </c>
      <c r="V630" s="9" t="s">
        <v>208</v>
      </c>
      <c r="W630" s="9" t="s">
        <v>682</v>
      </c>
      <c r="X630" s="9" t="s">
        <v>1283</v>
      </c>
      <c r="Y630" s="9" t="s">
        <v>307</v>
      </c>
      <c r="Z630" s="9" t="s">
        <v>337</v>
      </c>
      <c r="AA630" s="9" t="s">
        <v>183</v>
      </c>
      <c r="AB630" s="19" t="n">
        <v>1365</v>
      </c>
      <c r="AC630" s="9"/>
      <c r="AD630" s="9"/>
      <c r="AE630" s="9" t="s">
        <v>167</v>
      </c>
    </row>
    <row r="631" customFormat="false" ht="21.75" hidden="false" customHeight="true" outlineLevel="0" collapsed="false">
      <c r="B631" s="14" t="n">
        <v>627</v>
      </c>
      <c r="C631" s="7" t="s">
        <v>51</v>
      </c>
      <c r="D631" s="7" t="s">
        <v>24</v>
      </c>
      <c r="E631" s="7" t="s">
        <v>91</v>
      </c>
      <c r="F631" s="7" t="s">
        <v>73</v>
      </c>
      <c r="G631" s="7" t="s">
        <v>1289</v>
      </c>
      <c r="H631" s="7" t="s">
        <v>136</v>
      </c>
      <c r="I631" s="7" t="s">
        <v>137</v>
      </c>
      <c r="J631" s="7" t="s">
        <v>396</v>
      </c>
      <c r="K631" s="7" t="s">
        <v>429</v>
      </c>
      <c r="L631" s="7" t="s">
        <v>1281</v>
      </c>
      <c r="M631" s="7" t="s">
        <v>326</v>
      </c>
      <c r="N631" s="7" t="s">
        <v>1290</v>
      </c>
      <c r="O631" s="7" t="s">
        <v>1185</v>
      </c>
      <c r="P631" s="7" t="s">
        <v>144</v>
      </c>
      <c r="Q631" s="7" t="s">
        <v>1186</v>
      </c>
      <c r="R631" s="7" t="s">
        <v>1186</v>
      </c>
      <c r="S631" s="7" t="s">
        <v>472</v>
      </c>
      <c r="T631" s="7" t="s">
        <v>356</v>
      </c>
      <c r="U631" s="7" t="s">
        <v>194</v>
      </c>
      <c r="V631" s="7" t="s">
        <v>368</v>
      </c>
      <c r="W631" s="7" t="s">
        <v>682</v>
      </c>
      <c r="X631" s="7" t="s">
        <v>1273</v>
      </c>
      <c r="Y631" s="7" t="s">
        <v>210</v>
      </c>
      <c r="Z631" s="7" t="s">
        <v>337</v>
      </c>
      <c r="AA631" s="7" t="s">
        <v>183</v>
      </c>
      <c r="AB631" s="18" t="n">
        <v>240</v>
      </c>
      <c r="AC631" s="7"/>
      <c r="AD631" s="7"/>
      <c r="AE631" s="7" t="s">
        <v>155</v>
      </c>
    </row>
    <row r="632" customFormat="false" ht="21.75" hidden="false" customHeight="true" outlineLevel="0" collapsed="false">
      <c r="B632" s="15" t="n">
        <v>628</v>
      </c>
      <c r="C632" s="9" t="s">
        <v>51</v>
      </c>
      <c r="D632" s="9" t="s">
        <v>24</v>
      </c>
      <c r="E632" s="9" t="s">
        <v>91</v>
      </c>
      <c r="F632" s="9" t="s">
        <v>73</v>
      </c>
      <c r="G632" s="9" t="s">
        <v>1291</v>
      </c>
      <c r="H632" s="9" t="s">
        <v>157</v>
      </c>
      <c r="I632" s="9" t="s">
        <v>158</v>
      </c>
      <c r="J632" s="9" t="s">
        <v>396</v>
      </c>
      <c r="K632" s="9" t="s">
        <v>429</v>
      </c>
      <c r="L632" s="9" t="s">
        <v>1281</v>
      </c>
      <c r="M632" s="9" t="s">
        <v>326</v>
      </c>
      <c r="N632" s="9" t="s">
        <v>1290</v>
      </c>
      <c r="O632" s="9" t="s">
        <v>1185</v>
      </c>
      <c r="P632" s="9" t="s">
        <v>144</v>
      </c>
      <c r="Q632" s="9" t="s">
        <v>1186</v>
      </c>
      <c r="R632" s="9" t="s">
        <v>1186</v>
      </c>
      <c r="S632" s="9" t="s">
        <v>472</v>
      </c>
      <c r="T632" s="9" t="s">
        <v>356</v>
      </c>
      <c r="U632" s="9" t="s">
        <v>194</v>
      </c>
      <c r="V632" s="9" t="s">
        <v>368</v>
      </c>
      <c r="W632" s="9" t="s">
        <v>682</v>
      </c>
      <c r="X632" s="9" t="s">
        <v>1273</v>
      </c>
      <c r="Y632" s="9" t="s">
        <v>210</v>
      </c>
      <c r="Z632" s="9" t="s">
        <v>337</v>
      </c>
      <c r="AA632" s="9" t="s">
        <v>183</v>
      </c>
      <c r="AB632" s="19" t="n">
        <v>360</v>
      </c>
      <c r="AC632" s="9"/>
      <c r="AD632" s="9"/>
      <c r="AE632" s="9" t="s">
        <v>159</v>
      </c>
    </row>
    <row r="633" customFormat="false" ht="21.75" hidden="false" customHeight="true" outlineLevel="0" collapsed="false">
      <c r="B633" s="14" t="n">
        <v>629</v>
      </c>
      <c r="C633" s="7" t="s">
        <v>51</v>
      </c>
      <c r="D633" s="7" t="s">
        <v>24</v>
      </c>
      <c r="E633" s="7" t="s">
        <v>91</v>
      </c>
      <c r="F633" s="7" t="s">
        <v>73</v>
      </c>
      <c r="G633" s="7" t="s">
        <v>1292</v>
      </c>
      <c r="H633" s="7" t="s">
        <v>157</v>
      </c>
      <c r="I633" s="7" t="s">
        <v>158</v>
      </c>
      <c r="J633" s="7" t="s">
        <v>396</v>
      </c>
      <c r="K633" s="7" t="s">
        <v>429</v>
      </c>
      <c r="L633" s="7" t="s">
        <v>1281</v>
      </c>
      <c r="M633" s="7" t="s">
        <v>326</v>
      </c>
      <c r="N633" s="7" t="s">
        <v>1290</v>
      </c>
      <c r="O633" s="7" t="s">
        <v>1185</v>
      </c>
      <c r="P633" s="7" t="s">
        <v>144</v>
      </c>
      <c r="Q633" s="7" t="s">
        <v>1186</v>
      </c>
      <c r="R633" s="7" t="s">
        <v>1186</v>
      </c>
      <c r="S633" s="7" t="s">
        <v>472</v>
      </c>
      <c r="T633" s="7" t="s">
        <v>356</v>
      </c>
      <c r="U633" s="7" t="s">
        <v>194</v>
      </c>
      <c r="V633" s="7" t="s">
        <v>368</v>
      </c>
      <c r="W633" s="7" t="s">
        <v>682</v>
      </c>
      <c r="X633" s="7" t="s">
        <v>1273</v>
      </c>
      <c r="Y633" s="7" t="s">
        <v>210</v>
      </c>
      <c r="Z633" s="7" t="s">
        <v>337</v>
      </c>
      <c r="AA633" s="7" t="s">
        <v>183</v>
      </c>
      <c r="AB633" s="18" t="n">
        <v>480</v>
      </c>
      <c r="AC633" s="7"/>
      <c r="AD633" s="7"/>
      <c r="AE633" s="7" t="s">
        <v>1293</v>
      </c>
    </row>
    <row r="634" customFormat="false" ht="21.75" hidden="false" customHeight="true" outlineLevel="0" collapsed="false">
      <c r="B634" s="15" t="n">
        <v>630</v>
      </c>
      <c r="C634" s="9" t="s">
        <v>51</v>
      </c>
      <c r="D634" s="9" t="s">
        <v>24</v>
      </c>
      <c r="E634" s="9" t="s">
        <v>91</v>
      </c>
      <c r="F634" s="9" t="s">
        <v>73</v>
      </c>
      <c r="G634" s="9" t="s">
        <v>1294</v>
      </c>
      <c r="H634" s="9" t="s">
        <v>163</v>
      </c>
      <c r="I634" s="9" t="s">
        <v>164</v>
      </c>
      <c r="J634" s="9" t="s">
        <v>396</v>
      </c>
      <c r="K634" s="9" t="s">
        <v>429</v>
      </c>
      <c r="L634" s="9" t="s">
        <v>1281</v>
      </c>
      <c r="M634" s="9" t="s">
        <v>326</v>
      </c>
      <c r="N634" s="9" t="s">
        <v>1290</v>
      </c>
      <c r="O634" s="9" t="s">
        <v>1185</v>
      </c>
      <c r="P634" s="9" t="s">
        <v>144</v>
      </c>
      <c r="Q634" s="9" t="s">
        <v>1186</v>
      </c>
      <c r="R634" s="9" t="s">
        <v>1186</v>
      </c>
      <c r="S634" s="9" t="s">
        <v>472</v>
      </c>
      <c r="T634" s="9" t="s">
        <v>356</v>
      </c>
      <c r="U634" s="9" t="s">
        <v>194</v>
      </c>
      <c r="V634" s="9" t="s">
        <v>368</v>
      </c>
      <c r="W634" s="9" t="s">
        <v>682</v>
      </c>
      <c r="X634" s="9" t="s">
        <v>1273</v>
      </c>
      <c r="Y634" s="9" t="s">
        <v>210</v>
      </c>
      <c r="Z634" s="9" t="s">
        <v>337</v>
      </c>
      <c r="AA634" s="9" t="s">
        <v>183</v>
      </c>
      <c r="AB634" s="19" t="n">
        <v>720</v>
      </c>
      <c r="AC634" s="9"/>
      <c r="AD634" s="9"/>
      <c r="AE634" s="9" t="s">
        <v>165</v>
      </c>
    </row>
    <row r="635" customFormat="false" ht="21.75" hidden="false" customHeight="true" outlineLevel="0" collapsed="false">
      <c r="B635" s="14" t="n">
        <v>631</v>
      </c>
      <c r="C635" s="7" t="s">
        <v>51</v>
      </c>
      <c r="D635" s="7" t="s">
        <v>24</v>
      </c>
      <c r="E635" s="7" t="s">
        <v>91</v>
      </c>
      <c r="F635" s="7" t="s">
        <v>73</v>
      </c>
      <c r="G635" s="7" t="s">
        <v>1295</v>
      </c>
      <c r="H635" s="7" t="s">
        <v>163</v>
      </c>
      <c r="I635" s="7" t="s">
        <v>164</v>
      </c>
      <c r="J635" s="7" t="s">
        <v>396</v>
      </c>
      <c r="K635" s="7" t="s">
        <v>429</v>
      </c>
      <c r="L635" s="7" t="s">
        <v>1281</v>
      </c>
      <c r="M635" s="7" t="s">
        <v>326</v>
      </c>
      <c r="N635" s="7" t="s">
        <v>1290</v>
      </c>
      <c r="O635" s="7" t="s">
        <v>1185</v>
      </c>
      <c r="P635" s="7" t="s">
        <v>144</v>
      </c>
      <c r="Q635" s="7" t="s">
        <v>1186</v>
      </c>
      <c r="R635" s="7" t="s">
        <v>1186</v>
      </c>
      <c r="S635" s="7" t="s">
        <v>472</v>
      </c>
      <c r="T635" s="7" t="s">
        <v>356</v>
      </c>
      <c r="U635" s="7" t="s">
        <v>194</v>
      </c>
      <c r="V635" s="7" t="s">
        <v>368</v>
      </c>
      <c r="W635" s="7" t="s">
        <v>682</v>
      </c>
      <c r="X635" s="7" t="s">
        <v>1273</v>
      </c>
      <c r="Y635" s="7" t="s">
        <v>210</v>
      </c>
      <c r="Z635" s="7" t="s">
        <v>337</v>
      </c>
      <c r="AA635" s="7" t="s">
        <v>183</v>
      </c>
      <c r="AB635" s="18" t="n">
        <v>1055</v>
      </c>
      <c r="AC635" s="7"/>
      <c r="AD635" s="7"/>
      <c r="AE635" s="7" t="s">
        <v>167</v>
      </c>
    </row>
    <row r="636" customFormat="false" ht="21.75" hidden="false" customHeight="true" outlineLevel="0" collapsed="false">
      <c r="B636" s="15" t="n">
        <v>632</v>
      </c>
      <c r="C636" s="9" t="s">
        <v>51</v>
      </c>
      <c r="D636" s="9" t="s">
        <v>24</v>
      </c>
      <c r="E636" s="9" t="s">
        <v>91</v>
      </c>
      <c r="F636" s="9" t="s">
        <v>74</v>
      </c>
      <c r="G636" s="9" t="s">
        <v>1296</v>
      </c>
      <c r="H636" s="9" t="s">
        <v>136</v>
      </c>
      <c r="I636" s="9" t="s">
        <v>137</v>
      </c>
      <c r="J636" s="9" t="s">
        <v>203</v>
      </c>
      <c r="K636" s="9" t="s">
        <v>488</v>
      </c>
      <c r="L636" s="9" t="s">
        <v>1045</v>
      </c>
      <c r="M636" s="9" t="s">
        <v>326</v>
      </c>
      <c r="N636" s="9" t="s">
        <v>1297</v>
      </c>
      <c r="O636" s="9" t="s">
        <v>1185</v>
      </c>
      <c r="P636" s="9" t="s">
        <v>144</v>
      </c>
      <c r="Q636" s="9" t="s">
        <v>1186</v>
      </c>
      <c r="R636" s="9" t="s">
        <v>1186</v>
      </c>
      <c r="S636" s="9" t="s">
        <v>472</v>
      </c>
      <c r="T636" s="9" t="s">
        <v>223</v>
      </c>
      <c r="U636" s="9" t="s">
        <v>1298</v>
      </c>
      <c r="V636" s="9" t="s">
        <v>267</v>
      </c>
      <c r="W636" s="9" t="s">
        <v>682</v>
      </c>
      <c r="X636" s="9" t="s">
        <v>1299</v>
      </c>
      <c r="Y636" s="9" t="s">
        <v>872</v>
      </c>
      <c r="Z636" s="9" t="s">
        <v>337</v>
      </c>
      <c r="AA636" s="9" t="s">
        <v>223</v>
      </c>
      <c r="AB636" s="19" t="n">
        <v>40</v>
      </c>
      <c r="AC636" s="9"/>
      <c r="AD636" s="9"/>
      <c r="AE636" s="9" t="s">
        <v>155</v>
      </c>
    </row>
    <row r="637" customFormat="false" ht="21.75" hidden="false" customHeight="true" outlineLevel="0" collapsed="false">
      <c r="B637" s="14" t="n">
        <v>633</v>
      </c>
      <c r="C637" s="7" t="s">
        <v>51</v>
      </c>
      <c r="D637" s="7" t="s">
        <v>24</v>
      </c>
      <c r="E637" s="7" t="s">
        <v>91</v>
      </c>
      <c r="F637" s="7" t="s">
        <v>74</v>
      </c>
      <c r="G637" s="7" t="s">
        <v>1300</v>
      </c>
      <c r="H637" s="7" t="s">
        <v>136</v>
      </c>
      <c r="I637" s="7" t="s">
        <v>137</v>
      </c>
      <c r="J637" s="7" t="s">
        <v>203</v>
      </c>
      <c r="K637" s="7" t="s">
        <v>488</v>
      </c>
      <c r="L637" s="7" t="s">
        <v>1045</v>
      </c>
      <c r="M637" s="7" t="s">
        <v>326</v>
      </c>
      <c r="N637" s="7" t="s">
        <v>1297</v>
      </c>
      <c r="O637" s="7" t="s">
        <v>1185</v>
      </c>
      <c r="P637" s="7" t="s">
        <v>144</v>
      </c>
      <c r="Q637" s="7" t="s">
        <v>1186</v>
      </c>
      <c r="R637" s="7" t="s">
        <v>1186</v>
      </c>
      <c r="S637" s="7" t="s">
        <v>472</v>
      </c>
      <c r="T637" s="7" t="s">
        <v>223</v>
      </c>
      <c r="U637" s="7" t="s">
        <v>1298</v>
      </c>
      <c r="V637" s="7" t="s">
        <v>267</v>
      </c>
      <c r="W637" s="7" t="s">
        <v>682</v>
      </c>
      <c r="X637" s="7" t="s">
        <v>1299</v>
      </c>
      <c r="Y637" s="7" t="s">
        <v>872</v>
      </c>
      <c r="Z637" s="7" t="s">
        <v>337</v>
      </c>
      <c r="AA637" s="7" t="s">
        <v>223</v>
      </c>
      <c r="AB637" s="18" t="n">
        <v>65</v>
      </c>
      <c r="AC637" s="7"/>
      <c r="AD637" s="7"/>
      <c r="AE637" s="7" t="s">
        <v>159</v>
      </c>
    </row>
    <row r="638" customFormat="false" ht="21.75" hidden="false" customHeight="true" outlineLevel="0" collapsed="false">
      <c r="B638" s="15" t="n">
        <v>634</v>
      </c>
      <c r="C638" s="9" t="s">
        <v>51</v>
      </c>
      <c r="D638" s="9" t="s">
        <v>24</v>
      </c>
      <c r="E638" s="9" t="s">
        <v>91</v>
      </c>
      <c r="F638" s="9" t="s">
        <v>74</v>
      </c>
      <c r="G638" s="9" t="s">
        <v>1301</v>
      </c>
      <c r="H638" s="9" t="s">
        <v>157</v>
      </c>
      <c r="I638" s="9" t="s">
        <v>158</v>
      </c>
      <c r="J638" s="9" t="s">
        <v>203</v>
      </c>
      <c r="K638" s="9" t="s">
        <v>488</v>
      </c>
      <c r="L638" s="9" t="s">
        <v>1045</v>
      </c>
      <c r="M638" s="9" t="s">
        <v>326</v>
      </c>
      <c r="N638" s="9" t="s">
        <v>1297</v>
      </c>
      <c r="O638" s="9" t="s">
        <v>1185</v>
      </c>
      <c r="P638" s="9" t="s">
        <v>144</v>
      </c>
      <c r="Q638" s="9" t="s">
        <v>1186</v>
      </c>
      <c r="R638" s="9" t="s">
        <v>1186</v>
      </c>
      <c r="S638" s="9" t="s">
        <v>472</v>
      </c>
      <c r="T638" s="9" t="s">
        <v>223</v>
      </c>
      <c r="U638" s="9" t="s">
        <v>1298</v>
      </c>
      <c r="V638" s="9" t="s">
        <v>267</v>
      </c>
      <c r="W638" s="9" t="s">
        <v>682</v>
      </c>
      <c r="X638" s="9" t="s">
        <v>1299</v>
      </c>
      <c r="Y638" s="9" t="s">
        <v>872</v>
      </c>
      <c r="Z638" s="9" t="s">
        <v>337</v>
      </c>
      <c r="AA638" s="9" t="s">
        <v>223</v>
      </c>
      <c r="AB638" s="19" t="n">
        <v>85</v>
      </c>
      <c r="AC638" s="9"/>
      <c r="AD638" s="9"/>
      <c r="AE638" s="9" t="s">
        <v>1302</v>
      </c>
    </row>
    <row r="639" customFormat="false" ht="21.75" hidden="false" customHeight="true" outlineLevel="0" collapsed="false">
      <c r="B639" s="14" t="n">
        <v>635</v>
      </c>
      <c r="C639" s="7" t="s">
        <v>51</v>
      </c>
      <c r="D639" s="7" t="s">
        <v>24</v>
      </c>
      <c r="E639" s="7" t="s">
        <v>91</v>
      </c>
      <c r="F639" s="7" t="s">
        <v>74</v>
      </c>
      <c r="G639" s="7" t="s">
        <v>1303</v>
      </c>
      <c r="H639" s="7" t="s">
        <v>157</v>
      </c>
      <c r="I639" s="7" t="s">
        <v>158</v>
      </c>
      <c r="J639" s="7" t="s">
        <v>203</v>
      </c>
      <c r="K639" s="7" t="s">
        <v>488</v>
      </c>
      <c r="L639" s="7" t="s">
        <v>1045</v>
      </c>
      <c r="M639" s="7" t="s">
        <v>326</v>
      </c>
      <c r="N639" s="7" t="s">
        <v>1297</v>
      </c>
      <c r="O639" s="7" t="s">
        <v>1185</v>
      </c>
      <c r="P639" s="7" t="s">
        <v>144</v>
      </c>
      <c r="Q639" s="7" t="s">
        <v>1186</v>
      </c>
      <c r="R639" s="7" t="s">
        <v>1186</v>
      </c>
      <c r="S639" s="7" t="s">
        <v>472</v>
      </c>
      <c r="T639" s="7" t="s">
        <v>223</v>
      </c>
      <c r="U639" s="7" t="s">
        <v>1298</v>
      </c>
      <c r="V639" s="7" t="s">
        <v>267</v>
      </c>
      <c r="W639" s="7" t="s">
        <v>682</v>
      </c>
      <c r="X639" s="7" t="s">
        <v>1299</v>
      </c>
      <c r="Y639" s="7" t="s">
        <v>872</v>
      </c>
      <c r="Z639" s="7" t="s">
        <v>337</v>
      </c>
      <c r="AA639" s="7" t="s">
        <v>223</v>
      </c>
      <c r="AB639" s="18" t="n">
        <v>130</v>
      </c>
      <c r="AC639" s="7"/>
      <c r="AD639" s="7"/>
      <c r="AE639" s="7" t="s">
        <v>165</v>
      </c>
    </row>
    <row r="640" customFormat="false" ht="21.75" hidden="false" customHeight="true" outlineLevel="0" collapsed="false">
      <c r="B640" s="15" t="n">
        <v>636</v>
      </c>
      <c r="C640" s="9" t="s">
        <v>51</v>
      </c>
      <c r="D640" s="9" t="s">
        <v>24</v>
      </c>
      <c r="E640" s="9" t="s">
        <v>91</v>
      </c>
      <c r="F640" s="9" t="s">
        <v>74</v>
      </c>
      <c r="G640" s="9" t="s">
        <v>1304</v>
      </c>
      <c r="H640" s="9" t="s">
        <v>163</v>
      </c>
      <c r="I640" s="9" t="s">
        <v>164</v>
      </c>
      <c r="J640" s="9" t="s">
        <v>203</v>
      </c>
      <c r="K640" s="9" t="s">
        <v>488</v>
      </c>
      <c r="L640" s="9" t="s">
        <v>1045</v>
      </c>
      <c r="M640" s="9" t="s">
        <v>326</v>
      </c>
      <c r="N640" s="9" t="s">
        <v>1297</v>
      </c>
      <c r="O640" s="9" t="s">
        <v>1185</v>
      </c>
      <c r="P640" s="9" t="s">
        <v>144</v>
      </c>
      <c r="Q640" s="9" t="s">
        <v>1186</v>
      </c>
      <c r="R640" s="9" t="s">
        <v>1186</v>
      </c>
      <c r="S640" s="9" t="s">
        <v>472</v>
      </c>
      <c r="T640" s="9" t="s">
        <v>223</v>
      </c>
      <c r="U640" s="9" t="s">
        <v>1298</v>
      </c>
      <c r="V640" s="9" t="s">
        <v>267</v>
      </c>
      <c r="W640" s="9" t="s">
        <v>682</v>
      </c>
      <c r="X640" s="9" t="s">
        <v>1299</v>
      </c>
      <c r="Y640" s="9" t="s">
        <v>872</v>
      </c>
      <c r="Z640" s="9" t="s">
        <v>337</v>
      </c>
      <c r="AA640" s="9" t="s">
        <v>223</v>
      </c>
      <c r="AB640" s="19" t="n">
        <v>185</v>
      </c>
      <c r="AC640" s="9"/>
      <c r="AD640" s="9"/>
      <c r="AE640" s="9" t="s">
        <v>167</v>
      </c>
    </row>
    <row r="641" customFormat="false" ht="21.75" hidden="false" customHeight="true" outlineLevel="0" collapsed="false">
      <c r="B641" s="14" t="n">
        <v>637</v>
      </c>
      <c r="C641" s="7" t="s">
        <v>52</v>
      </c>
      <c r="D641" s="7" t="s">
        <v>24</v>
      </c>
      <c r="E641" s="7" t="s">
        <v>91</v>
      </c>
      <c r="F641" s="7" t="s">
        <v>61</v>
      </c>
      <c r="G641" s="7" t="s">
        <v>1305</v>
      </c>
      <c r="H641" s="7" t="s">
        <v>136</v>
      </c>
      <c r="I641" s="7" t="s">
        <v>137</v>
      </c>
      <c r="J641" s="7" t="s">
        <v>203</v>
      </c>
      <c r="K641" s="7" t="s">
        <v>488</v>
      </c>
      <c r="L641" s="7" t="s">
        <v>205</v>
      </c>
      <c r="M641" s="7" t="s">
        <v>326</v>
      </c>
      <c r="N641" s="7" t="s">
        <v>1306</v>
      </c>
      <c r="O641" s="7" t="s">
        <v>1185</v>
      </c>
      <c r="P641" s="7" t="s">
        <v>144</v>
      </c>
      <c r="Q641" s="7" t="s">
        <v>1186</v>
      </c>
      <c r="R641" s="7" t="s">
        <v>1186</v>
      </c>
      <c r="S641" s="7" t="s">
        <v>472</v>
      </c>
      <c r="T641" s="7" t="s">
        <v>1307</v>
      </c>
      <c r="U641" s="7" t="s">
        <v>148</v>
      </c>
      <c r="V641" s="7" t="s">
        <v>1138</v>
      </c>
      <c r="W641" s="7" t="s">
        <v>682</v>
      </c>
      <c r="X641" s="7" t="s">
        <v>1308</v>
      </c>
      <c r="Y641" s="7" t="s">
        <v>222</v>
      </c>
      <c r="Z641" s="7" t="s">
        <v>337</v>
      </c>
      <c r="AA641" s="7" t="s">
        <v>154</v>
      </c>
      <c r="AB641" s="18" t="n">
        <v>45</v>
      </c>
      <c r="AC641" s="7"/>
      <c r="AD641" s="7"/>
      <c r="AE641" s="7" t="s">
        <v>155</v>
      </c>
    </row>
    <row r="642" customFormat="false" ht="21.75" hidden="false" customHeight="true" outlineLevel="0" collapsed="false">
      <c r="B642" s="15" t="n">
        <v>638</v>
      </c>
      <c r="C642" s="9" t="s">
        <v>52</v>
      </c>
      <c r="D642" s="9" t="s">
        <v>24</v>
      </c>
      <c r="E642" s="9" t="s">
        <v>91</v>
      </c>
      <c r="F642" s="9" t="s">
        <v>61</v>
      </c>
      <c r="G642" s="9" t="s">
        <v>1309</v>
      </c>
      <c r="H642" s="9" t="s">
        <v>157</v>
      </c>
      <c r="I642" s="9" t="s">
        <v>158</v>
      </c>
      <c r="J642" s="9" t="s">
        <v>203</v>
      </c>
      <c r="K642" s="9" t="s">
        <v>488</v>
      </c>
      <c r="L642" s="9" t="s">
        <v>205</v>
      </c>
      <c r="M642" s="9" t="s">
        <v>326</v>
      </c>
      <c r="N642" s="9" t="s">
        <v>1306</v>
      </c>
      <c r="O642" s="9" t="s">
        <v>1185</v>
      </c>
      <c r="P642" s="9" t="s">
        <v>144</v>
      </c>
      <c r="Q642" s="9" t="s">
        <v>1186</v>
      </c>
      <c r="R642" s="9" t="s">
        <v>1186</v>
      </c>
      <c r="S642" s="9" t="s">
        <v>472</v>
      </c>
      <c r="T642" s="9" t="s">
        <v>1307</v>
      </c>
      <c r="U642" s="9" t="s">
        <v>148</v>
      </c>
      <c r="V642" s="9" t="s">
        <v>1138</v>
      </c>
      <c r="W642" s="9" t="s">
        <v>682</v>
      </c>
      <c r="X642" s="9" t="s">
        <v>1308</v>
      </c>
      <c r="Y642" s="9" t="s">
        <v>222</v>
      </c>
      <c r="Z642" s="9" t="s">
        <v>337</v>
      </c>
      <c r="AA642" s="9" t="s">
        <v>154</v>
      </c>
      <c r="AB642" s="19" t="n">
        <v>65</v>
      </c>
      <c r="AC642" s="9"/>
      <c r="AD642" s="9"/>
      <c r="AE642" s="9" t="s">
        <v>159</v>
      </c>
    </row>
    <row r="643" customFormat="false" ht="21.75" hidden="false" customHeight="true" outlineLevel="0" collapsed="false">
      <c r="B643" s="14" t="n">
        <v>639</v>
      </c>
      <c r="C643" s="7" t="s">
        <v>52</v>
      </c>
      <c r="D643" s="7" t="s">
        <v>24</v>
      </c>
      <c r="E643" s="7" t="s">
        <v>91</v>
      </c>
      <c r="F643" s="7" t="s">
        <v>61</v>
      </c>
      <c r="G643" s="7" t="s">
        <v>1310</v>
      </c>
      <c r="H643" s="7" t="s">
        <v>157</v>
      </c>
      <c r="I643" s="7" t="s">
        <v>158</v>
      </c>
      <c r="J643" s="7" t="s">
        <v>203</v>
      </c>
      <c r="K643" s="7" t="s">
        <v>488</v>
      </c>
      <c r="L643" s="7" t="s">
        <v>205</v>
      </c>
      <c r="M643" s="7" t="s">
        <v>326</v>
      </c>
      <c r="N643" s="7" t="s">
        <v>1306</v>
      </c>
      <c r="O643" s="7" t="s">
        <v>1185</v>
      </c>
      <c r="P643" s="7" t="s">
        <v>144</v>
      </c>
      <c r="Q643" s="7" t="s">
        <v>1186</v>
      </c>
      <c r="R643" s="7" t="s">
        <v>1186</v>
      </c>
      <c r="S643" s="7" t="s">
        <v>472</v>
      </c>
      <c r="T643" s="7" t="s">
        <v>1307</v>
      </c>
      <c r="U643" s="7" t="s">
        <v>148</v>
      </c>
      <c r="V643" s="7" t="s">
        <v>1138</v>
      </c>
      <c r="W643" s="7" t="s">
        <v>682</v>
      </c>
      <c r="X643" s="7" t="s">
        <v>1308</v>
      </c>
      <c r="Y643" s="7" t="s">
        <v>222</v>
      </c>
      <c r="Z643" s="7" t="s">
        <v>337</v>
      </c>
      <c r="AA643" s="7" t="s">
        <v>154</v>
      </c>
      <c r="AB643" s="18" t="n">
        <v>90</v>
      </c>
      <c r="AC643" s="7"/>
      <c r="AD643" s="7"/>
      <c r="AE643" s="7" t="s">
        <v>1311</v>
      </c>
    </row>
    <row r="644" customFormat="false" ht="21.75" hidden="false" customHeight="true" outlineLevel="0" collapsed="false">
      <c r="B644" s="15" t="n">
        <v>640</v>
      </c>
      <c r="C644" s="9" t="s">
        <v>52</v>
      </c>
      <c r="D644" s="9" t="s">
        <v>24</v>
      </c>
      <c r="E644" s="9" t="s">
        <v>91</v>
      </c>
      <c r="F644" s="9" t="s">
        <v>61</v>
      </c>
      <c r="G644" s="9" t="s">
        <v>1312</v>
      </c>
      <c r="H644" s="9" t="s">
        <v>163</v>
      </c>
      <c r="I644" s="9" t="s">
        <v>164</v>
      </c>
      <c r="J644" s="9" t="s">
        <v>203</v>
      </c>
      <c r="K644" s="9" t="s">
        <v>488</v>
      </c>
      <c r="L644" s="9" t="s">
        <v>205</v>
      </c>
      <c r="M644" s="9" t="s">
        <v>326</v>
      </c>
      <c r="N644" s="9" t="s">
        <v>1306</v>
      </c>
      <c r="O644" s="9" t="s">
        <v>1185</v>
      </c>
      <c r="P644" s="9" t="s">
        <v>144</v>
      </c>
      <c r="Q644" s="9" t="s">
        <v>1186</v>
      </c>
      <c r="R644" s="9" t="s">
        <v>1186</v>
      </c>
      <c r="S644" s="9" t="s">
        <v>472</v>
      </c>
      <c r="T644" s="9" t="s">
        <v>1307</v>
      </c>
      <c r="U644" s="9" t="s">
        <v>148</v>
      </c>
      <c r="V644" s="9" t="s">
        <v>1138</v>
      </c>
      <c r="W644" s="9" t="s">
        <v>682</v>
      </c>
      <c r="X644" s="9" t="s">
        <v>1308</v>
      </c>
      <c r="Y644" s="9" t="s">
        <v>222</v>
      </c>
      <c r="Z644" s="9" t="s">
        <v>337</v>
      </c>
      <c r="AA644" s="9" t="s">
        <v>154</v>
      </c>
      <c r="AB644" s="19" t="n">
        <v>130</v>
      </c>
      <c r="AC644" s="9"/>
      <c r="AD644" s="9"/>
      <c r="AE644" s="9" t="s">
        <v>165</v>
      </c>
    </row>
    <row r="645" customFormat="false" ht="21.75" hidden="false" customHeight="true" outlineLevel="0" collapsed="false">
      <c r="B645" s="14" t="n">
        <v>641</v>
      </c>
      <c r="C645" s="7" t="s">
        <v>52</v>
      </c>
      <c r="D645" s="7" t="s">
        <v>24</v>
      </c>
      <c r="E645" s="7" t="s">
        <v>91</v>
      </c>
      <c r="F645" s="7" t="s">
        <v>61</v>
      </c>
      <c r="G645" s="7" t="s">
        <v>1313</v>
      </c>
      <c r="H645" s="7" t="s">
        <v>163</v>
      </c>
      <c r="I645" s="7" t="s">
        <v>164</v>
      </c>
      <c r="J645" s="7" t="s">
        <v>203</v>
      </c>
      <c r="K645" s="7" t="s">
        <v>488</v>
      </c>
      <c r="L645" s="7" t="s">
        <v>205</v>
      </c>
      <c r="M645" s="7" t="s">
        <v>326</v>
      </c>
      <c r="N645" s="7" t="s">
        <v>1306</v>
      </c>
      <c r="O645" s="7" t="s">
        <v>1185</v>
      </c>
      <c r="P645" s="7" t="s">
        <v>144</v>
      </c>
      <c r="Q645" s="7" t="s">
        <v>1186</v>
      </c>
      <c r="R645" s="7" t="s">
        <v>1186</v>
      </c>
      <c r="S645" s="7" t="s">
        <v>472</v>
      </c>
      <c r="T645" s="7" t="s">
        <v>1307</v>
      </c>
      <c r="U645" s="7" t="s">
        <v>148</v>
      </c>
      <c r="V645" s="7" t="s">
        <v>1138</v>
      </c>
      <c r="W645" s="7" t="s">
        <v>682</v>
      </c>
      <c r="X645" s="7" t="s">
        <v>1308</v>
      </c>
      <c r="Y645" s="7" t="s">
        <v>222</v>
      </c>
      <c r="Z645" s="7" t="s">
        <v>337</v>
      </c>
      <c r="AA645" s="7" t="s">
        <v>154</v>
      </c>
      <c r="AB645" s="18" t="n">
        <v>195</v>
      </c>
      <c r="AC645" s="7"/>
      <c r="AD645" s="7"/>
      <c r="AE645" s="7" t="s">
        <v>167</v>
      </c>
    </row>
    <row r="646" customFormat="false" ht="21.75" hidden="false" customHeight="true" outlineLevel="0" collapsed="false">
      <c r="B646" s="15" t="n">
        <v>642</v>
      </c>
      <c r="C646" s="9" t="s">
        <v>52</v>
      </c>
      <c r="D646" s="9" t="s">
        <v>24</v>
      </c>
      <c r="E646" s="9" t="s">
        <v>91</v>
      </c>
      <c r="F646" s="9" t="s">
        <v>62</v>
      </c>
      <c r="G646" s="9" t="s">
        <v>1314</v>
      </c>
      <c r="H646" s="9" t="s">
        <v>136</v>
      </c>
      <c r="I646" s="9" t="s">
        <v>137</v>
      </c>
      <c r="J646" s="9" t="s">
        <v>203</v>
      </c>
      <c r="K646" s="9" t="s">
        <v>1315</v>
      </c>
      <c r="L646" s="9" t="s">
        <v>1281</v>
      </c>
      <c r="M646" s="9" t="s">
        <v>326</v>
      </c>
      <c r="N646" s="9" t="s">
        <v>1316</v>
      </c>
      <c r="O646" s="9" t="s">
        <v>1185</v>
      </c>
      <c r="P646" s="9" t="s">
        <v>144</v>
      </c>
      <c r="Q646" s="9" t="s">
        <v>1186</v>
      </c>
      <c r="R646" s="9" t="s">
        <v>1186</v>
      </c>
      <c r="S646" s="9" t="s">
        <v>472</v>
      </c>
      <c r="T646" s="9" t="s">
        <v>1317</v>
      </c>
      <c r="U646" s="9" t="s">
        <v>148</v>
      </c>
      <c r="V646" s="9" t="s">
        <v>380</v>
      </c>
      <c r="W646" s="9" t="s">
        <v>682</v>
      </c>
      <c r="X646" s="9" t="s">
        <v>1318</v>
      </c>
      <c r="Y646" s="9" t="s">
        <v>182</v>
      </c>
      <c r="Z646" s="9" t="s">
        <v>337</v>
      </c>
      <c r="AA646" s="9" t="s">
        <v>154</v>
      </c>
      <c r="AB646" s="19" t="n">
        <v>70</v>
      </c>
      <c r="AC646" s="9"/>
      <c r="AD646" s="9"/>
      <c r="AE646" s="9" t="s">
        <v>155</v>
      </c>
    </row>
    <row r="647" customFormat="false" ht="21.75" hidden="false" customHeight="true" outlineLevel="0" collapsed="false">
      <c r="B647" s="14" t="n">
        <v>643</v>
      </c>
      <c r="C647" s="7" t="s">
        <v>52</v>
      </c>
      <c r="D647" s="7" t="s">
        <v>24</v>
      </c>
      <c r="E647" s="7" t="s">
        <v>91</v>
      </c>
      <c r="F647" s="7" t="s">
        <v>62</v>
      </c>
      <c r="G647" s="7" t="s">
        <v>1319</v>
      </c>
      <c r="H647" s="7" t="s">
        <v>157</v>
      </c>
      <c r="I647" s="7" t="s">
        <v>158</v>
      </c>
      <c r="J647" s="7" t="s">
        <v>203</v>
      </c>
      <c r="K647" s="7" t="s">
        <v>1315</v>
      </c>
      <c r="L647" s="7" t="s">
        <v>1281</v>
      </c>
      <c r="M647" s="7" t="s">
        <v>326</v>
      </c>
      <c r="N647" s="7" t="s">
        <v>1316</v>
      </c>
      <c r="O647" s="7" t="s">
        <v>1185</v>
      </c>
      <c r="P647" s="7" t="s">
        <v>144</v>
      </c>
      <c r="Q647" s="7" t="s">
        <v>1186</v>
      </c>
      <c r="R647" s="7" t="s">
        <v>1186</v>
      </c>
      <c r="S647" s="7" t="s">
        <v>472</v>
      </c>
      <c r="T647" s="7" t="s">
        <v>1317</v>
      </c>
      <c r="U647" s="7" t="s">
        <v>148</v>
      </c>
      <c r="V647" s="7" t="s">
        <v>380</v>
      </c>
      <c r="W647" s="7" t="s">
        <v>682</v>
      </c>
      <c r="X647" s="7" t="s">
        <v>1318</v>
      </c>
      <c r="Y647" s="7" t="s">
        <v>182</v>
      </c>
      <c r="Z647" s="7" t="s">
        <v>337</v>
      </c>
      <c r="AA647" s="7" t="s">
        <v>154</v>
      </c>
      <c r="AB647" s="18" t="n">
        <v>110</v>
      </c>
      <c r="AC647" s="7"/>
      <c r="AD647" s="7"/>
      <c r="AE647" s="7" t="s">
        <v>159</v>
      </c>
    </row>
    <row r="648" customFormat="false" ht="21.75" hidden="false" customHeight="true" outlineLevel="0" collapsed="false">
      <c r="B648" s="15" t="n">
        <v>644</v>
      </c>
      <c r="C648" s="9" t="s">
        <v>52</v>
      </c>
      <c r="D648" s="9" t="s">
        <v>24</v>
      </c>
      <c r="E648" s="9" t="s">
        <v>91</v>
      </c>
      <c r="F648" s="9" t="s">
        <v>62</v>
      </c>
      <c r="G648" s="9" t="s">
        <v>1320</v>
      </c>
      <c r="H648" s="9" t="s">
        <v>157</v>
      </c>
      <c r="I648" s="9" t="s">
        <v>158</v>
      </c>
      <c r="J648" s="9" t="s">
        <v>203</v>
      </c>
      <c r="K648" s="9" t="s">
        <v>1315</v>
      </c>
      <c r="L648" s="9" t="s">
        <v>1281</v>
      </c>
      <c r="M648" s="9" t="s">
        <v>326</v>
      </c>
      <c r="N648" s="9" t="s">
        <v>1316</v>
      </c>
      <c r="O648" s="9" t="s">
        <v>1185</v>
      </c>
      <c r="P648" s="9" t="s">
        <v>144</v>
      </c>
      <c r="Q648" s="9" t="s">
        <v>1186</v>
      </c>
      <c r="R648" s="9" t="s">
        <v>1186</v>
      </c>
      <c r="S648" s="9" t="s">
        <v>472</v>
      </c>
      <c r="T648" s="9" t="s">
        <v>1317</v>
      </c>
      <c r="U648" s="9" t="s">
        <v>148</v>
      </c>
      <c r="V648" s="9" t="s">
        <v>380</v>
      </c>
      <c r="W648" s="9" t="s">
        <v>682</v>
      </c>
      <c r="X648" s="9" t="s">
        <v>1318</v>
      </c>
      <c r="Y648" s="9" t="s">
        <v>182</v>
      </c>
      <c r="Z648" s="9" t="s">
        <v>337</v>
      </c>
      <c r="AA648" s="9" t="s">
        <v>154</v>
      </c>
      <c r="AB648" s="19" t="n">
        <v>145</v>
      </c>
      <c r="AC648" s="9"/>
      <c r="AD648" s="9"/>
      <c r="AE648" s="9" t="s">
        <v>1321</v>
      </c>
    </row>
    <row r="649" customFormat="false" ht="21.75" hidden="false" customHeight="true" outlineLevel="0" collapsed="false">
      <c r="B649" s="14" t="n">
        <v>645</v>
      </c>
      <c r="C649" s="7" t="s">
        <v>52</v>
      </c>
      <c r="D649" s="7" t="s">
        <v>24</v>
      </c>
      <c r="E649" s="7" t="s">
        <v>91</v>
      </c>
      <c r="F649" s="7" t="s">
        <v>62</v>
      </c>
      <c r="G649" s="7" t="s">
        <v>1322</v>
      </c>
      <c r="H649" s="7" t="s">
        <v>163</v>
      </c>
      <c r="I649" s="7" t="s">
        <v>164</v>
      </c>
      <c r="J649" s="7" t="s">
        <v>203</v>
      </c>
      <c r="K649" s="7" t="s">
        <v>1315</v>
      </c>
      <c r="L649" s="7" t="s">
        <v>1281</v>
      </c>
      <c r="M649" s="7" t="s">
        <v>326</v>
      </c>
      <c r="N649" s="7" t="s">
        <v>1316</v>
      </c>
      <c r="O649" s="7" t="s">
        <v>1185</v>
      </c>
      <c r="P649" s="7" t="s">
        <v>144</v>
      </c>
      <c r="Q649" s="7" t="s">
        <v>1186</v>
      </c>
      <c r="R649" s="7" t="s">
        <v>1186</v>
      </c>
      <c r="S649" s="7" t="s">
        <v>472</v>
      </c>
      <c r="T649" s="7" t="s">
        <v>1317</v>
      </c>
      <c r="U649" s="7" t="s">
        <v>148</v>
      </c>
      <c r="V649" s="7" t="s">
        <v>380</v>
      </c>
      <c r="W649" s="7" t="s">
        <v>682</v>
      </c>
      <c r="X649" s="7" t="s">
        <v>1318</v>
      </c>
      <c r="Y649" s="7" t="s">
        <v>182</v>
      </c>
      <c r="Z649" s="7" t="s">
        <v>337</v>
      </c>
      <c r="AA649" s="7" t="s">
        <v>154</v>
      </c>
      <c r="AB649" s="18" t="n">
        <v>220</v>
      </c>
      <c r="AC649" s="7"/>
      <c r="AD649" s="7"/>
      <c r="AE649" s="7" t="s">
        <v>165</v>
      </c>
    </row>
    <row r="650" customFormat="false" ht="21.75" hidden="false" customHeight="true" outlineLevel="0" collapsed="false">
      <c r="B650" s="15" t="n">
        <v>646</v>
      </c>
      <c r="C650" s="9" t="s">
        <v>52</v>
      </c>
      <c r="D650" s="9" t="s">
        <v>24</v>
      </c>
      <c r="E650" s="9" t="s">
        <v>91</v>
      </c>
      <c r="F650" s="9" t="s">
        <v>62</v>
      </c>
      <c r="G650" s="9" t="s">
        <v>1323</v>
      </c>
      <c r="H650" s="9" t="s">
        <v>163</v>
      </c>
      <c r="I650" s="9" t="s">
        <v>164</v>
      </c>
      <c r="J650" s="9" t="s">
        <v>203</v>
      </c>
      <c r="K650" s="9" t="s">
        <v>1315</v>
      </c>
      <c r="L650" s="9" t="s">
        <v>1281</v>
      </c>
      <c r="M650" s="9" t="s">
        <v>326</v>
      </c>
      <c r="N650" s="9" t="s">
        <v>1316</v>
      </c>
      <c r="O650" s="9" t="s">
        <v>1185</v>
      </c>
      <c r="P650" s="9" t="s">
        <v>144</v>
      </c>
      <c r="Q650" s="9" t="s">
        <v>1186</v>
      </c>
      <c r="R650" s="9" t="s">
        <v>1186</v>
      </c>
      <c r="S650" s="9" t="s">
        <v>472</v>
      </c>
      <c r="T650" s="9" t="s">
        <v>1317</v>
      </c>
      <c r="U650" s="9" t="s">
        <v>148</v>
      </c>
      <c r="V650" s="9" t="s">
        <v>380</v>
      </c>
      <c r="W650" s="9" t="s">
        <v>682</v>
      </c>
      <c r="X650" s="9" t="s">
        <v>1318</v>
      </c>
      <c r="Y650" s="9" t="s">
        <v>182</v>
      </c>
      <c r="Z650" s="9" t="s">
        <v>337</v>
      </c>
      <c r="AA650" s="9" t="s">
        <v>154</v>
      </c>
      <c r="AB650" s="19" t="n">
        <v>320</v>
      </c>
      <c r="AC650" s="9"/>
      <c r="AD650" s="9"/>
      <c r="AE650" s="9" t="s">
        <v>167</v>
      </c>
    </row>
    <row r="651" customFormat="false" ht="21.75" hidden="false" customHeight="true" outlineLevel="0" collapsed="false">
      <c r="B651" s="14" t="n">
        <v>647</v>
      </c>
      <c r="C651" s="7" t="s">
        <v>52</v>
      </c>
      <c r="D651" s="7" t="s">
        <v>24</v>
      </c>
      <c r="E651" s="7" t="s">
        <v>91</v>
      </c>
      <c r="F651" s="7" t="s">
        <v>63</v>
      </c>
      <c r="G651" s="7" t="s">
        <v>1324</v>
      </c>
      <c r="H651" s="7" t="s">
        <v>136</v>
      </c>
      <c r="I651" s="7" t="s">
        <v>137</v>
      </c>
      <c r="J651" s="7" t="s">
        <v>203</v>
      </c>
      <c r="K651" s="7" t="s">
        <v>1325</v>
      </c>
      <c r="L651" s="7" t="s">
        <v>1326</v>
      </c>
      <c r="M651" s="7" t="s">
        <v>326</v>
      </c>
      <c r="N651" s="7" t="s">
        <v>1316</v>
      </c>
      <c r="O651" s="7" t="s">
        <v>1185</v>
      </c>
      <c r="P651" s="7" t="s">
        <v>144</v>
      </c>
      <c r="Q651" s="7" t="s">
        <v>1186</v>
      </c>
      <c r="R651" s="7" t="s">
        <v>1186</v>
      </c>
      <c r="S651" s="7" t="s">
        <v>472</v>
      </c>
      <c r="T651" s="7" t="s">
        <v>1205</v>
      </c>
      <c r="U651" s="7" t="s">
        <v>148</v>
      </c>
      <c r="V651" s="7" t="s">
        <v>1327</v>
      </c>
      <c r="W651" s="7" t="s">
        <v>682</v>
      </c>
      <c r="X651" s="7" t="s">
        <v>1328</v>
      </c>
      <c r="Y651" s="7" t="s">
        <v>491</v>
      </c>
      <c r="Z651" s="7" t="s">
        <v>337</v>
      </c>
      <c r="AA651" s="7" t="s">
        <v>183</v>
      </c>
      <c r="AB651" s="18" t="n">
        <v>50</v>
      </c>
      <c r="AC651" s="7"/>
      <c r="AD651" s="7"/>
      <c r="AE651" s="7" t="s">
        <v>155</v>
      </c>
    </row>
    <row r="652" customFormat="false" ht="21.75" hidden="false" customHeight="true" outlineLevel="0" collapsed="false">
      <c r="B652" s="15" t="n">
        <v>648</v>
      </c>
      <c r="C652" s="9" t="s">
        <v>52</v>
      </c>
      <c r="D652" s="9" t="s">
        <v>24</v>
      </c>
      <c r="E652" s="9" t="s">
        <v>91</v>
      </c>
      <c r="F652" s="9" t="s">
        <v>63</v>
      </c>
      <c r="G652" s="9" t="s">
        <v>1329</v>
      </c>
      <c r="H652" s="9" t="s">
        <v>157</v>
      </c>
      <c r="I652" s="9" t="s">
        <v>158</v>
      </c>
      <c r="J652" s="9" t="s">
        <v>203</v>
      </c>
      <c r="K652" s="9" t="s">
        <v>1325</v>
      </c>
      <c r="L652" s="9" t="s">
        <v>1326</v>
      </c>
      <c r="M652" s="9" t="s">
        <v>326</v>
      </c>
      <c r="N652" s="9" t="s">
        <v>1316</v>
      </c>
      <c r="O652" s="9" t="s">
        <v>1185</v>
      </c>
      <c r="P652" s="9" t="s">
        <v>144</v>
      </c>
      <c r="Q652" s="9" t="s">
        <v>1186</v>
      </c>
      <c r="R652" s="9" t="s">
        <v>1186</v>
      </c>
      <c r="S652" s="9" t="s">
        <v>472</v>
      </c>
      <c r="T652" s="9" t="s">
        <v>1205</v>
      </c>
      <c r="U652" s="9" t="s">
        <v>148</v>
      </c>
      <c r="V652" s="9" t="s">
        <v>1327</v>
      </c>
      <c r="W652" s="9" t="s">
        <v>682</v>
      </c>
      <c r="X652" s="9" t="s">
        <v>1328</v>
      </c>
      <c r="Y652" s="9" t="s">
        <v>491</v>
      </c>
      <c r="Z652" s="9" t="s">
        <v>337</v>
      </c>
      <c r="AA652" s="9" t="s">
        <v>183</v>
      </c>
      <c r="AB652" s="19" t="n">
        <v>80</v>
      </c>
      <c r="AC652" s="9"/>
      <c r="AD652" s="9"/>
      <c r="AE652" s="9" t="s">
        <v>159</v>
      </c>
    </row>
    <row r="653" customFormat="false" ht="21.75" hidden="false" customHeight="true" outlineLevel="0" collapsed="false">
      <c r="B653" s="14" t="n">
        <v>649</v>
      </c>
      <c r="C653" s="7" t="s">
        <v>52</v>
      </c>
      <c r="D653" s="7" t="s">
        <v>24</v>
      </c>
      <c r="E653" s="7" t="s">
        <v>91</v>
      </c>
      <c r="F653" s="7" t="s">
        <v>63</v>
      </c>
      <c r="G653" s="7" t="s">
        <v>1330</v>
      </c>
      <c r="H653" s="7" t="s">
        <v>157</v>
      </c>
      <c r="I653" s="7" t="s">
        <v>158</v>
      </c>
      <c r="J653" s="7" t="s">
        <v>203</v>
      </c>
      <c r="K653" s="7" t="s">
        <v>1325</v>
      </c>
      <c r="L653" s="7" t="s">
        <v>1326</v>
      </c>
      <c r="M653" s="7" t="s">
        <v>326</v>
      </c>
      <c r="N653" s="7" t="s">
        <v>1316</v>
      </c>
      <c r="O653" s="7" t="s">
        <v>1185</v>
      </c>
      <c r="P653" s="7" t="s">
        <v>144</v>
      </c>
      <c r="Q653" s="7" t="s">
        <v>1186</v>
      </c>
      <c r="R653" s="7" t="s">
        <v>1186</v>
      </c>
      <c r="S653" s="7" t="s">
        <v>472</v>
      </c>
      <c r="T653" s="7" t="s">
        <v>1205</v>
      </c>
      <c r="U653" s="7" t="s">
        <v>148</v>
      </c>
      <c r="V653" s="7" t="s">
        <v>1327</v>
      </c>
      <c r="W653" s="7" t="s">
        <v>682</v>
      </c>
      <c r="X653" s="7" t="s">
        <v>1328</v>
      </c>
      <c r="Y653" s="7" t="s">
        <v>491</v>
      </c>
      <c r="Z653" s="7" t="s">
        <v>337</v>
      </c>
      <c r="AA653" s="7" t="s">
        <v>183</v>
      </c>
      <c r="AB653" s="18" t="n">
        <v>105</v>
      </c>
      <c r="AC653" s="7"/>
      <c r="AD653" s="7"/>
      <c r="AE653" s="7" t="s">
        <v>1331</v>
      </c>
    </row>
    <row r="654" customFormat="false" ht="21.75" hidden="false" customHeight="true" outlineLevel="0" collapsed="false">
      <c r="B654" s="15" t="n">
        <v>650</v>
      </c>
      <c r="C654" s="9" t="s">
        <v>52</v>
      </c>
      <c r="D654" s="9" t="s">
        <v>24</v>
      </c>
      <c r="E654" s="9" t="s">
        <v>91</v>
      </c>
      <c r="F654" s="9" t="s">
        <v>63</v>
      </c>
      <c r="G654" s="9" t="s">
        <v>1332</v>
      </c>
      <c r="H654" s="9" t="s">
        <v>163</v>
      </c>
      <c r="I654" s="9" t="s">
        <v>164</v>
      </c>
      <c r="J654" s="9" t="s">
        <v>203</v>
      </c>
      <c r="K654" s="9" t="s">
        <v>1325</v>
      </c>
      <c r="L654" s="9" t="s">
        <v>1326</v>
      </c>
      <c r="M654" s="9" t="s">
        <v>326</v>
      </c>
      <c r="N654" s="9" t="s">
        <v>1316</v>
      </c>
      <c r="O654" s="9" t="s">
        <v>1185</v>
      </c>
      <c r="P654" s="9" t="s">
        <v>144</v>
      </c>
      <c r="Q654" s="9" t="s">
        <v>1186</v>
      </c>
      <c r="R654" s="9" t="s">
        <v>1186</v>
      </c>
      <c r="S654" s="9" t="s">
        <v>472</v>
      </c>
      <c r="T654" s="9" t="s">
        <v>1205</v>
      </c>
      <c r="U654" s="9" t="s">
        <v>148</v>
      </c>
      <c r="V654" s="9" t="s">
        <v>1327</v>
      </c>
      <c r="W654" s="9" t="s">
        <v>682</v>
      </c>
      <c r="X654" s="9" t="s">
        <v>1328</v>
      </c>
      <c r="Y654" s="9" t="s">
        <v>491</v>
      </c>
      <c r="Z654" s="9" t="s">
        <v>337</v>
      </c>
      <c r="AA654" s="9" t="s">
        <v>183</v>
      </c>
      <c r="AB654" s="19" t="n">
        <v>160</v>
      </c>
      <c r="AC654" s="9"/>
      <c r="AD654" s="9"/>
      <c r="AE654" s="9" t="s">
        <v>165</v>
      </c>
    </row>
    <row r="655" customFormat="false" ht="21.75" hidden="false" customHeight="true" outlineLevel="0" collapsed="false">
      <c r="B655" s="14" t="n">
        <v>651</v>
      </c>
      <c r="C655" s="7" t="s">
        <v>52</v>
      </c>
      <c r="D655" s="7" t="s">
        <v>24</v>
      </c>
      <c r="E655" s="7" t="s">
        <v>91</v>
      </c>
      <c r="F655" s="7" t="s">
        <v>63</v>
      </c>
      <c r="G655" s="7" t="s">
        <v>1333</v>
      </c>
      <c r="H655" s="7" t="s">
        <v>163</v>
      </c>
      <c r="I655" s="7" t="s">
        <v>164</v>
      </c>
      <c r="J655" s="7" t="s">
        <v>203</v>
      </c>
      <c r="K655" s="7" t="s">
        <v>1325</v>
      </c>
      <c r="L655" s="7" t="s">
        <v>1326</v>
      </c>
      <c r="M655" s="7" t="s">
        <v>326</v>
      </c>
      <c r="N655" s="7" t="s">
        <v>1316</v>
      </c>
      <c r="O655" s="7" t="s">
        <v>1185</v>
      </c>
      <c r="P655" s="7" t="s">
        <v>144</v>
      </c>
      <c r="Q655" s="7" t="s">
        <v>1186</v>
      </c>
      <c r="R655" s="7" t="s">
        <v>1186</v>
      </c>
      <c r="S655" s="7" t="s">
        <v>472</v>
      </c>
      <c r="T655" s="7" t="s">
        <v>1205</v>
      </c>
      <c r="U655" s="7" t="s">
        <v>148</v>
      </c>
      <c r="V655" s="7" t="s">
        <v>1327</v>
      </c>
      <c r="W655" s="7" t="s">
        <v>682</v>
      </c>
      <c r="X655" s="7" t="s">
        <v>1328</v>
      </c>
      <c r="Y655" s="7" t="s">
        <v>491</v>
      </c>
      <c r="Z655" s="7" t="s">
        <v>337</v>
      </c>
      <c r="AA655" s="7" t="s">
        <v>183</v>
      </c>
      <c r="AB655" s="18" t="n">
        <v>230</v>
      </c>
      <c r="AC655" s="7"/>
      <c r="AD655" s="7"/>
      <c r="AE655" s="7" t="s">
        <v>167</v>
      </c>
    </row>
    <row r="656" customFormat="false" ht="21.75" hidden="false" customHeight="true" outlineLevel="0" collapsed="false">
      <c r="B656" s="15" t="n">
        <v>652</v>
      </c>
      <c r="C656" s="9" t="s">
        <v>52</v>
      </c>
      <c r="D656" s="9" t="s">
        <v>24</v>
      </c>
      <c r="E656" s="9" t="s">
        <v>91</v>
      </c>
      <c r="F656" s="9" t="s">
        <v>64</v>
      </c>
      <c r="G656" s="9" t="s">
        <v>1334</v>
      </c>
      <c r="H656" s="9" t="s">
        <v>136</v>
      </c>
      <c r="I656" s="9" t="s">
        <v>137</v>
      </c>
      <c r="J656" s="9" t="s">
        <v>203</v>
      </c>
      <c r="K656" s="9" t="s">
        <v>1335</v>
      </c>
      <c r="L656" s="9" t="s">
        <v>623</v>
      </c>
      <c r="M656" s="9" t="s">
        <v>326</v>
      </c>
      <c r="N656" s="9" t="s">
        <v>1336</v>
      </c>
      <c r="O656" s="9" t="s">
        <v>1185</v>
      </c>
      <c r="P656" s="9" t="s">
        <v>144</v>
      </c>
      <c r="Q656" s="9" t="s">
        <v>1186</v>
      </c>
      <c r="R656" s="9" t="s">
        <v>1186</v>
      </c>
      <c r="S656" s="9" t="s">
        <v>472</v>
      </c>
      <c r="T656" s="9" t="s">
        <v>356</v>
      </c>
      <c r="U656" s="9" t="s">
        <v>194</v>
      </c>
      <c r="V656" s="9" t="s">
        <v>783</v>
      </c>
      <c r="W656" s="9" t="s">
        <v>682</v>
      </c>
      <c r="X656" s="9" t="s">
        <v>1337</v>
      </c>
      <c r="Y656" s="9" t="s">
        <v>197</v>
      </c>
      <c r="Z656" s="9" t="s">
        <v>337</v>
      </c>
      <c r="AA656" s="9" t="s">
        <v>183</v>
      </c>
      <c r="AB656" s="19" t="n">
        <v>390</v>
      </c>
      <c r="AC656" s="9"/>
      <c r="AD656" s="9"/>
      <c r="AE656" s="9" t="s">
        <v>155</v>
      </c>
    </row>
    <row r="657" customFormat="false" ht="21.75" hidden="false" customHeight="true" outlineLevel="0" collapsed="false">
      <c r="B657" s="14" t="n">
        <v>653</v>
      </c>
      <c r="C657" s="7" t="s">
        <v>52</v>
      </c>
      <c r="D657" s="7" t="s">
        <v>24</v>
      </c>
      <c r="E657" s="7" t="s">
        <v>91</v>
      </c>
      <c r="F657" s="7" t="s">
        <v>64</v>
      </c>
      <c r="G657" s="7" t="s">
        <v>1338</v>
      </c>
      <c r="H657" s="7" t="s">
        <v>136</v>
      </c>
      <c r="I657" s="7" t="s">
        <v>137</v>
      </c>
      <c r="J657" s="7" t="s">
        <v>203</v>
      </c>
      <c r="K657" s="7" t="s">
        <v>1335</v>
      </c>
      <c r="L657" s="7" t="s">
        <v>623</v>
      </c>
      <c r="M657" s="7" t="s">
        <v>326</v>
      </c>
      <c r="N657" s="7" t="s">
        <v>1336</v>
      </c>
      <c r="O657" s="7" t="s">
        <v>1185</v>
      </c>
      <c r="P657" s="7" t="s">
        <v>144</v>
      </c>
      <c r="Q657" s="7" t="s">
        <v>1186</v>
      </c>
      <c r="R657" s="7" t="s">
        <v>1186</v>
      </c>
      <c r="S657" s="7" t="s">
        <v>472</v>
      </c>
      <c r="T657" s="7" t="s">
        <v>356</v>
      </c>
      <c r="U657" s="7" t="s">
        <v>194</v>
      </c>
      <c r="V657" s="7" t="s">
        <v>783</v>
      </c>
      <c r="W657" s="7" t="s">
        <v>682</v>
      </c>
      <c r="X657" s="7" t="s">
        <v>1337</v>
      </c>
      <c r="Y657" s="7" t="s">
        <v>197</v>
      </c>
      <c r="Z657" s="7" t="s">
        <v>337</v>
      </c>
      <c r="AA657" s="7" t="s">
        <v>183</v>
      </c>
      <c r="AB657" s="18" t="n">
        <v>585</v>
      </c>
      <c r="AC657" s="7"/>
      <c r="AD657" s="7"/>
      <c r="AE657" s="7" t="s">
        <v>159</v>
      </c>
    </row>
    <row r="658" customFormat="false" ht="21.75" hidden="false" customHeight="true" outlineLevel="0" collapsed="false">
      <c r="B658" s="15" t="n">
        <v>654</v>
      </c>
      <c r="C658" s="9" t="s">
        <v>52</v>
      </c>
      <c r="D658" s="9" t="s">
        <v>24</v>
      </c>
      <c r="E658" s="9" t="s">
        <v>91</v>
      </c>
      <c r="F658" s="9" t="s">
        <v>64</v>
      </c>
      <c r="G658" s="9" t="s">
        <v>1339</v>
      </c>
      <c r="H658" s="9" t="s">
        <v>157</v>
      </c>
      <c r="I658" s="9" t="s">
        <v>158</v>
      </c>
      <c r="J658" s="9" t="s">
        <v>203</v>
      </c>
      <c r="K658" s="9" t="s">
        <v>1335</v>
      </c>
      <c r="L658" s="9" t="s">
        <v>623</v>
      </c>
      <c r="M658" s="9" t="s">
        <v>326</v>
      </c>
      <c r="N658" s="9" t="s">
        <v>1336</v>
      </c>
      <c r="O658" s="9" t="s">
        <v>1185</v>
      </c>
      <c r="P658" s="9" t="s">
        <v>144</v>
      </c>
      <c r="Q658" s="9" t="s">
        <v>1186</v>
      </c>
      <c r="R658" s="9" t="s">
        <v>1186</v>
      </c>
      <c r="S658" s="9" t="s">
        <v>472</v>
      </c>
      <c r="T658" s="9" t="s">
        <v>356</v>
      </c>
      <c r="U658" s="9" t="s">
        <v>194</v>
      </c>
      <c r="V658" s="9" t="s">
        <v>783</v>
      </c>
      <c r="W658" s="9" t="s">
        <v>682</v>
      </c>
      <c r="X658" s="9" t="s">
        <v>1337</v>
      </c>
      <c r="Y658" s="9" t="s">
        <v>197</v>
      </c>
      <c r="Z658" s="9" t="s">
        <v>337</v>
      </c>
      <c r="AA658" s="9" t="s">
        <v>183</v>
      </c>
      <c r="AB658" s="19" t="n">
        <v>780</v>
      </c>
      <c r="AC658" s="9"/>
      <c r="AD658" s="9"/>
      <c r="AE658" s="9" t="s">
        <v>1340</v>
      </c>
    </row>
    <row r="659" customFormat="false" ht="21.75" hidden="false" customHeight="true" outlineLevel="0" collapsed="false">
      <c r="B659" s="14" t="n">
        <v>655</v>
      </c>
      <c r="C659" s="7" t="s">
        <v>52</v>
      </c>
      <c r="D659" s="7" t="s">
        <v>24</v>
      </c>
      <c r="E659" s="7" t="s">
        <v>91</v>
      </c>
      <c r="F659" s="7" t="s">
        <v>64</v>
      </c>
      <c r="G659" s="7" t="s">
        <v>1341</v>
      </c>
      <c r="H659" s="7" t="s">
        <v>157</v>
      </c>
      <c r="I659" s="7" t="s">
        <v>158</v>
      </c>
      <c r="J659" s="7" t="s">
        <v>203</v>
      </c>
      <c r="K659" s="7" t="s">
        <v>1335</v>
      </c>
      <c r="L659" s="7" t="s">
        <v>623</v>
      </c>
      <c r="M659" s="7" t="s">
        <v>326</v>
      </c>
      <c r="N659" s="7" t="s">
        <v>1336</v>
      </c>
      <c r="O659" s="7" t="s">
        <v>1185</v>
      </c>
      <c r="P659" s="7" t="s">
        <v>144</v>
      </c>
      <c r="Q659" s="7" t="s">
        <v>1186</v>
      </c>
      <c r="R659" s="7" t="s">
        <v>1186</v>
      </c>
      <c r="S659" s="7" t="s">
        <v>472</v>
      </c>
      <c r="T659" s="7" t="s">
        <v>356</v>
      </c>
      <c r="U659" s="7" t="s">
        <v>194</v>
      </c>
      <c r="V659" s="7" t="s">
        <v>783</v>
      </c>
      <c r="W659" s="7" t="s">
        <v>682</v>
      </c>
      <c r="X659" s="7" t="s">
        <v>1337</v>
      </c>
      <c r="Y659" s="7" t="s">
        <v>197</v>
      </c>
      <c r="Z659" s="7" t="s">
        <v>337</v>
      </c>
      <c r="AA659" s="7" t="s">
        <v>183</v>
      </c>
      <c r="AB659" s="18" t="n">
        <v>1170</v>
      </c>
      <c r="AC659" s="7"/>
      <c r="AD659" s="7"/>
      <c r="AE659" s="7" t="s">
        <v>165</v>
      </c>
    </row>
    <row r="660" customFormat="false" ht="21.75" hidden="false" customHeight="true" outlineLevel="0" collapsed="false">
      <c r="B660" s="15" t="n">
        <v>656</v>
      </c>
      <c r="C660" s="9" t="s">
        <v>52</v>
      </c>
      <c r="D660" s="9" t="s">
        <v>24</v>
      </c>
      <c r="E660" s="9" t="s">
        <v>91</v>
      </c>
      <c r="F660" s="9" t="s">
        <v>64</v>
      </c>
      <c r="G660" s="9" t="s">
        <v>1342</v>
      </c>
      <c r="H660" s="9" t="s">
        <v>163</v>
      </c>
      <c r="I660" s="9" t="s">
        <v>164</v>
      </c>
      <c r="J660" s="9" t="s">
        <v>203</v>
      </c>
      <c r="K660" s="9" t="s">
        <v>1335</v>
      </c>
      <c r="L660" s="9" t="s">
        <v>623</v>
      </c>
      <c r="M660" s="9" t="s">
        <v>326</v>
      </c>
      <c r="N660" s="9" t="s">
        <v>1336</v>
      </c>
      <c r="O660" s="9" t="s">
        <v>1185</v>
      </c>
      <c r="P660" s="9" t="s">
        <v>144</v>
      </c>
      <c r="Q660" s="9" t="s">
        <v>1186</v>
      </c>
      <c r="R660" s="9" t="s">
        <v>1186</v>
      </c>
      <c r="S660" s="9" t="s">
        <v>472</v>
      </c>
      <c r="T660" s="9" t="s">
        <v>356</v>
      </c>
      <c r="U660" s="9" t="s">
        <v>194</v>
      </c>
      <c r="V660" s="9" t="s">
        <v>783</v>
      </c>
      <c r="W660" s="9" t="s">
        <v>682</v>
      </c>
      <c r="X660" s="9" t="s">
        <v>1337</v>
      </c>
      <c r="Y660" s="9" t="s">
        <v>197</v>
      </c>
      <c r="Z660" s="9" t="s">
        <v>337</v>
      </c>
      <c r="AA660" s="9" t="s">
        <v>183</v>
      </c>
      <c r="AB660" s="19" t="n">
        <v>1715</v>
      </c>
      <c r="AC660" s="9"/>
      <c r="AD660" s="9"/>
      <c r="AE660" s="9" t="s">
        <v>167</v>
      </c>
    </row>
    <row r="661" customFormat="false" ht="21.75" hidden="false" customHeight="true" outlineLevel="0" collapsed="false">
      <c r="B661" s="14" t="n">
        <v>657</v>
      </c>
      <c r="C661" s="7" t="s">
        <v>52</v>
      </c>
      <c r="D661" s="7" t="s">
        <v>24</v>
      </c>
      <c r="E661" s="7" t="s">
        <v>91</v>
      </c>
      <c r="F661" s="7" t="s">
        <v>65</v>
      </c>
      <c r="G661" s="7" t="s">
        <v>1343</v>
      </c>
      <c r="H661" s="7" t="s">
        <v>136</v>
      </c>
      <c r="I661" s="7" t="s">
        <v>137</v>
      </c>
      <c r="J661" s="7" t="s">
        <v>203</v>
      </c>
      <c r="K661" s="7" t="s">
        <v>1344</v>
      </c>
      <c r="L661" s="7" t="s">
        <v>1281</v>
      </c>
      <c r="M661" s="7" t="s">
        <v>326</v>
      </c>
      <c r="N661" s="7" t="s">
        <v>511</v>
      </c>
      <c r="O661" s="7" t="s">
        <v>1185</v>
      </c>
      <c r="P661" s="7" t="s">
        <v>144</v>
      </c>
      <c r="Q661" s="7" t="s">
        <v>1186</v>
      </c>
      <c r="R661" s="7" t="s">
        <v>1186</v>
      </c>
      <c r="S661" s="7" t="s">
        <v>472</v>
      </c>
      <c r="T661" s="7" t="s">
        <v>356</v>
      </c>
      <c r="U661" s="7" t="s">
        <v>148</v>
      </c>
      <c r="V661" s="7" t="s">
        <v>1345</v>
      </c>
      <c r="W661" s="7" t="s">
        <v>682</v>
      </c>
      <c r="X661" s="7" t="s">
        <v>1346</v>
      </c>
      <c r="Y661" s="7" t="s">
        <v>1347</v>
      </c>
      <c r="Z661" s="7" t="s">
        <v>337</v>
      </c>
      <c r="AA661" s="7" t="s">
        <v>183</v>
      </c>
      <c r="AB661" s="18" t="n">
        <v>130</v>
      </c>
      <c r="AC661" s="7"/>
      <c r="AD661" s="7"/>
      <c r="AE661" s="7" t="s">
        <v>155</v>
      </c>
    </row>
    <row r="662" customFormat="false" ht="21.75" hidden="false" customHeight="true" outlineLevel="0" collapsed="false">
      <c r="B662" s="15" t="n">
        <v>658</v>
      </c>
      <c r="C662" s="9" t="s">
        <v>52</v>
      </c>
      <c r="D662" s="9" t="s">
        <v>24</v>
      </c>
      <c r="E662" s="9" t="s">
        <v>91</v>
      </c>
      <c r="F662" s="9" t="s">
        <v>65</v>
      </c>
      <c r="G662" s="9" t="s">
        <v>1348</v>
      </c>
      <c r="H662" s="9" t="s">
        <v>136</v>
      </c>
      <c r="I662" s="9" t="s">
        <v>137</v>
      </c>
      <c r="J662" s="9" t="s">
        <v>203</v>
      </c>
      <c r="K662" s="9" t="s">
        <v>1344</v>
      </c>
      <c r="L662" s="9" t="s">
        <v>1281</v>
      </c>
      <c r="M662" s="9" t="s">
        <v>326</v>
      </c>
      <c r="N662" s="9" t="s">
        <v>511</v>
      </c>
      <c r="O662" s="9" t="s">
        <v>1185</v>
      </c>
      <c r="P662" s="9" t="s">
        <v>144</v>
      </c>
      <c r="Q662" s="9" t="s">
        <v>1186</v>
      </c>
      <c r="R662" s="9" t="s">
        <v>1186</v>
      </c>
      <c r="S662" s="9" t="s">
        <v>472</v>
      </c>
      <c r="T662" s="9" t="s">
        <v>356</v>
      </c>
      <c r="U662" s="9" t="s">
        <v>148</v>
      </c>
      <c r="V662" s="9" t="s">
        <v>1345</v>
      </c>
      <c r="W662" s="9" t="s">
        <v>682</v>
      </c>
      <c r="X662" s="9" t="s">
        <v>1346</v>
      </c>
      <c r="Y662" s="9" t="s">
        <v>1347</v>
      </c>
      <c r="Z662" s="9" t="s">
        <v>337</v>
      </c>
      <c r="AA662" s="9" t="s">
        <v>183</v>
      </c>
      <c r="AB662" s="19" t="n">
        <v>195</v>
      </c>
      <c r="AC662" s="9"/>
      <c r="AD662" s="9"/>
      <c r="AE662" s="9" t="s">
        <v>159</v>
      </c>
    </row>
    <row r="663" customFormat="false" ht="21.75" hidden="false" customHeight="true" outlineLevel="0" collapsed="false">
      <c r="B663" s="14" t="n">
        <v>659</v>
      </c>
      <c r="C663" s="7" t="s">
        <v>52</v>
      </c>
      <c r="D663" s="7" t="s">
        <v>24</v>
      </c>
      <c r="E663" s="7" t="s">
        <v>91</v>
      </c>
      <c r="F663" s="7" t="s">
        <v>65</v>
      </c>
      <c r="G663" s="7" t="s">
        <v>1334</v>
      </c>
      <c r="H663" s="7" t="s">
        <v>157</v>
      </c>
      <c r="I663" s="7" t="s">
        <v>158</v>
      </c>
      <c r="J663" s="7" t="s">
        <v>203</v>
      </c>
      <c r="K663" s="7" t="s">
        <v>1344</v>
      </c>
      <c r="L663" s="7" t="s">
        <v>1281</v>
      </c>
      <c r="M663" s="7" t="s">
        <v>326</v>
      </c>
      <c r="N663" s="7" t="s">
        <v>511</v>
      </c>
      <c r="O663" s="7" t="s">
        <v>1185</v>
      </c>
      <c r="P663" s="7" t="s">
        <v>144</v>
      </c>
      <c r="Q663" s="7" t="s">
        <v>1186</v>
      </c>
      <c r="R663" s="7" t="s">
        <v>1186</v>
      </c>
      <c r="S663" s="7" t="s">
        <v>472</v>
      </c>
      <c r="T663" s="7" t="s">
        <v>356</v>
      </c>
      <c r="U663" s="7" t="s">
        <v>148</v>
      </c>
      <c r="V663" s="7" t="s">
        <v>1345</v>
      </c>
      <c r="W663" s="7" t="s">
        <v>682</v>
      </c>
      <c r="X663" s="7" t="s">
        <v>1346</v>
      </c>
      <c r="Y663" s="7" t="s">
        <v>1347</v>
      </c>
      <c r="Z663" s="7" t="s">
        <v>337</v>
      </c>
      <c r="AA663" s="7" t="s">
        <v>183</v>
      </c>
      <c r="AB663" s="18" t="n">
        <v>260</v>
      </c>
      <c r="AC663" s="7"/>
      <c r="AD663" s="7"/>
      <c r="AE663" s="7" t="s">
        <v>1349</v>
      </c>
    </row>
    <row r="664" customFormat="false" ht="21.75" hidden="false" customHeight="true" outlineLevel="0" collapsed="false">
      <c r="B664" s="15" t="n">
        <v>660</v>
      </c>
      <c r="C664" s="9" t="s">
        <v>52</v>
      </c>
      <c r="D664" s="9" t="s">
        <v>24</v>
      </c>
      <c r="E664" s="9" t="s">
        <v>91</v>
      </c>
      <c r="F664" s="9" t="s">
        <v>65</v>
      </c>
      <c r="G664" s="9" t="s">
        <v>1350</v>
      </c>
      <c r="H664" s="9" t="s">
        <v>157</v>
      </c>
      <c r="I664" s="9" t="s">
        <v>158</v>
      </c>
      <c r="J664" s="9" t="s">
        <v>203</v>
      </c>
      <c r="K664" s="9" t="s">
        <v>1344</v>
      </c>
      <c r="L664" s="9" t="s">
        <v>1281</v>
      </c>
      <c r="M664" s="9" t="s">
        <v>326</v>
      </c>
      <c r="N664" s="9" t="s">
        <v>511</v>
      </c>
      <c r="O664" s="9" t="s">
        <v>1185</v>
      </c>
      <c r="P664" s="9" t="s">
        <v>144</v>
      </c>
      <c r="Q664" s="9" t="s">
        <v>1186</v>
      </c>
      <c r="R664" s="9" t="s">
        <v>1186</v>
      </c>
      <c r="S664" s="9" t="s">
        <v>472</v>
      </c>
      <c r="T664" s="9" t="s">
        <v>356</v>
      </c>
      <c r="U664" s="9" t="s">
        <v>148</v>
      </c>
      <c r="V664" s="9" t="s">
        <v>1345</v>
      </c>
      <c r="W664" s="9" t="s">
        <v>682</v>
      </c>
      <c r="X664" s="9" t="s">
        <v>1346</v>
      </c>
      <c r="Y664" s="9" t="s">
        <v>1347</v>
      </c>
      <c r="Z664" s="9" t="s">
        <v>337</v>
      </c>
      <c r="AA664" s="9" t="s">
        <v>183</v>
      </c>
      <c r="AB664" s="19" t="n">
        <v>390</v>
      </c>
      <c r="AC664" s="9"/>
      <c r="AD664" s="9"/>
      <c r="AE664" s="9" t="s">
        <v>165</v>
      </c>
    </row>
    <row r="665" customFormat="false" ht="21.75" hidden="false" customHeight="true" outlineLevel="0" collapsed="false">
      <c r="B665" s="14" t="n">
        <v>661</v>
      </c>
      <c r="C665" s="7" t="s">
        <v>52</v>
      </c>
      <c r="D665" s="7" t="s">
        <v>24</v>
      </c>
      <c r="E665" s="7" t="s">
        <v>91</v>
      </c>
      <c r="F665" s="7" t="s">
        <v>65</v>
      </c>
      <c r="G665" s="7" t="s">
        <v>1351</v>
      </c>
      <c r="H665" s="7" t="s">
        <v>163</v>
      </c>
      <c r="I665" s="7" t="s">
        <v>164</v>
      </c>
      <c r="J665" s="7" t="s">
        <v>203</v>
      </c>
      <c r="K665" s="7" t="s">
        <v>1344</v>
      </c>
      <c r="L665" s="7" t="s">
        <v>1281</v>
      </c>
      <c r="M665" s="7" t="s">
        <v>326</v>
      </c>
      <c r="N665" s="7" t="s">
        <v>511</v>
      </c>
      <c r="O665" s="7" t="s">
        <v>1185</v>
      </c>
      <c r="P665" s="7" t="s">
        <v>144</v>
      </c>
      <c r="Q665" s="7" t="s">
        <v>1186</v>
      </c>
      <c r="R665" s="7" t="s">
        <v>1186</v>
      </c>
      <c r="S665" s="7" t="s">
        <v>472</v>
      </c>
      <c r="T665" s="7" t="s">
        <v>356</v>
      </c>
      <c r="U665" s="7" t="s">
        <v>148</v>
      </c>
      <c r="V665" s="7" t="s">
        <v>1345</v>
      </c>
      <c r="W665" s="7" t="s">
        <v>682</v>
      </c>
      <c r="X665" s="7" t="s">
        <v>1346</v>
      </c>
      <c r="Y665" s="7" t="s">
        <v>1347</v>
      </c>
      <c r="Z665" s="7" t="s">
        <v>337</v>
      </c>
      <c r="AA665" s="7" t="s">
        <v>183</v>
      </c>
      <c r="AB665" s="18" t="n">
        <v>570</v>
      </c>
      <c r="AC665" s="7"/>
      <c r="AD665" s="7"/>
      <c r="AE665" s="7" t="s">
        <v>167</v>
      </c>
    </row>
    <row r="666" customFormat="false" ht="21.75" hidden="false" customHeight="true" outlineLevel="0" collapsed="false">
      <c r="B666" s="15" t="n">
        <v>662</v>
      </c>
      <c r="C666" s="9" t="s">
        <v>52</v>
      </c>
      <c r="D666" s="9" t="s">
        <v>24</v>
      </c>
      <c r="E666" s="9" t="s">
        <v>91</v>
      </c>
      <c r="F666" s="9" t="s">
        <v>66</v>
      </c>
      <c r="G666" s="9" t="s">
        <v>1352</v>
      </c>
      <c r="H666" s="9" t="s">
        <v>136</v>
      </c>
      <c r="I666" s="9" t="s">
        <v>137</v>
      </c>
      <c r="J666" s="9" t="s">
        <v>396</v>
      </c>
      <c r="K666" s="9" t="s">
        <v>217</v>
      </c>
      <c r="L666" s="9" t="s">
        <v>218</v>
      </c>
      <c r="M666" s="9" t="s">
        <v>326</v>
      </c>
      <c r="N666" s="9" t="s">
        <v>1316</v>
      </c>
      <c r="O666" s="9" t="s">
        <v>1185</v>
      </c>
      <c r="P666" s="9" t="s">
        <v>144</v>
      </c>
      <c r="Q666" s="9" t="s">
        <v>1186</v>
      </c>
      <c r="R666" s="9" t="s">
        <v>1186</v>
      </c>
      <c r="S666" s="9" t="s">
        <v>472</v>
      </c>
      <c r="T666" s="9" t="s">
        <v>223</v>
      </c>
      <c r="U666" s="9" t="s">
        <v>148</v>
      </c>
      <c r="V666" s="9" t="s">
        <v>473</v>
      </c>
      <c r="W666" s="9" t="s">
        <v>682</v>
      </c>
      <c r="X666" s="9" t="s">
        <v>1228</v>
      </c>
      <c r="Y666" s="9" t="s">
        <v>336</v>
      </c>
      <c r="Z666" s="9" t="s">
        <v>337</v>
      </c>
      <c r="AA666" s="9" t="s">
        <v>223</v>
      </c>
      <c r="AB666" s="19" t="n">
        <v>95</v>
      </c>
      <c r="AC666" s="9"/>
      <c r="AD666" s="9"/>
      <c r="AE666" s="9" t="s">
        <v>155</v>
      </c>
    </row>
    <row r="667" customFormat="false" ht="21.75" hidden="false" customHeight="true" outlineLevel="0" collapsed="false">
      <c r="B667" s="14" t="n">
        <v>663</v>
      </c>
      <c r="C667" s="7" t="s">
        <v>52</v>
      </c>
      <c r="D667" s="7" t="s">
        <v>24</v>
      </c>
      <c r="E667" s="7" t="s">
        <v>91</v>
      </c>
      <c r="F667" s="7" t="s">
        <v>66</v>
      </c>
      <c r="G667" s="7" t="s">
        <v>1353</v>
      </c>
      <c r="H667" s="7" t="s">
        <v>157</v>
      </c>
      <c r="I667" s="7" t="s">
        <v>158</v>
      </c>
      <c r="J667" s="7" t="s">
        <v>396</v>
      </c>
      <c r="K667" s="7" t="s">
        <v>217</v>
      </c>
      <c r="L667" s="7" t="s">
        <v>218</v>
      </c>
      <c r="M667" s="7" t="s">
        <v>326</v>
      </c>
      <c r="N667" s="7" t="s">
        <v>1316</v>
      </c>
      <c r="O667" s="7" t="s">
        <v>1185</v>
      </c>
      <c r="P667" s="7" t="s">
        <v>144</v>
      </c>
      <c r="Q667" s="7" t="s">
        <v>1186</v>
      </c>
      <c r="R667" s="7" t="s">
        <v>1186</v>
      </c>
      <c r="S667" s="7" t="s">
        <v>472</v>
      </c>
      <c r="T667" s="7" t="s">
        <v>223</v>
      </c>
      <c r="U667" s="7" t="s">
        <v>148</v>
      </c>
      <c r="V667" s="7" t="s">
        <v>473</v>
      </c>
      <c r="W667" s="7" t="s">
        <v>682</v>
      </c>
      <c r="X667" s="7" t="s">
        <v>1228</v>
      </c>
      <c r="Y667" s="7" t="s">
        <v>336</v>
      </c>
      <c r="Z667" s="7" t="s">
        <v>337</v>
      </c>
      <c r="AA667" s="7" t="s">
        <v>223</v>
      </c>
      <c r="AB667" s="18" t="n">
        <v>140</v>
      </c>
      <c r="AC667" s="7"/>
      <c r="AD667" s="7"/>
      <c r="AE667" s="7" t="s">
        <v>159</v>
      </c>
    </row>
    <row r="668" customFormat="false" ht="21.75" hidden="false" customHeight="true" outlineLevel="0" collapsed="false">
      <c r="B668" s="15" t="n">
        <v>664</v>
      </c>
      <c r="C668" s="9" t="s">
        <v>52</v>
      </c>
      <c r="D668" s="9" t="s">
        <v>24</v>
      </c>
      <c r="E668" s="9" t="s">
        <v>91</v>
      </c>
      <c r="F668" s="9" t="s">
        <v>66</v>
      </c>
      <c r="G668" s="9" t="s">
        <v>1354</v>
      </c>
      <c r="H668" s="9" t="s">
        <v>157</v>
      </c>
      <c r="I668" s="9" t="s">
        <v>158</v>
      </c>
      <c r="J668" s="9" t="s">
        <v>396</v>
      </c>
      <c r="K668" s="9" t="s">
        <v>217</v>
      </c>
      <c r="L668" s="9" t="s">
        <v>218</v>
      </c>
      <c r="M668" s="9" t="s">
        <v>326</v>
      </c>
      <c r="N668" s="9" t="s">
        <v>1316</v>
      </c>
      <c r="O668" s="9" t="s">
        <v>1185</v>
      </c>
      <c r="P668" s="9" t="s">
        <v>144</v>
      </c>
      <c r="Q668" s="9" t="s">
        <v>1186</v>
      </c>
      <c r="R668" s="9" t="s">
        <v>1186</v>
      </c>
      <c r="S668" s="9" t="s">
        <v>472</v>
      </c>
      <c r="T668" s="9" t="s">
        <v>223</v>
      </c>
      <c r="U668" s="9" t="s">
        <v>148</v>
      </c>
      <c r="V668" s="9" t="s">
        <v>473</v>
      </c>
      <c r="W668" s="9" t="s">
        <v>682</v>
      </c>
      <c r="X668" s="9" t="s">
        <v>1228</v>
      </c>
      <c r="Y668" s="9" t="s">
        <v>336</v>
      </c>
      <c r="Z668" s="9" t="s">
        <v>337</v>
      </c>
      <c r="AA668" s="9" t="s">
        <v>223</v>
      </c>
      <c r="AB668" s="19" t="n">
        <v>190</v>
      </c>
      <c r="AC668" s="9"/>
      <c r="AD668" s="9"/>
      <c r="AE668" s="9" t="s">
        <v>1355</v>
      </c>
    </row>
    <row r="669" customFormat="false" ht="21.75" hidden="false" customHeight="true" outlineLevel="0" collapsed="false">
      <c r="B669" s="14" t="n">
        <v>665</v>
      </c>
      <c r="C669" s="7" t="s">
        <v>52</v>
      </c>
      <c r="D669" s="7" t="s">
        <v>24</v>
      </c>
      <c r="E669" s="7" t="s">
        <v>91</v>
      </c>
      <c r="F669" s="7" t="s">
        <v>66</v>
      </c>
      <c r="G669" s="7" t="s">
        <v>1356</v>
      </c>
      <c r="H669" s="7" t="s">
        <v>163</v>
      </c>
      <c r="I669" s="7" t="s">
        <v>164</v>
      </c>
      <c r="J669" s="7" t="s">
        <v>396</v>
      </c>
      <c r="K669" s="7" t="s">
        <v>217</v>
      </c>
      <c r="L669" s="7" t="s">
        <v>218</v>
      </c>
      <c r="M669" s="7" t="s">
        <v>326</v>
      </c>
      <c r="N669" s="7" t="s">
        <v>1316</v>
      </c>
      <c r="O669" s="7" t="s">
        <v>1185</v>
      </c>
      <c r="P669" s="7" t="s">
        <v>144</v>
      </c>
      <c r="Q669" s="7" t="s">
        <v>1186</v>
      </c>
      <c r="R669" s="7" t="s">
        <v>1186</v>
      </c>
      <c r="S669" s="7" t="s">
        <v>472</v>
      </c>
      <c r="T669" s="7" t="s">
        <v>223</v>
      </c>
      <c r="U669" s="7" t="s">
        <v>148</v>
      </c>
      <c r="V669" s="7" t="s">
        <v>473</v>
      </c>
      <c r="W669" s="7" t="s">
        <v>682</v>
      </c>
      <c r="X669" s="7" t="s">
        <v>1228</v>
      </c>
      <c r="Y669" s="7" t="s">
        <v>336</v>
      </c>
      <c r="Z669" s="7" t="s">
        <v>337</v>
      </c>
      <c r="AA669" s="7" t="s">
        <v>223</v>
      </c>
      <c r="AB669" s="18" t="n">
        <v>285</v>
      </c>
      <c r="AC669" s="7"/>
      <c r="AD669" s="7"/>
      <c r="AE669" s="7" t="s">
        <v>165</v>
      </c>
    </row>
    <row r="670" customFormat="false" ht="21.75" hidden="false" customHeight="true" outlineLevel="0" collapsed="false">
      <c r="B670" s="15" t="n">
        <v>666</v>
      </c>
      <c r="C670" s="9" t="s">
        <v>52</v>
      </c>
      <c r="D670" s="9" t="s">
        <v>24</v>
      </c>
      <c r="E670" s="9" t="s">
        <v>91</v>
      </c>
      <c r="F670" s="9" t="s">
        <v>66</v>
      </c>
      <c r="G670" s="9" t="s">
        <v>1357</v>
      </c>
      <c r="H670" s="9" t="s">
        <v>163</v>
      </c>
      <c r="I670" s="9" t="s">
        <v>164</v>
      </c>
      <c r="J670" s="9" t="s">
        <v>396</v>
      </c>
      <c r="K670" s="9" t="s">
        <v>217</v>
      </c>
      <c r="L670" s="9" t="s">
        <v>218</v>
      </c>
      <c r="M670" s="9" t="s">
        <v>326</v>
      </c>
      <c r="N670" s="9" t="s">
        <v>1316</v>
      </c>
      <c r="O670" s="9" t="s">
        <v>1185</v>
      </c>
      <c r="P670" s="9" t="s">
        <v>144</v>
      </c>
      <c r="Q670" s="9" t="s">
        <v>1186</v>
      </c>
      <c r="R670" s="9" t="s">
        <v>1186</v>
      </c>
      <c r="S670" s="9" t="s">
        <v>472</v>
      </c>
      <c r="T670" s="9" t="s">
        <v>223</v>
      </c>
      <c r="U670" s="9" t="s">
        <v>148</v>
      </c>
      <c r="V670" s="9" t="s">
        <v>473</v>
      </c>
      <c r="W670" s="9" t="s">
        <v>682</v>
      </c>
      <c r="X670" s="9" t="s">
        <v>1228</v>
      </c>
      <c r="Y670" s="9" t="s">
        <v>336</v>
      </c>
      <c r="Z670" s="9" t="s">
        <v>337</v>
      </c>
      <c r="AA670" s="9" t="s">
        <v>223</v>
      </c>
      <c r="AB670" s="19" t="n">
        <v>420</v>
      </c>
      <c r="AC670" s="9"/>
      <c r="AD670" s="9"/>
      <c r="AE670" s="9" t="s">
        <v>167</v>
      </c>
    </row>
    <row r="671" customFormat="false" ht="21.75" hidden="false" customHeight="true" outlineLevel="0" collapsed="false">
      <c r="B671" s="14" t="n">
        <v>667</v>
      </c>
      <c r="C671" s="7" t="s">
        <v>52</v>
      </c>
      <c r="D671" s="7" t="s">
        <v>24</v>
      </c>
      <c r="E671" s="7" t="s">
        <v>91</v>
      </c>
      <c r="F671" s="7" t="s">
        <v>67</v>
      </c>
      <c r="G671" s="7" t="s">
        <v>1358</v>
      </c>
      <c r="H671" s="7" t="s">
        <v>230</v>
      </c>
      <c r="I671" s="7" t="s">
        <v>231</v>
      </c>
      <c r="J671" s="7" t="s">
        <v>468</v>
      </c>
      <c r="K671" s="7" t="s">
        <v>233</v>
      </c>
      <c r="L671" s="7" t="s">
        <v>1045</v>
      </c>
      <c r="M671" s="7" t="s">
        <v>326</v>
      </c>
      <c r="N671" s="7" t="s">
        <v>529</v>
      </c>
      <c r="O671" s="7" t="s">
        <v>1185</v>
      </c>
      <c r="P671" s="7" t="s">
        <v>144</v>
      </c>
      <c r="Q671" s="7" t="s">
        <v>1186</v>
      </c>
      <c r="R671" s="7" t="s">
        <v>1186</v>
      </c>
      <c r="S671" s="7" t="s">
        <v>472</v>
      </c>
      <c r="T671" s="7" t="s">
        <v>356</v>
      </c>
      <c r="U671" s="7" t="s">
        <v>148</v>
      </c>
      <c r="V671" s="7" t="s">
        <v>344</v>
      </c>
      <c r="W671" s="7" t="s">
        <v>682</v>
      </c>
      <c r="X671" s="7" t="s">
        <v>1359</v>
      </c>
      <c r="Y671" s="7" t="s">
        <v>1360</v>
      </c>
      <c r="Z671" s="7" t="s">
        <v>337</v>
      </c>
      <c r="AA671" s="7" t="s">
        <v>154</v>
      </c>
      <c r="AB671" s="18" t="n">
        <v>65</v>
      </c>
      <c r="AC671" s="7"/>
      <c r="AD671" s="7"/>
      <c r="AE671" s="7" t="s">
        <v>155</v>
      </c>
    </row>
    <row r="672" customFormat="false" ht="21.75" hidden="false" customHeight="true" outlineLevel="0" collapsed="false">
      <c r="B672" s="15" t="n">
        <v>668</v>
      </c>
      <c r="C672" s="9" t="s">
        <v>52</v>
      </c>
      <c r="D672" s="9" t="s">
        <v>24</v>
      </c>
      <c r="E672" s="9" t="s">
        <v>91</v>
      </c>
      <c r="F672" s="9" t="s">
        <v>67</v>
      </c>
      <c r="G672" s="9" t="s">
        <v>1361</v>
      </c>
      <c r="H672" s="9" t="s">
        <v>230</v>
      </c>
      <c r="I672" s="9" t="s">
        <v>231</v>
      </c>
      <c r="J672" s="9" t="s">
        <v>468</v>
      </c>
      <c r="K672" s="9" t="s">
        <v>233</v>
      </c>
      <c r="L672" s="9" t="s">
        <v>1045</v>
      </c>
      <c r="M672" s="9" t="s">
        <v>326</v>
      </c>
      <c r="N672" s="9" t="s">
        <v>529</v>
      </c>
      <c r="O672" s="9" t="s">
        <v>1185</v>
      </c>
      <c r="P672" s="9" t="s">
        <v>144</v>
      </c>
      <c r="Q672" s="9" t="s">
        <v>1186</v>
      </c>
      <c r="R672" s="9" t="s">
        <v>1186</v>
      </c>
      <c r="S672" s="9" t="s">
        <v>472</v>
      </c>
      <c r="T672" s="9" t="s">
        <v>356</v>
      </c>
      <c r="U672" s="9" t="s">
        <v>148</v>
      </c>
      <c r="V672" s="9" t="s">
        <v>344</v>
      </c>
      <c r="W672" s="9" t="s">
        <v>682</v>
      </c>
      <c r="X672" s="9" t="s">
        <v>1359</v>
      </c>
      <c r="Y672" s="9" t="s">
        <v>1360</v>
      </c>
      <c r="Z672" s="9" t="s">
        <v>337</v>
      </c>
      <c r="AA672" s="9" t="s">
        <v>154</v>
      </c>
      <c r="AB672" s="19" t="n">
        <v>100</v>
      </c>
      <c r="AC672" s="9"/>
      <c r="AD672" s="9"/>
      <c r="AE672" s="9" t="s">
        <v>159</v>
      </c>
    </row>
    <row r="673" customFormat="false" ht="21.75" hidden="false" customHeight="true" outlineLevel="0" collapsed="false">
      <c r="B673" s="14" t="n">
        <v>669</v>
      </c>
      <c r="C673" s="7" t="s">
        <v>52</v>
      </c>
      <c r="D673" s="7" t="s">
        <v>24</v>
      </c>
      <c r="E673" s="7" t="s">
        <v>91</v>
      </c>
      <c r="F673" s="7" t="s">
        <v>67</v>
      </c>
      <c r="G673" s="7" t="s">
        <v>1362</v>
      </c>
      <c r="H673" s="7" t="s">
        <v>240</v>
      </c>
      <c r="I673" s="7" t="s">
        <v>241</v>
      </c>
      <c r="J673" s="7" t="s">
        <v>468</v>
      </c>
      <c r="K673" s="7" t="s">
        <v>233</v>
      </c>
      <c r="L673" s="7" t="s">
        <v>1045</v>
      </c>
      <c r="M673" s="7" t="s">
        <v>326</v>
      </c>
      <c r="N673" s="7" t="s">
        <v>529</v>
      </c>
      <c r="O673" s="7" t="s">
        <v>1185</v>
      </c>
      <c r="P673" s="7" t="s">
        <v>144</v>
      </c>
      <c r="Q673" s="7" t="s">
        <v>1186</v>
      </c>
      <c r="R673" s="7" t="s">
        <v>1186</v>
      </c>
      <c r="S673" s="7" t="s">
        <v>472</v>
      </c>
      <c r="T673" s="7" t="s">
        <v>356</v>
      </c>
      <c r="U673" s="7" t="s">
        <v>148</v>
      </c>
      <c r="V673" s="7" t="s">
        <v>344</v>
      </c>
      <c r="W673" s="7" t="s">
        <v>682</v>
      </c>
      <c r="X673" s="7" t="s">
        <v>1359</v>
      </c>
      <c r="Y673" s="7" t="s">
        <v>1360</v>
      </c>
      <c r="Z673" s="7" t="s">
        <v>337</v>
      </c>
      <c r="AA673" s="7" t="s">
        <v>154</v>
      </c>
      <c r="AB673" s="18" t="n">
        <v>130</v>
      </c>
      <c r="AC673" s="7"/>
      <c r="AD673" s="7"/>
      <c r="AE673" s="7" t="s">
        <v>533</v>
      </c>
    </row>
    <row r="674" customFormat="false" ht="21.75" hidden="false" customHeight="true" outlineLevel="0" collapsed="false">
      <c r="B674" s="15" t="n">
        <v>670</v>
      </c>
      <c r="C674" s="9" t="s">
        <v>52</v>
      </c>
      <c r="D674" s="9" t="s">
        <v>24</v>
      </c>
      <c r="E674" s="9" t="s">
        <v>91</v>
      </c>
      <c r="F674" s="9" t="s">
        <v>67</v>
      </c>
      <c r="G674" s="9" t="s">
        <v>1363</v>
      </c>
      <c r="H674" s="9" t="s">
        <v>240</v>
      </c>
      <c r="I674" s="9" t="s">
        <v>241</v>
      </c>
      <c r="J674" s="9" t="s">
        <v>468</v>
      </c>
      <c r="K674" s="9" t="s">
        <v>233</v>
      </c>
      <c r="L674" s="9" t="s">
        <v>1045</v>
      </c>
      <c r="M674" s="9" t="s">
        <v>326</v>
      </c>
      <c r="N674" s="9" t="s">
        <v>529</v>
      </c>
      <c r="O674" s="9" t="s">
        <v>1185</v>
      </c>
      <c r="P674" s="9" t="s">
        <v>144</v>
      </c>
      <c r="Q674" s="9" t="s">
        <v>1186</v>
      </c>
      <c r="R674" s="9" t="s">
        <v>1186</v>
      </c>
      <c r="S674" s="9" t="s">
        <v>472</v>
      </c>
      <c r="T674" s="9" t="s">
        <v>356</v>
      </c>
      <c r="U674" s="9" t="s">
        <v>148</v>
      </c>
      <c r="V674" s="9" t="s">
        <v>344</v>
      </c>
      <c r="W674" s="9" t="s">
        <v>682</v>
      </c>
      <c r="X674" s="9" t="s">
        <v>1359</v>
      </c>
      <c r="Y674" s="9" t="s">
        <v>1360</v>
      </c>
      <c r="Z674" s="9" t="s">
        <v>337</v>
      </c>
      <c r="AA674" s="9" t="s">
        <v>154</v>
      </c>
      <c r="AB674" s="19" t="n">
        <v>195</v>
      </c>
      <c r="AC674" s="9"/>
      <c r="AD674" s="9"/>
      <c r="AE674" s="9" t="s">
        <v>165</v>
      </c>
    </row>
    <row r="675" customFormat="false" ht="21.75" hidden="false" customHeight="true" outlineLevel="0" collapsed="false">
      <c r="B675" s="14" t="n">
        <v>671</v>
      </c>
      <c r="C675" s="7" t="s">
        <v>52</v>
      </c>
      <c r="D675" s="7" t="s">
        <v>24</v>
      </c>
      <c r="E675" s="7" t="s">
        <v>91</v>
      </c>
      <c r="F675" s="7" t="s">
        <v>67</v>
      </c>
      <c r="G675" s="7" t="s">
        <v>1364</v>
      </c>
      <c r="H675" s="7" t="s">
        <v>240</v>
      </c>
      <c r="I675" s="7" t="s">
        <v>241</v>
      </c>
      <c r="J675" s="7" t="s">
        <v>468</v>
      </c>
      <c r="K675" s="7" t="s">
        <v>233</v>
      </c>
      <c r="L675" s="7" t="s">
        <v>1045</v>
      </c>
      <c r="M675" s="7" t="s">
        <v>326</v>
      </c>
      <c r="N675" s="7" t="s">
        <v>529</v>
      </c>
      <c r="O675" s="7" t="s">
        <v>1185</v>
      </c>
      <c r="P675" s="7" t="s">
        <v>144</v>
      </c>
      <c r="Q675" s="7" t="s">
        <v>1186</v>
      </c>
      <c r="R675" s="7" t="s">
        <v>1186</v>
      </c>
      <c r="S675" s="7" t="s">
        <v>472</v>
      </c>
      <c r="T675" s="7" t="s">
        <v>356</v>
      </c>
      <c r="U675" s="7" t="s">
        <v>148</v>
      </c>
      <c r="V675" s="7" t="s">
        <v>344</v>
      </c>
      <c r="W675" s="7" t="s">
        <v>682</v>
      </c>
      <c r="X675" s="7" t="s">
        <v>1359</v>
      </c>
      <c r="Y675" s="7" t="s">
        <v>1360</v>
      </c>
      <c r="Z675" s="7" t="s">
        <v>337</v>
      </c>
      <c r="AA675" s="7" t="s">
        <v>154</v>
      </c>
      <c r="AB675" s="18" t="n">
        <v>285</v>
      </c>
      <c r="AC675" s="7"/>
      <c r="AD675" s="7"/>
      <c r="AE675" s="7" t="s">
        <v>167</v>
      </c>
    </row>
    <row r="676" customFormat="false" ht="21.75" hidden="false" customHeight="true" outlineLevel="0" collapsed="false">
      <c r="B676" s="15" t="n">
        <v>672</v>
      </c>
      <c r="C676" s="9" t="s">
        <v>52</v>
      </c>
      <c r="D676" s="9" t="s">
        <v>24</v>
      </c>
      <c r="E676" s="9" t="s">
        <v>91</v>
      </c>
      <c r="F676" s="9" t="s">
        <v>68</v>
      </c>
      <c r="G676" s="9" t="s">
        <v>1365</v>
      </c>
      <c r="H676" s="9" t="s">
        <v>246</v>
      </c>
      <c r="I676" s="9" t="s">
        <v>247</v>
      </c>
      <c r="J676" s="9" t="s">
        <v>866</v>
      </c>
      <c r="K676" s="9" t="s">
        <v>1366</v>
      </c>
      <c r="L676" s="9" t="s">
        <v>205</v>
      </c>
      <c r="M676" s="9" t="s">
        <v>326</v>
      </c>
      <c r="N676" s="9" t="s">
        <v>887</v>
      </c>
      <c r="O676" s="9" t="s">
        <v>1185</v>
      </c>
      <c r="P676" s="9" t="s">
        <v>144</v>
      </c>
      <c r="Q676" s="9" t="s">
        <v>1186</v>
      </c>
      <c r="R676" s="9" t="s">
        <v>1186</v>
      </c>
      <c r="S676" s="9" t="s">
        <v>472</v>
      </c>
      <c r="T676" s="9" t="s">
        <v>356</v>
      </c>
      <c r="U676" s="9" t="s">
        <v>148</v>
      </c>
      <c r="V676" s="9" t="s">
        <v>951</v>
      </c>
      <c r="W676" s="9" t="s">
        <v>682</v>
      </c>
      <c r="X676" s="9" t="s">
        <v>1367</v>
      </c>
      <c r="Y676" s="9" t="s">
        <v>336</v>
      </c>
      <c r="Z676" s="9" t="s">
        <v>337</v>
      </c>
      <c r="AA676" s="9" t="s">
        <v>154</v>
      </c>
      <c r="AB676" s="19" t="n">
        <v>160</v>
      </c>
      <c r="AC676" s="9"/>
      <c r="AD676" s="9"/>
      <c r="AE676" s="9" t="s">
        <v>155</v>
      </c>
    </row>
    <row r="677" customFormat="false" ht="21.75" hidden="false" customHeight="true" outlineLevel="0" collapsed="false">
      <c r="B677" s="14" t="n">
        <v>673</v>
      </c>
      <c r="C677" s="7" t="s">
        <v>52</v>
      </c>
      <c r="D677" s="7" t="s">
        <v>24</v>
      </c>
      <c r="E677" s="7" t="s">
        <v>91</v>
      </c>
      <c r="F677" s="7" t="s">
        <v>68</v>
      </c>
      <c r="G677" s="7" t="s">
        <v>1368</v>
      </c>
      <c r="H677" s="7" t="s">
        <v>254</v>
      </c>
      <c r="I677" s="7" t="s">
        <v>255</v>
      </c>
      <c r="J677" s="7" t="s">
        <v>866</v>
      </c>
      <c r="K677" s="7" t="s">
        <v>1366</v>
      </c>
      <c r="L677" s="7" t="s">
        <v>205</v>
      </c>
      <c r="M677" s="7" t="s">
        <v>326</v>
      </c>
      <c r="N677" s="7" t="s">
        <v>887</v>
      </c>
      <c r="O677" s="7" t="s">
        <v>1185</v>
      </c>
      <c r="P677" s="7" t="s">
        <v>144</v>
      </c>
      <c r="Q677" s="7" t="s">
        <v>1186</v>
      </c>
      <c r="R677" s="7" t="s">
        <v>1186</v>
      </c>
      <c r="S677" s="7" t="s">
        <v>472</v>
      </c>
      <c r="T677" s="7" t="s">
        <v>356</v>
      </c>
      <c r="U677" s="7" t="s">
        <v>148</v>
      </c>
      <c r="V677" s="7" t="s">
        <v>951</v>
      </c>
      <c r="W677" s="7" t="s">
        <v>682</v>
      </c>
      <c r="X677" s="7" t="s">
        <v>1367</v>
      </c>
      <c r="Y677" s="7" t="s">
        <v>336</v>
      </c>
      <c r="Z677" s="7" t="s">
        <v>337</v>
      </c>
      <c r="AA677" s="7" t="s">
        <v>154</v>
      </c>
      <c r="AB677" s="18" t="n">
        <v>240</v>
      </c>
      <c r="AC677" s="7"/>
      <c r="AD677" s="7"/>
      <c r="AE677" s="7" t="s">
        <v>159</v>
      </c>
    </row>
    <row r="678" customFormat="false" ht="21.75" hidden="false" customHeight="true" outlineLevel="0" collapsed="false">
      <c r="B678" s="15" t="n">
        <v>674</v>
      </c>
      <c r="C678" s="9" t="s">
        <v>52</v>
      </c>
      <c r="D678" s="9" t="s">
        <v>24</v>
      </c>
      <c r="E678" s="9" t="s">
        <v>91</v>
      </c>
      <c r="F678" s="9" t="s">
        <v>68</v>
      </c>
      <c r="G678" s="9" t="s">
        <v>1369</v>
      </c>
      <c r="H678" s="9" t="s">
        <v>257</v>
      </c>
      <c r="I678" s="9" t="s">
        <v>258</v>
      </c>
      <c r="J678" s="9" t="s">
        <v>866</v>
      </c>
      <c r="K678" s="9" t="s">
        <v>1366</v>
      </c>
      <c r="L678" s="9" t="s">
        <v>205</v>
      </c>
      <c r="M678" s="9" t="s">
        <v>326</v>
      </c>
      <c r="N678" s="9" t="s">
        <v>887</v>
      </c>
      <c r="O678" s="9" t="s">
        <v>1185</v>
      </c>
      <c r="P678" s="9" t="s">
        <v>144</v>
      </c>
      <c r="Q678" s="9" t="s">
        <v>1186</v>
      </c>
      <c r="R678" s="9" t="s">
        <v>1186</v>
      </c>
      <c r="S678" s="9" t="s">
        <v>472</v>
      </c>
      <c r="T678" s="9" t="s">
        <v>356</v>
      </c>
      <c r="U678" s="9" t="s">
        <v>148</v>
      </c>
      <c r="V678" s="9" t="s">
        <v>951</v>
      </c>
      <c r="W678" s="9" t="s">
        <v>682</v>
      </c>
      <c r="X678" s="9" t="s">
        <v>1367</v>
      </c>
      <c r="Y678" s="9" t="s">
        <v>336</v>
      </c>
      <c r="Z678" s="9" t="s">
        <v>337</v>
      </c>
      <c r="AA678" s="9" t="s">
        <v>154</v>
      </c>
      <c r="AB678" s="19" t="n">
        <v>320</v>
      </c>
      <c r="AC678" s="9"/>
      <c r="AD678" s="9"/>
      <c r="AE678" s="9" t="s">
        <v>1370</v>
      </c>
    </row>
    <row r="679" customFormat="false" ht="21.75" hidden="false" customHeight="true" outlineLevel="0" collapsed="false">
      <c r="B679" s="14" t="n">
        <v>675</v>
      </c>
      <c r="C679" s="7" t="s">
        <v>52</v>
      </c>
      <c r="D679" s="7" t="s">
        <v>24</v>
      </c>
      <c r="E679" s="7" t="s">
        <v>91</v>
      </c>
      <c r="F679" s="7" t="s">
        <v>68</v>
      </c>
      <c r="G679" s="7" t="s">
        <v>1371</v>
      </c>
      <c r="H679" s="7" t="s">
        <v>257</v>
      </c>
      <c r="I679" s="7" t="s">
        <v>258</v>
      </c>
      <c r="J679" s="7" t="s">
        <v>866</v>
      </c>
      <c r="K679" s="7" t="s">
        <v>1366</v>
      </c>
      <c r="L679" s="7" t="s">
        <v>205</v>
      </c>
      <c r="M679" s="7" t="s">
        <v>326</v>
      </c>
      <c r="N679" s="7" t="s">
        <v>887</v>
      </c>
      <c r="O679" s="7" t="s">
        <v>1185</v>
      </c>
      <c r="P679" s="7" t="s">
        <v>144</v>
      </c>
      <c r="Q679" s="7" t="s">
        <v>1186</v>
      </c>
      <c r="R679" s="7" t="s">
        <v>1186</v>
      </c>
      <c r="S679" s="7" t="s">
        <v>472</v>
      </c>
      <c r="T679" s="7" t="s">
        <v>356</v>
      </c>
      <c r="U679" s="7" t="s">
        <v>148</v>
      </c>
      <c r="V679" s="7" t="s">
        <v>951</v>
      </c>
      <c r="W679" s="7" t="s">
        <v>682</v>
      </c>
      <c r="X679" s="7" t="s">
        <v>1367</v>
      </c>
      <c r="Y679" s="7" t="s">
        <v>336</v>
      </c>
      <c r="Z679" s="7" t="s">
        <v>337</v>
      </c>
      <c r="AA679" s="7" t="s">
        <v>154</v>
      </c>
      <c r="AB679" s="18" t="n">
        <v>480</v>
      </c>
      <c r="AC679" s="7"/>
      <c r="AD679" s="7"/>
      <c r="AE679" s="7" t="s">
        <v>165</v>
      </c>
    </row>
    <row r="680" customFormat="false" ht="21.75" hidden="false" customHeight="true" outlineLevel="0" collapsed="false">
      <c r="B680" s="15" t="n">
        <v>676</v>
      </c>
      <c r="C680" s="9" t="s">
        <v>52</v>
      </c>
      <c r="D680" s="9" t="s">
        <v>24</v>
      </c>
      <c r="E680" s="9" t="s">
        <v>91</v>
      </c>
      <c r="F680" s="9" t="s">
        <v>68</v>
      </c>
      <c r="G680" s="9" t="s">
        <v>1372</v>
      </c>
      <c r="H680" s="9" t="s">
        <v>262</v>
      </c>
      <c r="I680" s="9" t="s">
        <v>263</v>
      </c>
      <c r="J680" s="9" t="s">
        <v>866</v>
      </c>
      <c r="K680" s="9" t="s">
        <v>1366</v>
      </c>
      <c r="L680" s="9" t="s">
        <v>205</v>
      </c>
      <c r="M680" s="9" t="s">
        <v>326</v>
      </c>
      <c r="N680" s="9" t="s">
        <v>887</v>
      </c>
      <c r="O680" s="9" t="s">
        <v>1185</v>
      </c>
      <c r="P680" s="9" t="s">
        <v>144</v>
      </c>
      <c r="Q680" s="9" t="s">
        <v>1186</v>
      </c>
      <c r="R680" s="9" t="s">
        <v>1186</v>
      </c>
      <c r="S680" s="9" t="s">
        <v>472</v>
      </c>
      <c r="T680" s="9" t="s">
        <v>356</v>
      </c>
      <c r="U680" s="9" t="s">
        <v>148</v>
      </c>
      <c r="V680" s="9" t="s">
        <v>951</v>
      </c>
      <c r="W680" s="9" t="s">
        <v>682</v>
      </c>
      <c r="X680" s="9" t="s">
        <v>1367</v>
      </c>
      <c r="Y680" s="9" t="s">
        <v>336</v>
      </c>
      <c r="Z680" s="9" t="s">
        <v>337</v>
      </c>
      <c r="AA680" s="9" t="s">
        <v>154</v>
      </c>
      <c r="AB680" s="19" t="n">
        <v>705</v>
      </c>
      <c r="AC680" s="9"/>
      <c r="AD680" s="9"/>
      <c r="AE680" s="9" t="s">
        <v>167</v>
      </c>
    </row>
    <row r="681" customFormat="false" ht="21.75" hidden="false" customHeight="true" outlineLevel="0" collapsed="false">
      <c r="B681" s="14" t="n">
        <v>677</v>
      </c>
      <c r="C681" s="7" t="s">
        <v>52</v>
      </c>
      <c r="D681" s="7" t="s">
        <v>24</v>
      </c>
      <c r="E681" s="7" t="s">
        <v>91</v>
      </c>
      <c r="F681" s="7" t="s">
        <v>69</v>
      </c>
      <c r="G681" s="7" t="s">
        <v>1373</v>
      </c>
      <c r="H681" s="7" t="s">
        <v>136</v>
      </c>
      <c r="I681" s="7" t="s">
        <v>137</v>
      </c>
      <c r="J681" s="7" t="s">
        <v>203</v>
      </c>
      <c r="K681" s="7" t="s">
        <v>1374</v>
      </c>
      <c r="L681" s="7" t="s">
        <v>281</v>
      </c>
      <c r="M681" s="7" t="s">
        <v>326</v>
      </c>
      <c r="N681" s="7" t="s">
        <v>266</v>
      </c>
      <c r="O681" s="7" t="s">
        <v>1185</v>
      </c>
      <c r="P681" s="7" t="s">
        <v>144</v>
      </c>
      <c r="Q681" s="7" t="s">
        <v>1186</v>
      </c>
      <c r="R681" s="7" t="s">
        <v>1186</v>
      </c>
      <c r="S681" s="7" t="s">
        <v>472</v>
      </c>
      <c r="T681" s="7" t="s">
        <v>223</v>
      </c>
      <c r="U681" s="7" t="s">
        <v>148</v>
      </c>
      <c r="V681" s="7" t="s">
        <v>1375</v>
      </c>
      <c r="W681" s="7" t="s">
        <v>682</v>
      </c>
      <c r="X681" s="7" t="s">
        <v>1376</v>
      </c>
      <c r="Y681" s="7" t="s">
        <v>1377</v>
      </c>
      <c r="Z681" s="7" t="s">
        <v>337</v>
      </c>
      <c r="AA681" s="7" t="s">
        <v>223</v>
      </c>
      <c r="AB681" s="18" t="n">
        <v>40</v>
      </c>
      <c r="AC681" s="7"/>
      <c r="AD681" s="7"/>
      <c r="AE681" s="7" t="s">
        <v>155</v>
      </c>
    </row>
    <row r="682" customFormat="false" ht="21.75" hidden="false" customHeight="true" outlineLevel="0" collapsed="false">
      <c r="B682" s="15" t="n">
        <v>678</v>
      </c>
      <c r="C682" s="9" t="s">
        <v>52</v>
      </c>
      <c r="D682" s="9" t="s">
        <v>24</v>
      </c>
      <c r="E682" s="9" t="s">
        <v>91</v>
      </c>
      <c r="F682" s="9" t="s">
        <v>69</v>
      </c>
      <c r="G682" s="9" t="s">
        <v>1378</v>
      </c>
      <c r="H682" s="9" t="s">
        <v>136</v>
      </c>
      <c r="I682" s="9" t="s">
        <v>137</v>
      </c>
      <c r="J682" s="9" t="s">
        <v>203</v>
      </c>
      <c r="K682" s="9" t="s">
        <v>1374</v>
      </c>
      <c r="L682" s="9" t="s">
        <v>281</v>
      </c>
      <c r="M682" s="9" t="s">
        <v>326</v>
      </c>
      <c r="N682" s="9" t="s">
        <v>266</v>
      </c>
      <c r="O682" s="9" t="s">
        <v>1185</v>
      </c>
      <c r="P682" s="9" t="s">
        <v>144</v>
      </c>
      <c r="Q682" s="9" t="s">
        <v>1186</v>
      </c>
      <c r="R682" s="9" t="s">
        <v>1186</v>
      </c>
      <c r="S682" s="9" t="s">
        <v>472</v>
      </c>
      <c r="T682" s="9" t="s">
        <v>223</v>
      </c>
      <c r="U682" s="9" t="s">
        <v>148</v>
      </c>
      <c r="V682" s="9" t="s">
        <v>1375</v>
      </c>
      <c r="W682" s="9" t="s">
        <v>682</v>
      </c>
      <c r="X682" s="9" t="s">
        <v>1376</v>
      </c>
      <c r="Y682" s="9" t="s">
        <v>1377</v>
      </c>
      <c r="Z682" s="9" t="s">
        <v>337</v>
      </c>
      <c r="AA682" s="9" t="s">
        <v>223</v>
      </c>
      <c r="AB682" s="19" t="n">
        <v>55</v>
      </c>
      <c r="AC682" s="9"/>
      <c r="AD682" s="9"/>
      <c r="AE682" s="9" t="s">
        <v>159</v>
      </c>
    </row>
    <row r="683" customFormat="false" ht="21.75" hidden="false" customHeight="true" outlineLevel="0" collapsed="false">
      <c r="B683" s="14" t="n">
        <v>679</v>
      </c>
      <c r="C683" s="7" t="s">
        <v>52</v>
      </c>
      <c r="D683" s="7" t="s">
        <v>24</v>
      </c>
      <c r="E683" s="7" t="s">
        <v>91</v>
      </c>
      <c r="F683" s="7" t="s">
        <v>69</v>
      </c>
      <c r="G683" s="7" t="s">
        <v>1379</v>
      </c>
      <c r="H683" s="7" t="s">
        <v>157</v>
      </c>
      <c r="I683" s="7" t="s">
        <v>158</v>
      </c>
      <c r="J683" s="7" t="s">
        <v>203</v>
      </c>
      <c r="K683" s="7" t="s">
        <v>1374</v>
      </c>
      <c r="L683" s="7" t="s">
        <v>281</v>
      </c>
      <c r="M683" s="7" t="s">
        <v>326</v>
      </c>
      <c r="N683" s="7" t="s">
        <v>266</v>
      </c>
      <c r="O683" s="7" t="s">
        <v>1185</v>
      </c>
      <c r="P683" s="7" t="s">
        <v>144</v>
      </c>
      <c r="Q683" s="7" t="s">
        <v>1186</v>
      </c>
      <c r="R683" s="7" t="s">
        <v>1186</v>
      </c>
      <c r="S683" s="7" t="s">
        <v>472</v>
      </c>
      <c r="T683" s="7" t="s">
        <v>223</v>
      </c>
      <c r="U683" s="7" t="s">
        <v>148</v>
      </c>
      <c r="V683" s="7" t="s">
        <v>1375</v>
      </c>
      <c r="W683" s="7" t="s">
        <v>682</v>
      </c>
      <c r="X683" s="7" t="s">
        <v>1376</v>
      </c>
      <c r="Y683" s="7" t="s">
        <v>1377</v>
      </c>
      <c r="Z683" s="7" t="s">
        <v>337</v>
      </c>
      <c r="AA683" s="7" t="s">
        <v>223</v>
      </c>
      <c r="AB683" s="18" t="n">
        <v>75</v>
      </c>
      <c r="AC683" s="7"/>
      <c r="AD683" s="7"/>
      <c r="AE683" s="7" t="s">
        <v>1380</v>
      </c>
    </row>
    <row r="684" customFormat="false" ht="21.75" hidden="false" customHeight="true" outlineLevel="0" collapsed="false">
      <c r="B684" s="15" t="n">
        <v>680</v>
      </c>
      <c r="C684" s="9" t="s">
        <v>52</v>
      </c>
      <c r="D684" s="9" t="s">
        <v>24</v>
      </c>
      <c r="E684" s="9" t="s">
        <v>91</v>
      </c>
      <c r="F684" s="9" t="s">
        <v>69</v>
      </c>
      <c r="G684" s="9" t="s">
        <v>1381</v>
      </c>
      <c r="H684" s="9" t="s">
        <v>157</v>
      </c>
      <c r="I684" s="9" t="s">
        <v>158</v>
      </c>
      <c r="J684" s="9" t="s">
        <v>203</v>
      </c>
      <c r="K684" s="9" t="s">
        <v>1374</v>
      </c>
      <c r="L684" s="9" t="s">
        <v>281</v>
      </c>
      <c r="M684" s="9" t="s">
        <v>326</v>
      </c>
      <c r="N684" s="9" t="s">
        <v>266</v>
      </c>
      <c r="O684" s="9" t="s">
        <v>1185</v>
      </c>
      <c r="P684" s="9" t="s">
        <v>144</v>
      </c>
      <c r="Q684" s="9" t="s">
        <v>1186</v>
      </c>
      <c r="R684" s="9" t="s">
        <v>1186</v>
      </c>
      <c r="S684" s="9" t="s">
        <v>472</v>
      </c>
      <c r="T684" s="9" t="s">
        <v>223</v>
      </c>
      <c r="U684" s="9" t="s">
        <v>148</v>
      </c>
      <c r="V684" s="9" t="s">
        <v>1375</v>
      </c>
      <c r="W684" s="9" t="s">
        <v>682</v>
      </c>
      <c r="X684" s="9" t="s">
        <v>1376</v>
      </c>
      <c r="Y684" s="9" t="s">
        <v>1377</v>
      </c>
      <c r="Z684" s="9" t="s">
        <v>337</v>
      </c>
      <c r="AA684" s="9" t="s">
        <v>223</v>
      </c>
      <c r="AB684" s="19" t="n">
        <v>110</v>
      </c>
      <c r="AC684" s="9"/>
      <c r="AD684" s="9"/>
      <c r="AE684" s="9" t="s">
        <v>165</v>
      </c>
    </row>
    <row r="685" customFormat="false" ht="21.75" hidden="false" customHeight="true" outlineLevel="0" collapsed="false">
      <c r="B685" s="14" t="n">
        <v>681</v>
      </c>
      <c r="C685" s="7" t="s">
        <v>52</v>
      </c>
      <c r="D685" s="7" t="s">
        <v>24</v>
      </c>
      <c r="E685" s="7" t="s">
        <v>91</v>
      </c>
      <c r="F685" s="7" t="s">
        <v>69</v>
      </c>
      <c r="G685" s="7" t="s">
        <v>1382</v>
      </c>
      <c r="H685" s="7" t="s">
        <v>157</v>
      </c>
      <c r="I685" s="7" t="s">
        <v>158</v>
      </c>
      <c r="J685" s="7" t="s">
        <v>203</v>
      </c>
      <c r="K685" s="7" t="s">
        <v>1374</v>
      </c>
      <c r="L685" s="7" t="s">
        <v>281</v>
      </c>
      <c r="M685" s="7" t="s">
        <v>326</v>
      </c>
      <c r="N685" s="7" t="s">
        <v>266</v>
      </c>
      <c r="O685" s="7" t="s">
        <v>1185</v>
      </c>
      <c r="P685" s="7" t="s">
        <v>144</v>
      </c>
      <c r="Q685" s="7" t="s">
        <v>1186</v>
      </c>
      <c r="R685" s="7" t="s">
        <v>1186</v>
      </c>
      <c r="S685" s="7" t="s">
        <v>472</v>
      </c>
      <c r="T685" s="7" t="s">
        <v>223</v>
      </c>
      <c r="U685" s="7" t="s">
        <v>148</v>
      </c>
      <c r="V685" s="7" t="s">
        <v>1375</v>
      </c>
      <c r="W685" s="7" t="s">
        <v>682</v>
      </c>
      <c r="X685" s="7" t="s">
        <v>1376</v>
      </c>
      <c r="Y685" s="7" t="s">
        <v>1377</v>
      </c>
      <c r="Z685" s="7" t="s">
        <v>337</v>
      </c>
      <c r="AA685" s="7" t="s">
        <v>223</v>
      </c>
      <c r="AB685" s="18" t="n">
        <v>165</v>
      </c>
      <c r="AC685" s="7"/>
      <c r="AD685" s="7"/>
      <c r="AE685" s="7" t="s">
        <v>167</v>
      </c>
    </row>
    <row r="686" customFormat="false" ht="21.75" hidden="false" customHeight="true" outlineLevel="0" collapsed="false">
      <c r="B686" s="15" t="n">
        <v>682</v>
      </c>
      <c r="C686" s="9" t="s">
        <v>52</v>
      </c>
      <c r="D686" s="9" t="s">
        <v>24</v>
      </c>
      <c r="E686" s="9" t="s">
        <v>91</v>
      </c>
      <c r="F686" s="9" t="s">
        <v>70</v>
      </c>
      <c r="G686" s="9" t="s">
        <v>1383</v>
      </c>
      <c r="H686" s="9" t="s">
        <v>276</v>
      </c>
      <c r="I686" s="9" t="s">
        <v>277</v>
      </c>
      <c r="J686" s="9" t="s">
        <v>278</v>
      </c>
      <c r="K686" s="9" t="s">
        <v>550</v>
      </c>
      <c r="L686" s="9" t="s">
        <v>743</v>
      </c>
      <c r="M686" s="9" t="s">
        <v>281</v>
      </c>
      <c r="N686" s="9" t="s">
        <v>1384</v>
      </c>
      <c r="O686" s="9" t="s">
        <v>1185</v>
      </c>
      <c r="P686" s="9" t="s">
        <v>144</v>
      </c>
      <c r="Q686" s="9" t="s">
        <v>1186</v>
      </c>
      <c r="R686" s="9" t="s">
        <v>1186</v>
      </c>
      <c r="S686" s="9" t="s">
        <v>472</v>
      </c>
      <c r="T686" s="9" t="s">
        <v>356</v>
      </c>
      <c r="U686" s="9" t="s">
        <v>194</v>
      </c>
      <c r="V686" s="9" t="s">
        <v>951</v>
      </c>
      <c r="W686" s="9" t="s">
        <v>682</v>
      </c>
      <c r="X686" s="9" t="s">
        <v>1385</v>
      </c>
      <c r="Y686" s="9" t="s">
        <v>986</v>
      </c>
      <c r="Z686" s="9" t="s">
        <v>337</v>
      </c>
      <c r="AA686" s="9" t="s">
        <v>183</v>
      </c>
      <c r="AB686" s="19" t="n">
        <v>475</v>
      </c>
      <c r="AC686" s="9"/>
      <c r="AD686" s="9"/>
      <c r="AE686" s="9" t="s">
        <v>155</v>
      </c>
    </row>
    <row r="687" customFormat="false" ht="21.75" hidden="false" customHeight="true" outlineLevel="0" collapsed="false">
      <c r="B687" s="14" t="n">
        <v>683</v>
      </c>
      <c r="C687" s="7" t="s">
        <v>52</v>
      </c>
      <c r="D687" s="7" t="s">
        <v>24</v>
      </c>
      <c r="E687" s="7" t="s">
        <v>91</v>
      </c>
      <c r="F687" s="7" t="s">
        <v>70</v>
      </c>
      <c r="G687" s="7" t="s">
        <v>1386</v>
      </c>
      <c r="H687" s="7" t="s">
        <v>276</v>
      </c>
      <c r="I687" s="7" t="s">
        <v>277</v>
      </c>
      <c r="J687" s="7" t="s">
        <v>278</v>
      </c>
      <c r="K687" s="7" t="s">
        <v>550</v>
      </c>
      <c r="L687" s="7" t="s">
        <v>743</v>
      </c>
      <c r="M687" s="7" t="s">
        <v>281</v>
      </c>
      <c r="N687" s="7" t="s">
        <v>1384</v>
      </c>
      <c r="O687" s="7" t="s">
        <v>1185</v>
      </c>
      <c r="P687" s="7" t="s">
        <v>144</v>
      </c>
      <c r="Q687" s="7" t="s">
        <v>1186</v>
      </c>
      <c r="R687" s="7" t="s">
        <v>1186</v>
      </c>
      <c r="S687" s="7" t="s">
        <v>472</v>
      </c>
      <c r="T687" s="7" t="s">
        <v>356</v>
      </c>
      <c r="U687" s="7" t="s">
        <v>194</v>
      </c>
      <c r="V687" s="7" t="s">
        <v>951</v>
      </c>
      <c r="W687" s="7" t="s">
        <v>682</v>
      </c>
      <c r="X687" s="7" t="s">
        <v>1385</v>
      </c>
      <c r="Y687" s="7" t="s">
        <v>986</v>
      </c>
      <c r="Z687" s="7" t="s">
        <v>337</v>
      </c>
      <c r="AA687" s="7" t="s">
        <v>183</v>
      </c>
      <c r="AB687" s="18" t="n">
        <v>710</v>
      </c>
      <c r="AC687" s="7"/>
      <c r="AD687" s="7"/>
      <c r="AE687" s="7" t="s">
        <v>159</v>
      </c>
    </row>
    <row r="688" customFormat="false" ht="21.75" hidden="false" customHeight="true" outlineLevel="0" collapsed="false">
      <c r="B688" s="15" t="n">
        <v>684</v>
      </c>
      <c r="C688" s="9" t="s">
        <v>52</v>
      </c>
      <c r="D688" s="9" t="s">
        <v>24</v>
      </c>
      <c r="E688" s="9" t="s">
        <v>91</v>
      </c>
      <c r="F688" s="9" t="s">
        <v>70</v>
      </c>
      <c r="G688" s="9" t="s">
        <v>1387</v>
      </c>
      <c r="H688" s="9" t="s">
        <v>287</v>
      </c>
      <c r="I688" s="9" t="s">
        <v>288</v>
      </c>
      <c r="J688" s="9" t="s">
        <v>278</v>
      </c>
      <c r="K688" s="9" t="s">
        <v>550</v>
      </c>
      <c r="L688" s="9" t="s">
        <v>743</v>
      </c>
      <c r="M688" s="9" t="s">
        <v>281</v>
      </c>
      <c r="N688" s="9" t="s">
        <v>1384</v>
      </c>
      <c r="O688" s="9" t="s">
        <v>1185</v>
      </c>
      <c r="P688" s="9" t="s">
        <v>144</v>
      </c>
      <c r="Q688" s="9" t="s">
        <v>1186</v>
      </c>
      <c r="R688" s="9" t="s">
        <v>1186</v>
      </c>
      <c r="S688" s="9" t="s">
        <v>472</v>
      </c>
      <c r="T688" s="9" t="s">
        <v>356</v>
      </c>
      <c r="U688" s="9" t="s">
        <v>194</v>
      </c>
      <c r="V688" s="9" t="s">
        <v>951</v>
      </c>
      <c r="W688" s="9" t="s">
        <v>682</v>
      </c>
      <c r="X688" s="9" t="s">
        <v>1385</v>
      </c>
      <c r="Y688" s="9" t="s">
        <v>986</v>
      </c>
      <c r="Z688" s="9" t="s">
        <v>337</v>
      </c>
      <c r="AA688" s="9" t="s">
        <v>183</v>
      </c>
      <c r="AB688" s="19" t="n">
        <v>950</v>
      </c>
      <c r="AC688" s="9"/>
      <c r="AD688" s="9"/>
      <c r="AE688" s="9" t="s">
        <v>1388</v>
      </c>
    </row>
    <row r="689" customFormat="false" ht="21.75" hidden="false" customHeight="true" outlineLevel="0" collapsed="false">
      <c r="B689" s="14" t="n">
        <v>685</v>
      </c>
      <c r="C689" s="7" t="s">
        <v>52</v>
      </c>
      <c r="D689" s="7" t="s">
        <v>24</v>
      </c>
      <c r="E689" s="7" t="s">
        <v>91</v>
      </c>
      <c r="F689" s="7" t="s">
        <v>70</v>
      </c>
      <c r="G689" s="7" t="s">
        <v>1389</v>
      </c>
      <c r="H689" s="7" t="s">
        <v>287</v>
      </c>
      <c r="I689" s="7" t="s">
        <v>288</v>
      </c>
      <c r="J689" s="7" t="s">
        <v>278</v>
      </c>
      <c r="K689" s="7" t="s">
        <v>550</v>
      </c>
      <c r="L689" s="7" t="s">
        <v>743</v>
      </c>
      <c r="M689" s="7" t="s">
        <v>281</v>
      </c>
      <c r="N689" s="7" t="s">
        <v>1384</v>
      </c>
      <c r="O689" s="7" t="s">
        <v>1185</v>
      </c>
      <c r="P689" s="7" t="s">
        <v>144</v>
      </c>
      <c r="Q689" s="7" t="s">
        <v>1186</v>
      </c>
      <c r="R689" s="7" t="s">
        <v>1186</v>
      </c>
      <c r="S689" s="7" t="s">
        <v>472</v>
      </c>
      <c r="T689" s="7" t="s">
        <v>356</v>
      </c>
      <c r="U689" s="7" t="s">
        <v>194</v>
      </c>
      <c r="V689" s="7" t="s">
        <v>951</v>
      </c>
      <c r="W689" s="7" t="s">
        <v>682</v>
      </c>
      <c r="X689" s="7" t="s">
        <v>1385</v>
      </c>
      <c r="Y689" s="7" t="s">
        <v>986</v>
      </c>
      <c r="Z689" s="7" t="s">
        <v>337</v>
      </c>
      <c r="AA689" s="7" t="s">
        <v>183</v>
      </c>
      <c r="AB689" s="18" t="n">
        <v>1425</v>
      </c>
      <c r="AC689" s="7"/>
      <c r="AD689" s="7"/>
      <c r="AE689" s="7" t="s">
        <v>165</v>
      </c>
    </row>
    <row r="690" customFormat="false" ht="21.75" hidden="false" customHeight="true" outlineLevel="0" collapsed="false">
      <c r="B690" s="15" t="n">
        <v>686</v>
      </c>
      <c r="C690" s="9" t="s">
        <v>52</v>
      </c>
      <c r="D690" s="9" t="s">
        <v>24</v>
      </c>
      <c r="E690" s="9" t="s">
        <v>91</v>
      </c>
      <c r="F690" s="9" t="s">
        <v>70</v>
      </c>
      <c r="G690" s="9" t="s">
        <v>1390</v>
      </c>
      <c r="H690" s="9" t="s">
        <v>287</v>
      </c>
      <c r="I690" s="9" t="s">
        <v>288</v>
      </c>
      <c r="J690" s="9" t="s">
        <v>278</v>
      </c>
      <c r="K690" s="9" t="s">
        <v>550</v>
      </c>
      <c r="L690" s="9" t="s">
        <v>743</v>
      </c>
      <c r="M690" s="9" t="s">
        <v>281</v>
      </c>
      <c r="N690" s="9" t="s">
        <v>1384</v>
      </c>
      <c r="O690" s="9" t="s">
        <v>1185</v>
      </c>
      <c r="P690" s="9" t="s">
        <v>144</v>
      </c>
      <c r="Q690" s="9" t="s">
        <v>1186</v>
      </c>
      <c r="R690" s="9" t="s">
        <v>1186</v>
      </c>
      <c r="S690" s="9" t="s">
        <v>472</v>
      </c>
      <c r="T690" s="9" t="s">
        <v>356</v>
      </c>
      <c r="U690" s="9" t="s">
        <v>194</v>
      </c>
      <c r="V690" s="9" t="s">
        <v>951</v>
      </c>
      <c r="W690" s="9" t="s">
        <v>682</v>
      </c>
      <c r="X690" s="9" t="s">
        <v>1385</v>
      </c>
      <c r="Y690" s="9" t="s">
        <v>986</v>
      </c>
      <c r="Z690" s="9" t="s">
        <v>337</v>
      </c>
      <c r="AA690" s="9" t="s">
        <v>183</v>
      </c>
      <c r="AB690" s="19" t="n">
        <v>2090</v>
      </c>
      <c r="AC690" s="9"/>
      <c r="AD690" s="9"/>
      <c r="AE690" s="9" t="s">
        <v>167</v>
      </c>
    </row>
    <row r="691" customFormat="false" ht="21.75" hidden="false" customHeight="true" outlineLevel="0" collapsed="false">
      <c r="B691" s="14" t="n">
        <v>687</v>
      </c>
      <c r="C691" s="7" t="s">
        <v>52</v>
      </c>
      <c r="D691" s="7" t="s">
        <v>24</v>
      </c>
      <c r="E691" s="7" t="s">
        <v>91</v>
      </c>
      <c r="F691" s="7" t="s">
        <v>71</v>
      </c>
      <c r="G691" s="7" t="s">
        <v>1391</v>
      </c>
      <c r="H691" s="7" t="s">
        <v>136</v>
      </c>
      <c r="I691" s="7" t="s">
        <v>137</v>
      </c>
      <c r="J691" s="7" t="s">
        <v>203</v>
      </c>
      <c r="K691" s="7" t="s">
        <v>993</v>
      </c>
      <c r="L691" s="7" t="s">
        <v>1392</v>
      </c>
      <c r="M691" s="7" t="s">
        <v>326</v>
      </c>
      <c r="N691" s="7" t="s">
        <v>1393</v>
      </c>
      <c r="O691" s="7" t="s">
        <v>1185</v>
      </c>
      <c r="P691" s="7" t="s">
        <v>144</v>
      </c>
      <c r="Q691" s="7" t="s">
        <v>1186</v>
      </c>
      <c r="R691" s="7" t="s">
        <v>1186</v>
      </c>
      <c r="S691" s="7" t="s">
        <v>472</v>
      </c>
      <c r="T691" s="7" t="s">
        <v>356</v>
      </c>
      <c r="U691" s="7" t="s">
        <v>148</v>
      </c>
      <c r="V691" s="7" t="s">
        <v>380</v>
      </c>
      <c r="W691" s="7" t="s">
        <v>682</v>
      </c>
      <c r="X691" s="7" t="s">
        <v>1394</v>
      </c>
      <c r="Y691" s="7" t="s">
        <v>1347</v>
      </c>
      <c r="Z691" s="7" t="s">
        <v>337</v>
      </c>
      <c r="AA691" s="7" t="s">
        <v>183</v>
      </c>
      <c r="AB691" s="18" t="n">
        <v>210</v>
      </c>
      <c r="AC691" s="7"/>
      <c r="AD691" s="7"/>
      <c r="AE691" s="7" t="s">
        <v>155</v>
      </c>
    </row>
    <row r="692" customFormat="false" ht="21.75" hidden="false" customHeight="true" outlineLevel="0" collapsed="false">
      <c r="B692" s="15" t="n">
        <v>688</v>
      </c>
      <c r="C692" s="9" t="s">
        <v>52</v>
      </c>
      <c r="D692" s="9" t="s">
        <v>24</v>
      </c>
      <c r="E692" s="9" t="s">
        <v>91</v>
      </c>
      <c r="F692" s="9" t="s">
        <v>71</v>
      </c>
      <c r="G692" s="9" t="s">
        <v>1395</v>
      </c>
      <c r="H692" s="9" t="s">
        <v>157</v>
      </c>
      <c r="I692" s="9" t="s">
        <v>158</v>
      </c>
      <c r="J692" s="9" t="s">
        <v>203</v>
      </c>
      <c r="K692" s="9" t="s">
        <v>993</v>
      </c>
      <c r="L692" s="9" t="s">
        <v>1392</v>
      </c>
      <c r="M692" s="9" t="s">
        <v>326</v>
      </c>
      <c r="N692" s="9" t="s">
        <v>1393</v>
      </c>
      <c r="O692" s="9" t="s">
        <v>1185</v>
      </c>
      <c r="P692" s="9" t="s">
        <v>144</v>
      </c>
      <c r="Q692" s="9" t="s">
        <v>1186</v>
      </c>
      <c r="R692" s="9" t="s">
        <v>1186</v>
      </c>
      <c r="S692" s="9" t="s">
        <v>472</v>
      </c>
      <c r="T692" s="9" t="s">
        <v>356</v>
      </c>
      <c r="U692" s="9" t="s">
        <v>148</v>
      </c>
      <c r="V692" s="9" t="s">
        <v>380</v>
      </c>
      <c r="W692" s="9" t="s">
        <v>682</v>
      </c>
      <c r="X692" s="9" t="s">
        <v>1394</v>
      </c>
      <c r="Y692" s="9" t="s">
        <v>1347</v>
      </c>
      <c r="Z692" s="9" t="s">
        <v>337</v>
      </c>
      <c r="AA692" s="9" t="s">
        <v>183</v>
      </c>
      <c r="AB692" s="19" t="n">
        <v>315</v>
      </c>
      <c r="AC692" s="9"/>
      <c r="AD692" s="9"/>
      <c r="AE692" s="9" t="s">
        <v>159</v>
      </c>
    </row>
    <row r="693" customFormat="false" ht="21.75" hidden="false" customHeight="true" outlineLevel="0" collapsed="false">
      <c r="B693" s="14" t="n">
        <v>689</v>
      </c>
      <c r="C693" s="7" t="s">
        <v>52</v>
      </c>
      <c r="D693" s="7" t="s">
        <v>24</v>
      </c>
      <c r="E693" s="7" t="s">
        <v>91</v>
      </c>
      <c r="F693" s="7" t="s">
        <v>71</v>
      </c>
      <c r="G693" s="7" t="s">
        <v>1396</v>
      </c>
      <c r="H693" s="7" t="s">
        <v>163</v>
      </c>
      <c r="I693" s="7" t="s">
        <v>164</v>
      </c>
      <c r="J693" s="7" t="s">
        <v>203</v>
      </c>
      <c r="K693" s="7" t="s">
        <v>993</v>
      </c>
      <c r="L693" s="7" t="s">
        <v>1392</v>
      </c>
      <c r="M693" s="7" t="s">
        <v>326</v>
      </c>
      <c r="N693" s="7" t="s">
        <v>1393</v>
      </c>
      <c r="O693" s="7" t="s">
        <v>1185</v>
      </c>
      <c r="P693" s="7" t="s">
        <v>144</v>
      </c>
      <c r="Q693" s="7" t="s">
        <v>1186</v>
      </c>
      <c r="R693" s="7" t="s">
        <v>1186</v>
      </c>
      <c r="S693" s="7" t="s">
        <v>472</v>
      </c>
      <c r="T693" s="7" t="s">
        <v>356</v>
      </c>
      <c r="U693" s="7" t="s">
        <v>148</v>
      </c>
      <c r="V693" s="7" t="s">
        <v>380</v>
      </c>
      <c r="W693" s="7" t="s">
        <v>682</v>
      </c>
      <c r="X693" s="7" t="s">
        <v>1394</v>
      </c>
      <c r="Y693" s="7" t="s">
        <v>1347</v>
      </c>
      <c r="Z693" s="7" t="s">
        <v>337</v>
      </c>
      <c r="AA693" s="7" t="s">
        <v>183</v>
      </c>
      <c r="AB693" s="18" t="n">
        <v>420</v>
      </c>
      <c r="AC693" s="7"/>
      <c r="AD693" s="7"/>
      <c r="AE693" s="7" t="s">
        <v>1397</v>
      </c>
    </row>
    <row r="694" customFormat="false" ht="21.75" hidden="false" customHeight="true" outlineLevel="0" collapsed="false">
      <c r="B694" s="15" t="n">
        <v>690</v>
      </c>
      <c r="C694" s="9" t="s">
        <v>52</v>
      </c>
      <c r="D694" s="9" t="s">
        <v>24</v>
      </c>
      <c r="E694" s="9" t="s">
        <v>91</v>
      </c>
      <c r="F694" s="9" t="s">
        <v>71</v>
      </c>
      <c r="G694" s="9" t="s">
        <v>1398</v>
      </c>
      <c r="H694" s="9" t="s">
        <v>163</v>
      </c>
      <c r="I694" s="9" t="s">
        <v>164</v>
      </c>
      <c r="J694" s="9" t="s">
        <v>203</v>
      </c>
      <c r="K694" s="9" t="s">
        <v>993</v>
      </c>
      <c r="L694" s="9" t="s">
        <v>1392</v>
      </c>
      <c r="M694" s="9" t="s">
        <v>326</v>
      </c>
      <c r="N694" s="9" t="s">
        <v>1393</v>
      </c>
      <c r="O694" s="9" t="s">
        <v>1185</v>
      </c>
      <c r="P694" s="9" t="s">
        <v>144</v>
      </c>
      <c r="Q694" s="9" t="s">
        <v>1186</v>
      </c>
      <c r="R694" s="9" t="s">
        <v>1186</v>
      </c>
      <c r="S694" s="9" t="s">
        <v>472</v>
      </c>
      <c r="T694" s="9" t="s">
        <v>356</v>
      </c>
      <c r="U694" s="9" t="s">
        <v>148</v>
      </c>
      <c r="V694" s="9" t="s">
        <v>380</v>
      </c>
      <c r="W694" s="9" t="s">
        <v>682</v>
      </c>
      <c r="X694" s="9" t="s">
        <v>1394</v>
      </c>
      <c r="Y694" s="9" t="s">
        <v>1347</v>
      </c>
      <c r="Z694" s="9" t="s">
        <v>337</v>
      </c>
      <c r="AA694" s="9" t="s">
        <v>183</v>
      </c>
      <c r="AB694" s="19" t="n">
        <v>630</v>
      </c>
      <c r="AC694" s="9"/>
      <c r="AD694" s="9"/>
      <c r="AE694" s="9" t="s">
        <v>165</v>
      </c>
    </row>
    <row r="695" customFormat="false" ht="21.75" hidden="false" customHeight="true" outlineLevel="0" collapsed="false">
      <c r="B695" s="14" t="n">
        <v>691</v>
      </c>
      <c r="C695" s="7" t="s">
        <v>52</v>
      </c>
      <c r="D695" s="7" t="s">
        <v>24</v>
      </c>
      <c r="E695" s="7" t="s">
        <v>91</v>
      </c>
      <c r="F695" s="7" t="s">
        <v>71</v>
      </c>
      <c r="G695" s="7" t="s">
        <v>1399</v>
      </c>
      <c r="H695" s="7" t="s">
        <v>163</v>
      </c>
      <c r="I695" s="7" t="s">
        <v>164</v>
      </c>
      <c r="J695" s="7" t="s">
        <v>203</v>
      </c>
      <c r="K695" s="7" t="s">
        <v>993</v>
      </c>
      <c r="L695" s="7" t="s">
        <v>1392</v>
      </c>
      <c r="M695" s="7" t="s">
        <v>326</v>
      </c>
      <c r="N695" s="7" t="s">
        <v>1393</v>
      </c>
      <c r="O695" s="7" t="s">
        <v>1185</v>
      </c>
      <c r="P695" s="7" t="s">
        <v>144</v>
      </c>
      <c r="Q695" s="7" t="s">
        <v>1186</v>
      </c>
      <c r="R695" s="7" t="s">
        <v>1186</v>
      </c>
      <c r="S695" s="7" t="s">
        <v>472</v>
      </c>
      <c r="T695" s="7" t="s">
        <v>356</v>
      </c>
      <c r="U695" s="7" t="s">
        <v>148</v>
      </c>
      <c r="V695" s="7" t="s">
        <v>380</v>
      </c>
      <c r="W695" s="7" t="s">
        <v>682</v>
      </c>
      <c r="X695" s="7" t="s">
        <v>1394</v>
      </c>
      <c r="Y695" s="7" t="s">
        <v>1347</v>
      </c>
      <c r="Z695" s="7" t="s">
        <v>337</v>
      </c>
      <c r="AA695" s="7" t="s">
        <v>183</v>
      </c>
      <c r="AB695" s="18" t="n">
        <v>925</v>
      </c>
      <c r="AC695" s="7"/>
      <c r="AD695" s="7"/>
      <c r="AE695" s="7" t="s">
        <v>167</v>
      </c>
    </row>
    <row r="696" customFormat="false" ht="21.75" hidden="false" customHeight="true" outlineLevel="0" collapsed="false">
      <c r="B696" s="15" t="n">
        <v>692</v>
      </c>
      <c r="C696" s="9" t="s">
        <v>52</v>
      </c>
      <c r="D696" s="9" t="s">
        <v>24</v>
      </c>
      <c r="E696" s="9" t="s">
        <v>91</v>
      </c>
      <c r="F696" s="9" t="s">
        <v>72</v>
      </c>
      <c r="G696" s="9" t="s">
        <v>1400</v>
      </c>
      <c r="H696" s="9" t="s">
        <v>301</v>
      </c>
      <c r="I696" s="9" t="s">
        <v>302</v>
      </c>
      <c r="J696" s="9" t="s">
        <v>866</v>
      </c>
      <c r="K696" s="9" t="s">
        <v>1401</v>
      </c>
      <c r="L696" s="9" t="s">
        <v>1402</v>
      </c>
      <c r="M696" s="9" t="s">
        <v>326</v>
      </c>
      <c r="N696" s="9" t="s">
        <v>1403</v>
      </c>
      <c r="O696" s="9" t="s">
        <v>1185</v>
      </c>
      <c r="P696" s="9" t="s">
        <v>144</v>
      </c>
      <c r="Q696" s="9" t="s">
        <v>1186</v>
      </c>
      <c r="R696" s="9" t="s">
        <v>1186</v>
      </c>
      <c r="S696" s="9" t="s">
        <v>472</v>
      </c>
      <c r="T696" s="9" t="s">
        <v>1205</v>
      </c>
      <c r="U696" s="9" t="s">
        <v>148</v>
      </c>
      <c r="V696" s="9" t="s">
        <v>951</v>
      </c>
      <c r="W696" s="9" t="s">
        <v>682</v>
      </c>
      <c r="X696" s="9" t="s">
        <v>1404</v>
      </c>
      <c r="Y696" s="9" t="s">
        <v>237</v>
      </c>
      <c r="Z696" s="9" t="s">
        <v>337</v>
      </c>
      <c r="AA696" s="9" t="s">
        <v>183</v>
      </c>
      <c r="AB696" s="19" t="n">
        <v>90</v>
      </c>
      <c r="AC696" s="9"/>
      <c r="AD696" s="9"/>
      <c r="AE696" s="9" t="s">
        <v>155</v>
      </c>
    </row>
    <row r="697" customFormat="false" ht="21.75" hidden="false" customHeight="true" outlineLevel="0" collapsed="false">
      <c r="B697" s="14" t="n">
        <v>693</v>
      </c>
      <c r="C697" s="7" t="s">
        <v>52</v>
      </c>
      <c r="D697" s="7" t="s">
        <v>24</v>
      </c>
      <c r="E697" s="7" t="s">
        <v>91</v>
      </c>
      <c r="F697" s="7" t="s">
        <v>72</v>
      </c>
      <c r="G697" s="7" t="s">
        <v>1405</v>
      </c>
      <c r="H697" s="7" t="s">
        <v>309</v>
      </c>
      <c r="I697" s="7" t="s">
        <v>310</v>
      </c>
      <c r="J697" s="7" t="s">
        <v>866</v>
      </c>
      <c r="K697" s="7" t="s">
        <v>1401</v>
      </c>
      <c r="L697" s="7" t="s">
        <v>1402</v>
      </c>
      <c r="M697" s="7" t="s">
        <v>326</v>
      </c>
      <c r="N697" s="7" t="s">
        <v>1403</v>
      </c>
      <c r="O697" s="7" t="s">
        <v>1185</v>
      </c>
      <c r="P697" s="7" t="s">
        <v>144</v>
      </c>
      <c r="Q697" s="7" t="s">
        <v>1186</v>
      </c>
      <c r="R697" s="7" t="s">
        <v>1186</v>
      </c>
      <c r="S697" s="7" t="s">
        <v>472</v>
      </c>
      <c r="T697" s="7" t="s">
        <v>1205</v>
      </c>
      <c r="U697" s="7" t="s">
        <v>148</v>
      </c>
      <c r="V697" s="7" t="s">
        <v>951</v>
      </c>
      <c r="W697" s="7" t="s">
        <v>682</v>
      </c>
      <c r="X697" s="7" t="s">
        <v>1404</v>
      </c>
      <c r="Y697" s="7" t="s">
        <v>237</v>
      </c>
      <c r="Z697" s="7" t="s">
        <v>337</v>
      </c>
      <c r="AA697" s="7" t="s">
        <v>183</v>
      </c>
      <c r="AB697" s="18" t="n">
        <v>130</v>
      </c>
      <c r="AC697" s="7"/>
      <c r="AD697" s="7"/>
      <c r="AE697" s="7" t="s">
        <v>159</v>
      </c>
    </row>
    <row r="698" customFormat="false" ht="21.75" hidden="false" customHeight="true" outlineLevel="0" collapsed="false">
      <c r="B698" s="15" t="n">
        <v>694</v>
      </c>
      <c r="C698" s="9" t="s">
        <v>52</v>
      </c>
      <c r="D698" s="9" t="s">
        <v>24</v>
      </c>
      <c r="E698" s="9" t="s">
        <v>91</v>
      </c>
      <c r="F698" s="9" t="s">
        <v>72</v>
      </c>
      <c r="G698" s="9" t="s">
        <v>1406</v>
      </c>
      <c r="H698" s="9" t="s">
        <v>309</v>
      </c>
      <c r="I698" s="9" t="s">
        <v>310</v>
      </c>
      <c r="J698" s="9" t="s">
        <v>866</v>
      </c>
      <c r="K698" s="9" t="s">
        <v>1401</v>
      </c>
      <c r="L698" s="9" t="s">
        <v>1402</v>
      </c>
      <c r="M698" s="9" t="s">
        <v>326</v>
      </c>
      <c r="N698" s="9" t="s">
        <v>1403</v>
      </c>
      <c r="O698" s="9" t="s">
        <v>1185</v>
      </c>
      <c r="P698" s="9" t="s">
        <v>144</v>
      </c>
      <c r="Q698" s="9" t="s">
        <v>1186</v>
      </c>
      <c r="R698" s="9" t="s">
        <v>1186</v>
      </c>
      <c r="S698" s="9" t="s">
        <v>472</v>
      </c>
      <c r="T698" s="9" t="s">
        <v>1205</v>
      </c>
      <c r="U698" s="9" t="s">
        <v>148</v>
      </c>
      <c r="V698" s="9" t="s">
        <v>951</v>
      </c>
      <c r="W698" s="9" t="s">
        <v>682</v>
      </c>
      <c r="X698" s="9" t="s">
        <v>1404</v>
      </c>
      <c r="Y698" s="9" t="s">
        <v>237</v>
      </c>
      <c r="Z698" s="9" t="s">
        <v>337</v>
      </c>
      <c r="AA698" s="9" t="s">
        <v>183</v>
      </c>
      <c r="AB698" s="19" t="n">
        <v>175</v>
      </c>
      <c r="AC698" s="9"/>
      <c r="AD698" s="9"/>
      <c r="AE698" s="9" t="s">
        <v>1407</v>
      </c>
    </row>
    <row r="699" customFormat="false" ht="21.75" hidden="false" customHeight="true" outlineLevel="0" collapsed="false">
      <c r="B699" s="14" t="n">
        <v>695</v>
      </c>
      <c r="C699" s="7" t="s">
        <v>52</v>
      </c>
      <c r="D699" s="7" t="s">
        <v>24</v>
      </c>
      <c r="E699" s="7" t="s">
        <v>91</v>
      </c>
      <c r="F699" s="7" t="s">
        <v>72</v>
      </c>
      <c r="G699" s="7" t="s">
        <v>1408</v>
      </c>
      <c r="H699" s="7" t="s">
        <v>309</v>
      </c>
      <c r="I699" s="7" t="s">
        <v>310</v>
      </c>
      <c r="J699" s="7" t="s">
        <v>866</v>
      </c>
      <c r="K699" s="7" t="s">
        <v>1401</v>
      </c>
      <c r="L699" s="7" t="s">
        <v>1402</v>
      </c>
      <c r="M699" s="7" t="s">
        <v>326</v>
      </c>
      <c r="N699" s="7" t="s">
        <v>1403</v>
      </c>
      <c r="O699" s="7" t="s">
        <v>1185</v>
      </c>
      <c r="P699" s="7" t="s">
        <v>144</v>
      </c>
      <c r="Q699" s="7" t="s">
        <v>1186</v>
      </c>
      <c r="R699" s="7" t="s">
        <v>1186</v>
      </c>
      <c r="S699" s="7" t="s">
        <v>472</v>
      </c>
      <c r="T699" s="7" t="s">
        <v>1205</v>
      </c>
      <c r="U699" s="7" t="s">
        <v>148</v>
      </c>
      <c r="V699" s="7" t="s">
        <v>951</v>
      </c>
      <c r="W699" s="7" t="s">
        <v>682</v>
      </c>
      <c r="X699" s="7" t="s">
        <v>1404</v>
      </c>
      <c r="Y699" s="7" t="s">
        <v>237</v>
      </c>
      <c r="Z699" s="7" t="s">
        <v>337</v>
      </c>
      <c r="AA699" s="7" t="s">
        <v>183</v>
      </c>
      <c r="AB699" s="18" t="n">
        <v>260</v>
      </c>
      <c r="AC699" s="7"/>
      <c r="AD699" s="7"/>
      <c r="AE699" s="7" t="s">
        <v>165</v>
      </c>
    </row>
    <row r="700" customFormat="false" ht="21.75" hidden="false" customHeight="true" outlineLevel="0" collapsed="false">
      <c r="B700" s="15" t="n">
        <v>696</v>
      </c>
      <c r="C700" s="9" t="s">
        <v>52</v>
      </c>
      <c r="D700" s="9" t="s">
        <v>24</v>
      </c>
      <c r="E700" s="9" t="s">
        <v>91</v>
      </c>
      <c r="F700" s="9" t="s">
        <v>72</v>
      </c>
      <c r="G700" s="9" t="s">
        <v>1409</v>
      </c>
      <c r="H700" s="9" t="s">
        <v>315</v>
      </c>
      <c r="I700" s="9" t="s">
        <v>316</v>
      </c>
      <c r="J700" s="9" t="s">
        <v>866</v>
      </c>
      <c r="K700" s="9" t="s">
        <v>1401</v>
      </c>
      <c r="L700" s="9" t="s">
        <v>1402</v>
      </c>
      <c r="M700" s="9" t="s">
        <v>326</v>
      </c>
      <c r="N700" s="9" t="s">
        <v>1403</v>
      </c>
      <c r="O700" s="9" t="s">
        <v>1185</v>
      </c>
      <c r="P700" s="9" t="s">
        <v>144</v>
      </c>
      <c r="Q700" s="9" t="s">
        <v>1186</v>
      </c>
      <c r="R700" s="9" t="s">
        <v>1186</v>
      </c>
      <c r="S700" s="9" t="s">
        <v>472</v>
      </c>
      <c r="T700" s="9" t="s">
        <v>1205</v>
      </c>
      <c r="U700" s="9" t="s">
        <v>148</v>
      </c>
      <c r="V700" s="9" t="s">
        <v>951</v>
      </c>
      <c r="W700" s="9" t="s">
        <v>682</v>
      </c>
      <c r="X700" s="9" t="s">
        <v>1404</v>
      </c>
      <c r="Y700" s="9" t="s">
        <v>237</v>
      </c>
      <c r="Z700" s="9" t="s">
        <v>337</v>
      </c>
      <c r="AA700" s="9" t="s">
        <v>183</v>
      </c>
      <c r="AB700" s="19" t="n">
        <v>385</v>
      </c>
      <c r="AC700" s="9"/>
      <c r="AD700" s="9"/>
      <c r="AE700" s="9" t="s">
        <v>167</v>
      </c>
    </row>
    <row r="701" customFormat="false" ht="21.75" hidden="false" customHeight="true" outlineLevel="0" collapsed="false">
      <c r="B701" s="14" t="n">
        <v>697</v>
      </c>
      <c r="C701" s="7" t="s">
        <v>52</v>
      </c>
      <c r="D701" s="7" t="s">
        <v>24</v>
      </c>
      <c r="E701" s="7" t="s">
        <v>91</v>
      </c>
      <c r="F701" s="7" t="s">
        <v>73</v>
      </c>
      <c r="G701" s="7" t="s">
        <v>1410</v>
      </c>
      <c r="H701" s="7" t="s">
        <v>136</v>
      </c>
      <c r="I701" s="7" t="s">
        <v>137</v>
      </c>
      <c r="J701" s="7" t="s">
        <v>203</v>
      </c>
      <c r="K701" s="7" t="s">
        <v>488</v>
      </c>
      <c r="L701" s="7" t="s">
        <v>1402</v>
      </c>
      <c r="M701" s="7" t="s">
        <v>326</v>
      </c>
      <c r="N701" s="7" t="s">
        <v>1411</v>
      </c>
      <c r="O701" s="7" t="s">
        <v>1185</v>
      </c>
      <c r="P701" s="7" t="s">
        <v>144</v>
      </c>
      <c r="Q701" s="7" t="s">
        <v>1186</v>
      </c>
      <c r="R701" s="7" t="s">
        <v>1186</v>
      </c>
      <c r="S701" s="7" t="s">
        <v>472</v>
      </c>
      <c r="T701" s="7" t="s">
        <v>1317</v>
      </c>
      <c r="U701" s="7" t="s">
        <v>148</v>
      </c>
      <c r="V701" s="7" t="s">
        <v>380</v>
      </c>
      <c r="W701" s="7" t="s">
        <v>682</v>
      </c>
      <c r="X701" s="7" t="s">
        <v>1412</v>
      </c>
      <c r="Y701" s="7" t="s">
        <v>923</v>
      </c>
      <c r="Z701" s="7" t="s">
        <v>337</v>
      </c>
      <c r="AA701" s="7" t="s">
        <v>154</v>
      </c>
      <c r="AB701" s="18" t="n">
        <v>60</v>
      </c>
      <c r="AC701" s="7"/>
      <c r="AD701" s="7"/>
      <c r="AE701" s="7" t="s">
        <v>155</v>
      </c>
    </row>
    <row r="702" customFormat="false" ht="21.75" hidden="false" customHeight="true" outlineLevel="0" collapsed="false">
      <c r="B702" s="15" t="n">
        <v>698</v>
      </c>
      <c r="C702" s="9" t="s">
        <v>52</v>
      </c>
      <c r="D702" s="9" t="s">
        <v>24</v>
      </c>
      <c r="E702" s="9" t="s">
        <v>91</v>
      </c>
      <c r="F702" s="9" t="s">
        <v>73</v>
      </c>
      <c r="G702" s="9" t="s">
        <v>1413</v>
      </c>
      <c r="H702" s="9" t="s">
        <v>157</v>
      </c>
      <c r="I702" s="9" t="s">
        <v>158</v>
      </c>
      <c r="J702" s="9" t="s">
        <v>203</v>
      </c>
      <c r="K702" s="9" t="s">
        <v>488</v>
      </c>
      <c r="L702" s="9" t="s">
        <v>1402</v>
      </c>
      <c r="M702" s="9" t="s">
        <v>326</v>
      </c>
      <c r="N702" s="9" t="s">
        <v>1411</v>
      </c>
      <c r="O702" s="9" t="s">
        <v>1185</v>
      </c>
      <c r="P702" s="9" t="s">
        <v>144</v>
      </c>
      <c r="Q702" s="9" t="s">
        <v>1186</v>
      </c>
      <c r="R702" s="9" t="s">
        <v>1186</v>
      </c>
      <c r="S702" s="9" t="s">
        <v>472</v>
      </c>
      <c r="T702" s="9" t="s">
        <v>1317</v>
      </c>
      <c r="U702" s="9" t="s">
        <v>148</v>
      </c>
      <c r="V702" s="9" t="s">
        <v>380</v>
      </c>
      <c r="W702" s="9" t="s">
        <v>682</v>
      </c>
      <c r="X702" s="9" t="s">
        <v>1412</v>
      </c>
      <c r="Y702" s="9" t="s">
        <v>923</v>
      </c>
      <c r="Z702" s="9" t="s">
        <v>337</v>
      </c>
      <c r="AA702" s="9" t="s">
        <v>154</v>
      </c>
      <c r="AB702" s="19" t="n">
        <v>85</v>
      </c>
      <c r="AC702" s="9"/>
      <c r="AD702" s="9"/>
      <c r="AE702" s="9" t="s">
        <v>159</v>
      </c>
    </row>
    <row r="703" customFormat="false" ht="21.75" hidden="false" customHeight="true" outlineLevel="0" collapsed="false">
      <c r="B703" s="14" t="n">
        <v>699</v>
      </c>
      <c r="C703" s="7" t="s">
        <v>52</v>
      </c>
      <c r="D703" s="7" t="s">
        <v>24</v>
      </c>
      <c r="E703" s="7" t="s">
        <v>91</v>
      </c>
      <c r="F703" s="7" t="s">
        <v>73</v>
      </c>
      <c r="G703" s="7" t="s">
        <v>1414</v>
      </c>
      <c r="H703" s="7" t="s">
        <v>157</v>
      </c>
      <c r="I703" s="7" t="s">
        <v>158</v>
      </c>
      <c r="J703" s="7" t="s">
        <v>203</v>
      </c>
      <c r="K703" s="7" t="s">
        <v>488</v>
      </c>
      <c r="L703" s="7" t="s">
        <v>1402</v>
      </c>
      <c r="M703" s="7" t="s">
        <v>326</v>
      </c>
      <c r="N703" s="7" t="s">
        <v>1411</v>
      </c>
      <c r="O703" s="7" t="s">
        <v>1185</v>
      </c>
      <c r="P703" s="7" t="s">
        <v>144</v>
      </c>
      <c r="Q703" s="7" t="s">
        <v>1186</v>
      </c>
      <c r="R703" s="7" t="s">
        <v>1186</v>
      </c>
      <c r="S703" s="7" t="s">
        <v>472</v>
      </c>
      <c r="T703" s="7" t="s">
        <v>1317</v>
      </c>
      <c r="U703" s="7" t="s">
        <v>148</v>
      </c>
      <c r="V703" s="7" t="s">
        <v>380</v>
      </c>
      <c r="W703" s="7" t="s">
        <v>682</v>
      </c>
      <c r="X703" s="7" t="s">
        <v>1412</v>
      </c>
      <c r="Y703" s="7" t="s">
        <v>923</v>
      </c>
      <c r="Z703" s="7" t="s">
        <v>337</v>
      </c>
      <c r="AA703" s="7" t="s">
        <v>154</v>
      </c>
      <c r="AB703" s="18" t="n">
        <v>115</v>
      </c>
      <c r="AC703" s="7"/>
      <c r="AD703" s="7"/>
      <c r="AE703" s="7" t="s">
        <v>1415</v>
      </c>
    </row>
    <row r="704" customFormat="false" ht="21.75" hidden="false" customHeight="true" outlineLevel="0" collapsed="false">
      <c r="B704" s="15" t="n">
        <v>700</v>
      </c>
      <c r="C704" s="9" t="s">
        <v>52</v>
      </c>
      <c r="D704" s="9" t="s">
        <v>24</v>
      </c>
      <c r="E704" s="9" t="s">
        <v>91</v>
      </c>
      <c r="F704" s="9" t="s">
        <v>73</v>
      </c>
      <c r="G704" s="9" t="s">
        <v>1416</v>
      </c>
      <c r="H704" s="9" t="s">
        <v>163</v>
      </c>
      <c r="I704" s="9" t="s">
        <v>164</v>
      </c>
      <c r="J704" s="9" t="s">
        <v>203</v>
      </c>
      <c r="K704" s="9" t="s">
        <v>488</v>
      </c>
      <c r="L704" s="9" t="s">
        <v>1402</v>
      </c>
      <c r="M704" s="9" t="s">
        <v>326</v>
      </c>
      <c r="N704" s="9" t="s">
        <v>1411</v>
      </c>
      <c r="O704" s="9" t="s">
        <v>1185</v>
      </c>
      <c r="P704" s="9" t="s">
        <v>144</v>
      </c>
      <c r="Q704" s="9" t="s">
        <v>1186</v>
      </c>
      <c r="R704" s="9" t="s">
        <v>1186</v>
      </c>
      <c r="S704" s="9" t="s">
        <v>472</v>
      </c>
      <c r="T704" s="9" t="s">
        <v>1317</v>
      </c>
      <c r="U704" s="9" t="s">
        <v>148</v>
      </c>
      <c r="V704" s="9" t="s">
        <v>380</v>
      </c>
      <c r="W704" s="9" t="s">
        <v>682</v>
      </c>
      <c r="X704" s="9" t="s">
        <v>1412</v>
      </c>
      <c r="Y704" s="9" t="s">
        <v>923</v>
      </c>
      <c r="Z704" s="9" t="s">
        <v>337</v>
      </c>
      <c r="AA704" s="9" t="s">
        <v>154</v>
      </c>
      <c r="AB704" s="19" t="n">
        <v>170</v>
      </c>
      <c r="AC704" s="9"/>
      <c r="AD704" s="9"/>
      <c r="AE704" s="9" t="s">
        <v>165</v>
      </c>
    </row>
    <row r="705" customFormat="false" ht="21.75" hidden="false" customHeight="true" outlineLevel="0" collapsed="false">
      <c r="B705" s="14" t="n">
        <v>701</v>
      </c>
      <c r="C705" s="7" t="s">
        <v>52</v>
      </c>
      <c r="D705" s="7" t="s">
        <v>24</v>
      </c>
      <c r="E705" s="7" t="s">
        <v>91</v>
      </c>
      <c r="F705" s="7" t="s">
        <v>73</v>
      </c>
      <c r="G705" s="7" t="s">
        <v>1417</v>
      </c>
      <c r="H705" s="7" t="s">
        <v>163</v>
      </c>
      <c r="I705" s="7" t="s">
        <v>164</v>
      </c>
      <c r="J705" s="7" t="s">
        <v>203</v>
      </c>
      <c r="K705" s="7" t="s">
        <v>488</v>
      </c>
      <c r="L705" s="7" t="s">
        <v>1402</v>
      </c>
      <c r="M705" s="7" t="s">
        <v>326</v>
      </c>
      <c r="N705" s="7" t="s">
        <v>1411</v>
      </c>
      <c r="O705" s="7" t="s">
        <v>1185</v>
      </c>
      <c r="P705" s="7" t="s">
        <v>144</v>
      </c>
      <c r="Q705" s="7" t="s">
        <v>1186</v>
      </c>
      <c r="R705" s="7" t="s">
        <v>1186</v>
      </c>
      <c r="S705" s="7" t="s">
        <v>472</v>
      </c>
      <c r="T705" s="7" t="s">
        <v>1317</v>
      </c>
      <c r="U705" s="7" t="s">
        <v>148</v>
      </c>
      <c r="V705" s="7" t="s">
        <v>380</v>
      </c>
      <c r="W705" s="7" t="s">
        <v>682</v>
      </c>
      <c r="X705" s="7" t="s">
        <v>1412</v>
      </c>
      <c r="Y705" s="7" t="s">
        <v>923</v>
      </c>
      <c r="Z705" s="7" t="s">
        <v>337</v>
      </c>
      <c r="AA705" s="7" t="s">
        <v>154</v>
      </c>
      <c r="AB705" s="18" t="n">
        <v>255</v>
      </c>
      <c r="AC705" s="7"/>
      <c r="AD705" s="7"/>
      <c r="AE705" s="7" t="s">
        <v>167</v>
      </c>
    </row>
    <row r="706" customFormat="false" ht="21.75" hidden="false" customHeight="true" outlineLevel="0" collapsed="false">
      <c r="B706" s="15" t="n">
        <v>702</v>
      </c>
      <c r="C706" s="9" t="s">
        <v>52</v>
      </c>
      <c r="D706" s="9" t="s">
        <v>24</v>
      </c>
      <c r="E706" s="9" t="s">
        <v>91</v>
      </c>
      <c r="F706" s="9" t="s">
        <v>74</v>
      </c>
      <c r="G706" s="9" t="s">
        <v>1418</v>
      </c>
      <c r="H706" s="9" t="s">
        <v>136</v>
      </c>
      <c r="I706" s="9" t="s">
        <v>137</v>
      </c>
      <c r="J706" s="9" t="s">
        <v>468</v>
      </c>
      <c r="K706" s="9" t="s">
        <v>1419</v>
      </c>
      <c r="L706" s="9" t="s">
        <v>1420</v>
      </c>
      <c r="M706" s="9" t="s">
        <v>281</v>
      </c>
      <c r="N706" s="9" t="s">
        <v>1421</v>
      </c>
      <c r="O706" s="9" t="s">
        <v>1185</v>
      </c>
      <c r="P706" s="9" t="s">
        <v>144</v>
      </c>
      <c r="Q706" s="9" t="s">
        <v>455</v>
      </c>
      <c r="R706" s="9" t="s">
        <v>281</v>
      </c>
      <c r="S706" s="9" t="s">
        <v>472</v>
      </c>
      <c r="T706" s="9" t="s">
        <v>223</v>
      </c>
      <c r="U706" s="9" t="s">
        <v>588</v>
      </c>
      <c r="V706" s="9" t="s">
        <v>1375</v>
      </c>
      <c r="W706" s="9" t="s">
        <v>682</v>
      </c>
      <c r="X706" s="9" t="s">
        <v>1422</v>
      </c>
      <c r="Y706" s="9" t="s">
        <v>590</v>
      </c>
      <c r="Z706" s="9" t="s">
        <v>337</v>
      </c>
      <c r="AA706" s="9" t="s">
        <v>223</v>
      </c>
      <c r="AB706" s="19" t="n">
        <v>25</v>
      </c>
      <c r="AC706" s="9"/>
      <c r="AD706" s="9"/>
      <c r="AE706" s="9" t="s">
        <v>155</v>
      </c>
    </row>
    <row r="707" customFormat="false" ht="21.75" hidden="false" customHeight="true" outlineLevel="0" collapsed="false">
      <c r="B707" s="14" t="n">
        <v>703</v>
      </c>
      <c r="C707" s="7" t="s">
        <v>52</v>
      </c>
      <c r="D707" s="7" t="s">
        <v>24</v>
      </c>
      <c r="E707" s="7" t="s">
        <v>91</v>
      </c>
      <c r="F707" s="7" t="s">
        <v>74</v>
      </c>
      <c r="G707" s="7" t="s">
        <v>1423</v>
      </c>
      <c r="H707" s="7" t="s">
        <v>136</v>
      </c>
      <c r="I707" s="7" t="s">
        <v>137</v>
      </c>
      <c r="J707" s="7" t="s">
        <v>468</v>
      </c>
      <c r="K707" s="7" t="s">
        <v>1419</v>
      </c>
      <c r="L707" s="7" t="s">
        <v>1420</v>
      </c>
      <c r="M707" s="7" t="s">
        <v>281</v>
      </c>
      <c r="N707" s="7" t="s">
        <v>1421</v>
      </c>
      <c r="O707" s="7" t="s">
        <v>1185</v>
      </c>
      <c r="P707" s="7" t="s">
        <v>144</v>
      </c>
      <c r="Q707" s="7" t="s">
        <v>455</v>
      </c>
      <c r="R707" s="7" t="s">
        <v>281</v>
      </c>
      <c r="S707" s="7" t="s">
        <v>472</v>
      </c>
      <c r="T707" s="7" t="s">
        <v>223</v>
      </c>
      <c r="U707" s="7" t="s">
        <v>588</v>
      </c>
      <c r="V707" s="7" t="s">
        <v>1375</v>
      </c>
      <c r="W707" s="7" t="s">
        <v>682</v>
      </c>
      <c r="X707" s="7" t="s">
        <v>1422</v>
      </c>
      <c r="Y707" s="7" t="s">
        <v>590</v>
      </c>
      <c r="Z707" s="7" t="s">
        <v>337</v>
      </c>
      <c r="AA707" s="7" t="s">
        <v>223</v>
      </c>
      <c r="AB707" s="18" t="n">
        <v>35</v>
      </c>
      <c r="AC707" s="7"/>
      <c r="AD707" s="7"/>
      <c r="AE707" s="7" t="s">
        <v>159</v>
      </c>
    </row>
    <row r="708" customFormat="false" ht="21.75" hidden="false" customHeight="true" outlineLevel="0" collapsed="false">
      <c r="B708" s="15" t="n">
        <v>704</v>
      </c>
      <c r="C708" s="9" t="s">
        <v>52</v>
      </c>
      <c r="D708" s="9" t="s">
        <v>24</v>
      </c>
      <c r="E708" s="9" t="s">
        <v>91</v>
      </c>
      <c r="F708" s="9" t="s">
        <v>74</v>
      </c>
      <c r="G708" s="9" t="s">
        <v>1424</v>
      </c>
      <c r="H708" s="9" t="s">
        <v>157</v>
      </c>
      <c r="I708" s="9" t="s">
        <v>158</v>
      </c>
      <c r="J708" s="9" t="s">
        <v>468</v>
      </c>
      <c r="K708" s="9" t="s">
        <v>1419</v>
      </c>
      <c r="L708" s="9" t="s">
        <v>1420</v>
      </c>
      <c r="M708" s="9" t="s">
        <v>281</v>
      </c>
      <c r="N708" s="9" t="s">
        <v>1421</v>
      </c>
      <c r="O708" s="9" t="s">
        <v>1185</v>
      </c>
      <c r="P708" s="9" t="s">
        <v>144</v>
      </c>
      <c r="Q708" s="9" t="s">
        <v>455</v>
      </c>
      <c r="R708" s="9" t="s">
        <v>281</v>
      </c>
      <c r="S708" s="9" t="s">
        <v>472</v>
      </c>
      <c r="T708" s="9" t="s">
        <v>223</v>
      </c>
      <c r="U708" s="9" t="s">
        <v>588</v>
      </c>
      <c r="V708" s="9" t="s">
        <v>1375</v>
      </c>
      <c r="W708" s="9" t="s">
        <v>682</v>
      </c>
      <c r="X708" s="9" t="s">
        <v>1422</v>
      </c>
      <c r="Y708" s="9" t="s">
        <v>590</v>
      </c>
      <c r="Z708" s="9" t="s">
        <v>337</v>
      </c>
      <c r="AA708" s="9" t="s">
        <v>223</v>
      </c>
      <c r="AB708" s="19" t="n">
        <v>45</v>
      </c>
      <c r="AC708" s="9"/>
      <c r="AD708" s="9"/>
      <c r="AE708" s="9" t="s">
        <v>1425</v>
      </c>
    </row>
    <row r="709" customFormat="false" ht="21.75" hidden="false" customHeight="true" outlineLevel="0" collapsed="false">
      <c r="B709" s="14" t="n">
        <v>705</v>
      </c>
      <c r="C709" s="7" t="s">
        <v>52</v>
      </c>
      <c r="D709" s="7" t="s">
        <v>24</v>
      </c>
      <c r="E709" s="7" t="s">
        <v>91</v>
      </c>
      <c r="F709" s="7" t="s">
        <v>74</v>
      </c>
      <c r="G709" s="7" t="s">
        <v>1426</v>
      </c>
      <c r="H709" s="7" t="s">
        <v>157</v>
      </c>
      <c r="I709" s="7" t="s">
        <v>158</v>
      </c>
      <c r="J709" s="7" t="s">
        <v>468</v>
      </c>
      <c r="K709" s="7" t="s">
        <v>1419</v>
      </c>
      <c r="L709" s="7" t="s">
        <v>1420</v>
      </c>
      <c r="M709" s="7" t="s">
        <v>281</v>
      </c>
      <c r="N709" s="7" t="s">
        <v>1421</v>
      </c>
      <c r="O709" s="7" t="s">
        <v>1185</v>
      </c>
      <c r="P709" s="7" t="s">
        <v>144</v>
      </c>
      <c r="Q709" s="7" t="s">
        <v>455</v>
      </c>
      <c r="R709" s="7" t="s">
        <v>281</v>
      </c>
      <c r="S709" s="7" t="s">
        <v>472</v>
      </c>
      <c r="T709" s="7" t="s">
        <v>223</v>
      </c>
      <c r="U709" s="7" t="s">
        <v>588</v>
      </c>
      <c r="V709" s="7" t="s">
        <v>1375</v>
      </c>
      <c r="W709" s="7" t="s">
        <v>682</v>
      </c>
      <c r="X709" s="7" t="s">
        <v>1422</v>
      </c>
      <c r="Y709" s="7" t="s">
        <v>590</v>
      </c>
      <c r="Z709" s="7" t="s">
        <v>337</v>
      </c>
      <c r="AA709" s="7" t="s">
        <v>223</v>
      </c>
      <c r="AB709" s="18" t="n">
        <v>70</v>
      </c>
      <c r="AC709" s="7"/>
      <c r="AD709" s="7"/>
      <c r="AE709" s="7" t="s">
        <v>165</v>
      </c>
    </row>
    <row r="710" customFormat="false" ht="21.75" hidden="false" customHeight="true" outlineLevel="0" collapsed="false">
      <c r="B710" s="15" t="n">
        <v>706</v>
      </c>
      <c r="C710" s="9" t="s">
        <v>52</v>
      </c>
      <c r="D710" s="9" t="s">
        <v>24</v>
      </c>
      <c r="E710" s="9" t="s">
        <v>91</v>
      </c>
      <c r="F710" s="9" t="s">
        <v>74</v>
      </c>
      <c r="G710" s="9" t="s">
        <v>1427</v>
      </c>
      <c r="H710" s="9" t="s">
        <v>163</v>
      </c>
      <c r="I710" s="9" t="s">
        <v>164</v>
      </c>
      <c r="J710" s="9" t="s">
        <v>468</v>
      </c>
      <c r="K710" s="9" t="s">
        <v>1419</v>
      </c>
      <c r="L710" s="9" t="s">
        <v>1420</v>
      </c>
      <c r="M710" s="9" t="s">
        <v>281</v>
      </c>
      <c r="N710" s="9" t="s">
        <v>1421</v>
      </c>
      <c r="O710" s="9" t="s">
        <v>1185</v>
      </c>
      <c r="P710" s="9" t="s">
        <v>144</v>
      </c>
      <c r="Q710" s="9" t="s">
        <v>455</v>
      </c>
      <c r="R710" s="9" t="s">
        <v>281</v>
      </c>
      <c r="S710" s="9" t="s">
        <v>472</v>
      </c>
      <c r="T710" s="9" t="s">
        <v>223</v>
      </c>
      <c r="U710" s="9" t="s">
        <v>588</v>
      </c>
      <c r="V710" s="9" t="s">
        <v>1375</v>
      </c>
      <c r="W710" s="9" t="s">
        <v>682</v>
      </c>
      <c r="X710" s="9" t="s">
        <v>1422</v>
      </c>
      <c r="Y710" s="9" t="s">
        <v>590</v>
      </c>
      <c r="Z710" s="9" t="s">
        <v>337</v>
      </c>
      <c r="AA710" s="9" t="s">
        <v>223</v>
      </c>
      <c r="AB710" s="19" t="n">
        <v>100</v>
      </c>
      <c r="AC710" s="9"/>
      <c r="AD710" s="9"/>
      <c r="AE710" s="9" t="s">
        <v>167</v>
      </c>
    </row>
    <row r="711" customFormat="false" ht="21.75" hidden="false" customHeight="true" outlineLevel="0" collapsed="false">
      <c r="B711" s="14" t="n">
        <v>707</v>
      </c>
      <c r="C711" s="7" t="s">
        <v>53</v>
      </c>
      <c r="D711" s="7" t="s">
        <v>24</v>
      </c>
      <c r="E711" s="7" t="s">
        <v>91</v>
      </c>
      <c r="F711" s="7" t="s">
        <v>61</v>
      </c>
      <c r="G711" s="7" t="s">
        <v>1428</v>
      </c>
      <c r="H711" s="7" t="s">
        <v>136</v>
      </c>
      <c r="I711" s="7" t="s">
        <v>137</v>
      </c>
      <c r="J711" s="7" t="s">
        <v>203</v>
      </c>
      <c r="K711" s="7" t="s">
        <v>488</v>
      </c>
      <c r="L711" s="7" t="s">
        <v>205</v>
      </c>
      <c r="M711" s="7" t="s">
        <v>326</v>
      </c>
      <c r="N711" s="7" t="s">
        <v>1429</v>
      </c>
      <c r="O711" s="7" t="s">
        <v>1430</v>
      </c>
      <c r="P711" s="7" t="s">
        <v>144</v>
      </c>
      <c r="Q711" s="7" t="s">
        <v>1186</v>
      </c>
      <c r="R711" s="7" t="s">
        <v>1186</v>
      </c>
      <c r="S711" s="7" t="s">
        <v>472</v>
      </c>
      <c r="T711" s="7" t="s">
        <v>1205</v>
      </c>
      <c r="U711" s="7" t="s">
        <v>148</v>
      </c>
      <c r="V711" s="7" t="s">
        <v>344</v>
      </c>
      <c r="W711" s="7" t="s">
        <v>682</v>
      </c>
      <c r="X711" s="7" t="s">
        <v>1431</v>
      </c>
      <c r="Y711" s="7" t="s">
        <v>1029</v>
      </c>
      <c r="Z711" s="7" t="s">
        <v>461</v>
      </c>
      <c r="AA711" s="7" t="s">
        <v>154</v>
      </c>
      <c r="AB711" s="18" t="n">
        <v>50</v>
      </c>
      <c r="AC711" s="7"/>
      <c r="AD711" s="7"/>
      <c r="AE711" s="7" t="s">
        <v>155</v>
      </c>
    </row>
    <row r="712" customFormat="false" ht="21.75" hidden="false" customHeight="true" outlineLevel="0" collapsed="false">
      <c r="B712" s="15" t="n">
        <v>708</v>
      </c>
      <c r="C712" s="9" t="s">
        <v>53</v>
      </c>
      <c r="D712" s="9" t="s">
        <v>24</v>
      </c>
      <c r="E712" s="9" t="s">
        <v>91</v>
      </c>
      <c r="F712" s="9" t="s">
        <v>61</v>
      </c>
      <c r="G712" s="9" t="s">
        <v>1432</v>
      </c>
      <c r="H712" s="9" t="s">
        <v>157</v>
      </c>
      <c r="I712" s="9" t="s">
        <v>158</v>
      </c>
      <c r="J712" s="9" t="s">
        <v>203</v>
      </c>
      <c r="K712" s="9" t="s">
        <v>488</v>
      </c>
      <c r="L712" s="9" t="s">
        <v>205</v>
      </c>
      <c r="M712" s="9" t="s">
        <v>326</v>
      </c>
      <c r="N712" s="9" t="s">
        <v>1429</v>
      </c>
      <c r="O712" s="9" t="s">
        <v>1430</v>
      </c>
      <c r="P712" s="9" t="s">
        <v>144</v>
      </c>
      <c r="Q712" s="9" t="s">
        <v>1186</v>
      </c>
      <c r="R712" s="9" t="s">
        <v>1186</v>
      </c>
      <c r="S712" s="9" t="s">
        <v>472</v>
      </c>
      <c r="T712" s="9" t="s">
        <v>1205</v>
      </c>
      <c r="U712" s="9" t="s">
        <v>148</v>
      </c>
      <c r="V712" s="9" t="s">
        <v>344</v>
      </c>
      <c r="W712" s="9" t="s">
        <v>682</v>
      </c>
      <c r="X712" s="9" t="s">
        <v>1431</v>
      </c>
      <c r="Y712" s="9" t="s">
        <v>1029</v>
      </c>
      <c r="Z712" s="9" t="s">
        <v>461</v>
      </c>
      <c r="AA712" s="9" t="s">
        <v>154</v>
      </c>
      <c r="AB712" s="19" t="n">
        <v>70</v>
      </c>
      <c r="AC712" s="9"/>
      <c r="AD712" s="9"/>
      <c r="AE712" s="9" t="s">
        <v>159</v>
      </c>
    </row>
    <row r="713" customFormat="false" ht="21.75" hidden="false" customHeight="true" outlineLevel="0" collapsed="false">
      <c r="B713" s="14" t="n">
        <v>709</v>
      </c>
      <c r="C713" s="7" t="s">
        <v>53</v>
      </c>
      <c r="D713" s="7" t="s">
        <v>24</v>
      </c>
      <c r="E713" s="7" t="s">
        <v>91</v>
      </c>
      <c r="F713" s="7" t="s">
        <v>61</v>
      </c>
      <c r="G713" s="7" t="s">
        <v>1433</v>
      </c>
      <c r="H713" s="7" t="s">
        <v>157</v>
      </c>
      <c r="I713" s="7" t="s">
        <v>158</v>
      </c>
      <c r="J713" s="7" t="s">
        <v>203</v>
      </c>
      <c r="K713" s="7" t="s">
        <v>488</v>
      </c>
      <c r="L713" s="7" t="s">
        <v>205</v>
      </c>
      <c r="M713" s="7" t="s">
        <v>326</v>
      </c>
      <c r="N713" s="7" t="s">
        <v>1429</v>
      </c>
      <c r="O713" s="7" t="s">
        <v>1430</v>
      </c>
      <c r="P713" s="7" t="s">
        <v>144</v>
      </c>
      <c r="Q713" s="7" t="s">
        <v>1186</v>
      </c>
      <c r="R713" s="7" t="s">
        <v>1186</v>
      </c>
      <c r="S713" s="7" t="s">
        <v>472</v>
      </c>
      <c r="T713" s="7" t="s">
        <v>1205</v>
      </c>
      <c r="U713" s="7" t="s">
        <v>148</v>
      </c>
      <c r="V713" s="7" t="s">
        <v>344</v>
      </c>
      <c r="W713" s="7" t="s">
        <v>682</v>
      </c>
      <c r="X713" s="7" t="s">
        <v>1431</v>
      </c>
      <c r="Y713" s="7" t="s">
        <v>1029</v>
      </c>
      <c r="Z713" s="7" t="s">
        <v>461</v>
      </c>
      <c r="AA713" s="7" t="s">
        <v>154</v>
      </c>
      <c r="AB713" s="18" t="n">
        <v>95</v>
      </c>
      <c r="AC713" s="7"/>
      <c r="AD713" s="7"/>
      <c r="AE713" s="7" t="s">
        <v>1434</v>
      </c>
    </row>
    <row r="714" customFormat="false" ht="21.75" hidden="false" customHeight="true" outlineLevel="0" collapsed="false">
      <c r="B714" s="15" t="n">
        <v>710</v>
      </c>
      <c r="C714" s="9" t="s">
        <v>53</v>
      </c>
      <c r="D714" s="9" t="s">
        <v>24</v>
      </c>
      <c r="E714" s="9" t="s">
        <v>91</v>
      </c>
      <c r="F714" s="9" t="s">
        <v>61</v>
      </c>
      <c r="G714" s="9" t="s">
        <v>1435</v>
      </c>
      <c r="H714" s="9" t="s">
        <v>163</v>
      </c>
      <c r="I714" s="9" t="s">
        <v>164</v>
      </c>
      <c r="J714" s="9" t="s">
        <v>203</v>
      </c>
      <c r="K714" s="9" t="s">
        <v>488</v>
      </c>
      <c r="L714" s="9" t="s">
        <v>205</v>
      </c>
      <c r="M714" s="9" t="s">
        <v>326</v>
      </c>
      <c r="N714" s="9" t="s">
        <v>1429</v>
      </c>
      <c r="O714" s="9" t="s">
        <v>1430</v>
      </c>
      <c r="P714" s="9" t="s">
        <v>144</v>
      </c>
      <c r="Q714" s="9" t="s">
        <v>1186</v>
      </c>
      <c r="R714" s="9" t="s">
        <v>1186</v>
      </c>
      <c r="S714" s="9" t="s">
        <v>472</v>
      </c>
      <c r="T714" s="9" t="s">
        <v>1205</v>
      </c>
      <c r="U714" s="9" t="s">
        <v>148</v>
      </c>
      <c r="V714" s="9" t="s">
        <v>344</v>
      </c>
      <c r="W714" s="9" t="s">
        <v>682</v>
      </c>
      <c r="X714" s="9" t="s">
        <v>1431</v>
      </c>
      <c r="Y714" s="9" t="s">
        <v>1029</v>
      </c>
      <c r="Z714" s="9" t="s">
        <v>461</v>
      </c>
      <c r="AA714" s="9" t="s">
        <v>154</v>
      </c>
      <c r="AB714" s="19" t="n">
        <v>140</v>
      </c>
      <c r="AC714" s="9"/>
      <c r="AD714" s="9"/>
      <c r="AE714" s="9" t="s">
        <v>165</v>
      </c>
    </row>
    <row r="715" customFormat="false" ht="21.75" hidden="false" customHeight="true" outlineLevel="0" collapsed="false">
      <c r="B715" s="14" t="n">
        <v>711</v>
      </c>
      <c r="C715" s="7" t="s">
        <v>53</v>
      </c>
      <c r="D715" s="7" t="s">
        <v>24</v>
      </c>
      <c r="E715" s="7" t="s">
        <v>91</v>
      </c>
      <c r="F715" s="7" t="s">
        <v>61</v>
      </c>
      <c r="G715" s="7" t="s">
        <v>1436</v>
      </c>
      <c r="H715" s="7" t="s">
        <v>163</v>
      </c>
      <c r="I715" s="7" t="s">
        <v>164</v>
      </c>
      <c r="J715" s="7" t="s">
        <v>203</v>
      </c>
      <c r="K715" s="7" t="s">
        <v>488</v>
      </c>
      <c r="L715" s="7" t="s">
        <v>205</v>
      </c>
      <c r="M715" s="7" t="s">
        <v>326</v>
      </c>
      <c r="N715" s="7" t="s">
        <v>1429</v>
      </c>
      <c r="O715" s="7" t="s">
        <v>1430</v>
      </c>
      <c r="P715" s="7" t="s">
        <v>144</v>
      </c>
      <c r="Q715" s="7" t="s">
        <v>1186</v>
      </c>
      <c r="R715" s="7" t="s">
        <v>1186</v>
      </c>
      <c r="S715" s="7" t="s">
        <v>472</v>
      </c>
      <c r="T715" s="7" t="s">
        <v>1205</v>
      </c>
      <c r="U715" s="7" t="s">
        <v>148</v>
      </c>
      <c r="V715" s="7" t="s">
        <v>344</v>
      </c>
      <c r="W715" s="7" t="s">
        <v>682</v>
      </c>
      <c r="X715" s="7" t="s">
        <v>1431</v>
      </c>
      <c r="Y715" s="7" t="s">
        <v>1029</v>
      </c>
      <c r="Z715" s="7" t="s">
        <v>461</v>
      </c>
      <c r="AA715" s="7" t="s">
        <v>154</v>
      </c>
      <c r="AB715" s="18" t="n">
        <v>210</v>
      </c>
      <c r="AC715" s="7"/>
      <c r="AD715" s="7"/>
      <c r="AE715" s="7" t="s">
        <v>167</v>
      </c>
    </row>
    <row r="716" customFormat="false" ht="21.75" hidden="false" customHeight="true" outlineLevel="0" collapsed="false">
      <c r="B716" s="15" t="n">
        <v>712</v>
      </c>
      <c r="C716" s="9" t="s">
        <v>53</v>
      </c>
      <c r="D716" s="9" t="s">
        <v>24</v>
      </c>
      <c r="E716" s="9" t="s">
        <v>91</v>
      </c>
      <c r="F716" s="9" t="s">
        <v>62</v>
      </c>
      <c r="G716" s="9" t="s">
        <v>1437</v>
      </c>
      <c r="H716" s="9" t="s">
        <v>136</v>
      </c>
      <c r="I716" s="9" t="s">
        <v>137</v>
      </c>
      <c r="J716" s="9" t="s">
        <v>203</v>
      </c>
      <c r="K716" s="9" t="s">
        <v>481</v>
      </c>
      <c r="L716" s="9" t="s">
        <v>205</v>
      </c>
      <c r="M716" s="9" t="s">
        <v>326</v>
      </c>
      <c r="N716" s="9" t="s">
        <v>1438</v>
      </c>
      <c r="O716" s="9" t="s">
        <v>1430</v>
      </c>
      <c r="P716" s="9" t="s">
        <v>144</v>
      </c>
      <c r="Q716" s="9" t="s">
        <v>1186</v>
      </c>
      <c r="R716" s="9" t="s">
        <v>1186</v>
      </c>
      <c r="S716" s="9" t="s">
        <v>472</v>
      </c>
      <c r="T716" s="9" t="s">
        <v>570</v>
      </c>
      <c r="U716" s="9" t="s">
        <v>148</v>
      </c>
      <c r="V716" s="9" t="s">
        <v>380</v>
      </c>
      <c r="W716" s="9" t="s">
        <v>682</v>
      </c>
      <c r="X716" s="9" t="s">
        <v>1439</v>
      </c>
      <c r="Y716" s="9" t="s">
        <v>491</v>
      </c>
      <c r="Z716" s="9" t="s">
        <v>461</v>
      </c>
      <c r="AA716" s="9" t="s">
        <v>154</v>
      </c>
      <c r="AB716" s="19" t="n">
        <v>65</v>
      </c>
      <c r="AC716" s="9"/>
      <c r="AD716" s="9"/>
      <c r="AE716" s="9" t="s">
        <v>155</v>
      </c>
    </row>
    <row r="717" customFormat="false" ht="21.75" hidden="false" customHeight="true" outlineLevel="0" collapsed="false">
      <c r="B717" s="14" t="n">
        <v>713</v>
      </c>
      <c r="C717" s="7" t="s">
        <v>53</v>
      </c>
      <c r="D717" s="7" t="s">
        <v>24</v>
      </c>
      <c r="E717" s="7" t="s">
        <v>91</v>
      </c>
      <c r="F717" s="7" t="s">
        <v>62</v>
      </c>
      <c r="G717" s="7" t="s">
        <v>1440</v>
      </c>
      <c r="H717" s="7" t="s">
        <v>157</v>
      </c>
      <c r="I717" s="7" t="s">
        <v>158</v>
      </c>
      <c r="J717" s="7" t="s">
        <v>203</v>
      </c>
      <c r="K717" s="7" t="s">
        <v>481</v>
      </c>
      <c r="L717" s="7" t="s">
        <v>205</v>
      </c>
      <c r="M717" s="7" t="s">
        <v>326</v>
      </c>
      <c r="N717" s="7" t="s">
        <v>1438</v>
      </c>
      <c r="O717" s="7" t="s">
        <v>1430</v>
      </c>
      <c r="P717" s="7" t="s">
        <v>144</v>
      </c>
      <c r="Q717" s="7" t="s">
        <v>1186</v>
      </c>
      <c r="R717" s="7" t="s">
        <v>1186</v>
      </c>
      <c r="S717" s="7" t="s">
        <v>472</v>
      </c>
      <c r="T717" s="7" t="s">
        <v>570</v>
      </c>
      <c r="U717" s="7" t="s">
        <v>148</v>
      </c>
      <c r="V717" s="7" t="s">
        <v>380</v>
      </c>
      <c r="W717" s="7" t="s">
        <v>682</v>
      </c>
      <c r="X717" s="7" t="s">
        <v>1439</v>
      </c>
      <c r="Y717" s="7" t="s">
        <v>491</v>
      </c>
      <c r="Z717" s="7" t="s">
        <v>461</v>
      </c>
      <c r="AA717" s="7" t="s">
        <v>154</v>
      </c>
      <c r="AB717" s="18" t="n">
        <v>100</v>
      </c>
      <c r="AC717" s="7"/>
      <c r="AD717" s="7"/>
      <c r="AE717" s="7" t="s">
        <v>159</v>
      </c>
    </row>
    <row r="718" customFormat="false" ht="21.75" hidden="false" customHeight="true" outlineLevel="0" collapsed="false">
      <c r="B718" s="15" t="n">
        <v>714</v>
      </c>
      <c r="C718" s="9" t="s">
        <v>53</v>
      </c>
      <c r="D718" s="9" t="s">
        <v>24</v>
      </c>
      <c r="E718" s="9" t="s">
        <v>91</v>
      </c>
      <c r="F718" s="9" t="s">
        <v>62</v>
      </c>
      <c r="G718" s="9" t="s">
        <v>1441</v>
      </c>
      <c r="H718" s="9" t="s">
        <v>157</v>
      </c>
      <c r="I718" s="9" t="s">
        <v>158</v>
      </c>
      <c r="J718" s="9" t="s">
        <v>203</v>
      </c>
      <c r="K718" s="9" t="s">
        <v>481</v>
      </c>
      <c r="L718" s="9" t="s">
        <v>205</v>
      </c>
      <c r="M718" s="9" t="s">
        <v>326</v>
      </c>
      <c r="N718" s="9" t="s">
        <v>1438</v>
      </c>
      <c r="O718" s="9" t="s">
        <v>1430</v>
      </c>
      <c r="P718" s="9" t="s">
        <v>144</v>
      </c>
      <c r="Q718" s="9" t="s">
        <v>1186</v>
      </c>
      <c r="R718" s="9" t="s">
        <v>1186</v>
      </c>
      <c r="S718" s="9" t="s">
        <v>472</v>
      </c>
      <c r="T718" s="9" t="s">
        <v>570</v>
      </c>
      <c r="U718" s="9" t="s">
        <v>148</v>
      </c>
      <c r="V718" s="9" t="s">
        <v>380</v>
      </c>
      <c r="W718" s="9" t="s">
        <v>682</v>
      </c>
      <c r="X718" s="9" t="s">
        <v>1439</v>
      </c>
      <c r="Y718" s="9" t="s">
        <v>491</v>
      </c>
      <c r="Z718" s="9" t="s">
        <v>461</v>
      </c>
      <c r="AA718" s="9" t="s">
        <v>154</v>
      </c>
      <c r="AB718" s="19" t="n">
        <v>130</v>
      </c>
      <c r="AC718" s="9"/>
      <c r="AD718" s="9"/>
      <c r="AE718" s="9" t="s">
        <v>1198</v>
      </c>
    </row>
    <row r="719" customFormat="false" ht="21.75" hidden="false" customHeight="true" outlineLevel="0" collapsed="false">
      <c r="B719" s="14" t="n">
        <v>715</v>
      </c>
      <c r="C719" s="7" t="s">
        <v>53</v>
      </c>
      <c r="D719" s="7" t="s">
        <v>24</v>
      </c>
      <c r="E719" s="7" t="s">
        <v>91</v>
      </c>
      <c r="F719" s="7" t="s">
        <v>62</v>
      </c>
      <c r="G719" s="7" t="s">
        <v>1442</v>
      </c>
      <c r="H719" s="7" t="s">
        <v>163</v>
      </c>
      <c r="I719" s="7" t="s">
        <v>164</v>
      </c>
      <c r="J719" s="7" t="s">
        <v>203</v>
      </c>
      <c r="K719" s="7" t="s">
        <v>481</v>
      </c>
      <c r="L719" s="7" t="s">
        <v>205</v>
      </c>
      <c r="M719" s="7" t="s">
        <v>326</v>
      </c>
      <c r="N719" s="7" t="s">
        <v>1438</v>
      </c>
      <c r="O719" s="7" t="s">
        <v>1430</v>
      </c>
      <c r="P719" s="7" t="s">
        <v>144</v>
      </c>
      <c r="Q719" s="7" t="s">
        <v>1186</v>
      </c>
      <c r="R719" s="7" t="s">
        <v>1186</v>
      </c>
      <c r="S719" s="7" t="s">
        <v>472</v>
      </c>
      <c r="T719" s="7" t="s">
        <v>570</v>
      </c>
      <c r="U719" s="7" t="s">
        <v>148</v>
      </c>
      <c r="V719" s="7" t="s">
        <v>380</v>
      </c>
      <c r="W719" s="7" t="s">
        <v>682</v>
      </c>
      <c r="X719" s="7" t="s">
        <v>1439</v>
      </c>
      <c r="Y719" s="7" t="s">
        <v>491</v>
      </c>
      <c r="Z719" s="7" t="s">
        <v>461</v>
      </c>
      <c r="AA719" s="7" t="s">
        <v>154</v>
      </c>
      <c r="AB719" s="18" t="n">
        <v>195</v>
      </c>
      <c r="AC719" s="7"/>
      <c r="AD719" s="7"/>
      <c r="AE719" s="7" t="s">
        <v>165</v>
      </c>
    </row>
    <row r="720" customFormat="false" ht="21.75" hidden="false" customHeight="true" outlineLevel="0" collapsed="false">
      <c r="B720" s="15" t="n">
        <v>716</v>
      </c>
      <c r="C720" s="9" t="s">
        <v>53</v>
      </c>
      <c r="D720" s="9" t="s">
        <v>24</v>
      </c>
      <c r="E720" s="9" t="s">
        <v>91</v>
      </c>
      <c r="F720" s="9" t="s">
        <v>62</v>
      </c>
      <c r="G720" s="9" t="s">
        <v>1443</v>
      </c>
      <c r="H720" s="9" t="s">
        <v>163</v>
      </c>
      <c r="I720" s="9" t="s">
        <v>164</v>
      </c>
      <c r="J720" s="9" t="s">
        <v>203</v>
      </c>
      <c r="K720" s="9" t="s">
        <v>481</v>
      </c>
      <c r="L720" s="9" t="s">
        <v>205</v>
      </c>
      <c r="M720" s="9" t="s">
        <v>326</v>
      </c>
      <c r="N720" s="9" t="s">
        <v>1438</v>
      </c>
      <c r="O720" s="9" t="s">
        <v>1430</v>
      </c>
      <c r="P720" s="9" t="s">
        <v>144</v>
      </c>
      <c r="Q720" s="9" t="s">
        <v>1186</v>
      </c>
      <c r="R720" s="9" t="s">
        <v>1186</v>
      </c>
      <c r="S720" s="9" t="s">
        <v>472</v>
      </c>
      <c r="T720" s="9" t="s">
        <v>570</v>
      </c>
      <c r="U720" s="9" t="s">
        <v>148</v>
      </c>
      <c r="V720" s="9" t="s">
        <v>380</v>
      </c>
      <c r="W720" s="9" t="s">
        <v>682</v>
      </c>
      <c r="X720" s="9" t="s">
        <v>1439</v>
      </c>
      <c r="Y720" s="9" t="s">
        <v>491</v>
      </c>
      <c r="Z720" s="9" t="s">
        <v>461</v>
      </c>
      <c r="AA720" s="9" t="s">
        <v>154</v>
      </c>
      <c r="AB720" s="19" t="n">
        <v>285</v>
      </c>
      <c r="AC720" s="9"/>
      <c r="AD720" s="9"/>
      <c r="AE720" s="9" t="s">
        <v>167</v>
      </c>
    </row>
    <row r="721" customFormat="false" ht="21.75" hidden="false" customHeight="true" outlineLevel="0" collapsed="false">
      <c r="B721" s="14" t="n">
        <v>717</v>
      </c>
      <c r="C721" s="7" t="s">
        <v>53</v>
      </c>
      <c r="D721" s="7" t="s">
        <v>24</v>
      </c>
      <c r="E721" s="7" t="s">
        <v>91</v>
      </c>
      <c r="F721" s="7" t="s">
        <v>63</v>
      </c>
      <c r="G721" s="7" t="s">
        <v>1444</v>
      </c>
      <c r="H721" s="7" t="s">
        <v>136</v>
      </c>
      <c r="I721" s="7" t="s">
        <v>137</v>
      </c>
      <c r="J721" s="7" t="s">
        <v>203</v>
      </c>
      <c r="K721" s="7" t="s">
        <v>488</v>
      </c>
      <c r="L721" s="7" t="s">
        <v>205</v>
      </c>
      <c r="M721" s="7" t="s">
        <v>326</v>
      </c>
      <c r="N721" s="7" t="s">
        <v>772</v>
      </c>
      <c r="O721" s="7" t="s">
        <v>1430</v>
      </c>
      <c r="P721" s="7" t="s">
        <v>144</v>
      </c>
      <c r="Q721" s="7" t="s">
        <v>1186</v>
      </c>
      <c r="R721" s="7" t="s">
        <v>1186</v>
      </c>
      <c r="S721" s="7" t="s">
        <v>472</v>
      </c>
      <c r="T721" s="7" t="s">
        <v>1205</v>
      </c>
      <c r="U721" s="7" t="s">
        <v>148</v>
      </c>
      <c r="V721" s="7" t="s">
        <v>344</v>
      </c>
      <c r="W721" s="7" t="s">
        <v>682</v>
      </c>
      <c r="X721" s="7" t="s">
        <v>1445</v>
      </c>
      <c r="Y721" s="7" t="s">
        <v>1446</v>
      </c>
      <c r="Z721" s="7" t="s">
        <v>461</v>
      </c>
      <c r="AA721" s="7" t="s">
        <v>183</v>
      </c>
      <c r="AB721" s="18" t="n">
        <v>60</v>
      </c>
      <c r="AC721" s="7"/>
      <c r="AD721" s="7"/>
      <c r="AE721" s="7" t="s">
        <v>155</v>
      </c>
    </row>
    <row r="722" customFormat="false" ht="21.75" hidden="false" customHeight="true" outlineLevel="0" collapsed="false">
      <c r="B722" s="15" t="n">
        <v>718</v>
      </c>
      <c r="C722" s="9" t="s">
        <v>53</v>
      </c>
      <c r="D722" s="9" t="s">
        <v>24</v>
      </c>
      <c r="E722" s="9" t="s">
        <v>91</v>
      </c>
      <c r="F722" s="9" t="s">
        <v>63</v>
      </c>
      <c r="G722" s="9" t="s">
        <v>1447</v>
      </c>
      <c r="H722" s="9" t="s">
        <v>157</v>
      </c>
      <c r="I722" s="9" t="s">
        <v>158</v>
      </c>
      <c r="J722" s="9" t="s">
        <v>203</v>
      </c>
      <c r="K722" s="9" t="s">
        <v>488</v>
      </c>
      <c r="L722" s="9" t="s">
        <v>205</v>
      </c>
      <c r="M722" s="9" t="s">
        <v>326</v>
      </c>
      <c r="N722" s="9" t="s">
        <v>772</v>
      </c>
      <c r="O722" s="9" t="s">
        <v>1430</v>
      </c>
      <c r="P722" s="9" t="s">
        <v>144</v>
      </c>
      <c r="Q722" s="9" t="s">
        <v>1186</v>
      </c>
      <c r="R722" s="9" t="s">
        <v>1186</v>
      </c>
      <c r="S722" s="9" t="s">
        <v>472</v>
      </c>
      <c r="T722" s="9" t="s">
        <v>1205</v>
      </c>
      <c r="U722" s="9" t="s">
        <v>148</v>
      </c>
      <c r="V722" s="9" t="s">
        <v>344</v>
      </c>
      <c r="W722" s="9" t="s">
        <v>682</v>
      </c>
      <c r="X722" s="9" t="s">
        <v>1445</v>
      </c>
      <c r="Y722" s="9" t="s">
        <v>1446</v>
      </c>
      <c r="Z722" s="9" t="s">
        <v>461</v>
      </c>
      <c r="AA722" s="9" t="s">
        <v>183</v>
      </c>
      <c r="AB722" s="19" t="n">
        <v>85</v>
      </c>
      <c r="AC722" s="9"/>
      <c r="AD722" s="9"/>
      <c r="AE722" s="9" t="s">
        <v>159</v>
      </c>
    </row>
    <row r="723" customFormat="false" ht="21.75" hidden="false" customHeight="true" outlineLevel="0" collapsed="false">
      <c r="B723" s="14" t="n">
        <v>719</v>
      </c>
      <c r="C723" s="7" t="s">
        <v>53</v>
      </c>
      <c r="D723" s="7" t="s">
        <v>24</v>
      </c>
      <c r="E723" s="7" t="s">
        <v>91</v>
      </c>
      <c r="F723" s="7" t="s">
        <v>63</v>
      </c>
      <c r="G723" s="7" t="s">
        <v>1448</v>
      </c>
      <c r="H723" s="7" t="s">
        <v>157</v>
      </c>
      <c r="I723" s="7" t="s">
        <v>158</v>
      </c>
      <c r="J723" s="7" t="s">
        <v>203</v>
      </c>
      <c r="K723" s="7" t="s">
        <v>488</v>
      </c>
      <c r="L723" s="7" t="s">
        <v>205</v>
      </c>
      <c r="M723" s="7" t="s">
        <v>326</v>
      </c>
      <c r="N723" s="7" t="s">
        <v>772</v>
      </c>
      <c r="O723" s="7" t="s">
        <v>1430</v>
      </c>
      <c r="P723" s="7" t="s">
        <v>144</v>
      </c>
      <c r="Q723" s="7" t="s">
        <v>1186</v>
      </c>
      <c r="R723" s="7" t="s">
        <v>1186</v>
      </c>
      <c r="S723" s="7" t="s">
        <v>472</v>
      </c>
      <c r="T723" s="7" t="s">
        <v>1205</v>
      </c>
      <c r="U723" s="7" t="s">
        <v>148</v>
      </c>
      <c r="V723" s="7" t="s">
        <v>344</v>
      </c>
      <c r="W723" s="7" t="s">
        <v>682</v>
      </c>
      <c r="X723" s="7" t="s">
        <v>1445</v>
      </c>
      <c r="Y723" s="7" t="s">
        <v>1446</v>
      </c>
      <c r="Z723" s="7" t="s">
        <v>461</v>
      </c>
      <c r="AA723" s="7" t="s">
        <v>183</v>
      </c>
      <c r="AB723" s="18" t="n">
        <v>115</v>
      </c>
      <c r="AC723" s="7"/>
      <c r="AD723" s="7"/>
      <c r="AE723" s="7" t="s">
        <v>1449</v>
      </c>
    </row>
    <row r="724" customFormat="false" ht="21.75" hidden="false" customHeight="true" outlineLevel="0" collapsed="false">
      <c r="B724" s="15" t="n">
        <v>720</v>
      </c>
      <c r="C724" s="9" t="s">
        <v>53</v>
      </c>
      <c r="D724" s="9" t="s">
        <v>24</v>
      </c>
      <c r="E724" s="9" t="s">
        <v>91</v>
      </c>
      <c r="F724" s="9" t="s">
        <v>63</v>
      </c>
      <c r="G724" s="9" t="s">
        <v>1450</v>
      </c>
      <c r="H724" s="9" t="s">
        <v>163</v>
      </c>
      <c r="I724" s="9" t="s">
        <v>164</v>
      </c>
      <c r="J724" s="9" t="s">
        <v>203</v>
      </c>
      <c r="K724" s="9" t="s">
        <v>488</v>
      </c>
      <c r="L724" s="9" t="s">
        <v>205</v>
      </c>
      <c r="M724" s="9" t="s">
        <v>326</v>
      </c>
      <c r="N724" s="9" t="s">
        <v>772</v>
      </c>
      <c r="O724" s="9" t="s">
        <v>1430</v>
      </c>
      <c r="P724" s="9" t="s">
        <v>144</v>
      </c>
      <c r="Q724" s="9" t="s">
        <v>1186</v>
      </c>
      <c r="R724" s="9" t="s">
        <v>1186</v>
      </c>
      <c r="S724" s="9" t="s">
        <v>472</v>
      </c>
      <c r="T724" s="9" t="s">
        <v>1205</v>
      </c>
      <c r="U724" s="9" t="s">
        <v>148</v>
      </c>
      <c r="V724" s="9" t="s">
        <v>344</v>
      </c>
      <c r="W724" s="9" t="s">
        <v>682</v>
      </c>
      <c r="X724" s="9" t="s">
        <v>1445</v>
      </c>
      <c r="Y724" s="9" t="s">
        <v>1446</v>
      </c>
      <c r="Z724" s="9" t="s">
        <v>461</v>
      </c>
      <c r="AA724" s="9" t="s">
        <v>183</v>
      </c>
      <c r="AB724" s="19" t="n">
        <v>170</v>
      </c>
      <c r="AC724" s="9"/>
      <c r="AD724" s="9"/>
      <c r="AE724" s="9" t="s">
        <v>165</v>
      </c>
    </row>
    <row r="725" customFormat="false" ht="21.75" hidden="false" customHeight="true" outlineLevel="0" collapsed="false">
      <c r="B725" s="14" t="n">
        <v>721</v>
      </c>
      <c r="C725" s="7" t="s">
        <v>53</v>
      </c>
      <c r="D725" s="7" t="s">
        <v>24</v>
      </c>
      <c r="E725" s="7" t="s">
        <v>91</v>
      </c>
      <c r="F725" s="7" t="s">
        <v>63</v>
      </c>
      <c r="G725" s="7" t="s">
        <v>1451</v>
      </c>
      <c r="H725" s="7" t="s">
        <v>163</v>
      </c>
      <c r="I725" s="7" t="s">
        <v>164</v>
      </c>
      <c r="J725" s="7" t="s">
        <v>203</v>
      </c>
      <c r="K725" s="7" t="s">
        <v>488</v>
      </c>
      <c r="L725" s="7" t="s">
        <v>205</v>
      </c>
      <c r="M725" s="7" t="s">
        <v>326</v>
      </c>
      <c r="N725" s="7" t="s">
        <v>772</v>
      </c>
      <c r="O725" s="7" t="s">
        <v>1430</v>
      </c>
      <c r="P725" s="7" t="s">
        <v>144</v>
      </c>
      <c r="Q725" s="7" t="s">
        <v>1186</v>
      </c>
      <c r="R725" s="7" t="s">
        <v>1186</v>
      </c>
      <c r="S725" s="7" t="s">
        <v>472</v>
      </c>
      <c r="T725" s="7" t="s">
        <v>1205</v>
      </c>
      <c r="U725" s="7" t="s">
        <v>148</v>
      </c>
      <c r="V725" s="7" t="s">
        <v>344</v>
      </c>
      <c r="W725" s="7" t="s">
        <v>682</v>
      </c>
      <c r="X725" s="7" t="s">
        <v>1445</v>
      </c>
      <c r="Y725" s="7" t="s">
        <v>1446</v>
      </c>
      <c r="Z725" s="7" t="s">
        <v>461</v>
      </c>
      <c r="AA725" s="7" t="s">
        <v>183</v>
      </c>
      <c r="AB725" s="18" t="n">
        <v>255</v>
      </c>
      <c r="AC725" s="7"/>
      <c r="AD725" s="7"/>
      <c r="AE725" s="7" t="s">
        <v>167</v>
      </c>
    </row>
    <row r="726" customFormat="false" ht="21.75" hidden="false" customHeight="true" outlineLevel="0" collapsed="false">
      <c r="B726" s="15" t="n">
        <v>722</v>
      </c>
      <c r="C726" s="9" t="s">
        <v>53</v>
      </c>
      <c r="D726" s="9" t="s">
        <v>24</v>
      </c>
      <c r="E726" s="9" t="s">
        <v>91</v>
      </c>
      <c r="F726" s="9" t="s">
        <v>64</v>
      </c>
      <c r="G726" s="9" t="s">
        <v>1452</v>
      </c>
      <c r="H726" s="9" t="s">
        <v>136</v>
      </c>
      <c r="I726" s="9" t="s">
        <v>137</v>
      </c>
      <c r="J726" s="9" t="s">
        <v>203</v>
      </c>
      <c r="K726" s="9" t="s">
        <v>1344</v>
      </c>
      <c r="L726" s="9" t="s">
        <v>623</v>
      </c>
      <c r="M726" s="9" t="s">
        <v>326</v>
      </c>
      <c r="N726" s="9" t="s">
        <v>511</v>
      </c>
      <c r="O726" s="9" t="s">
        <v>1430</v>
      </c>
      <c r="P726" s="9" t="s">
        <v>144</v>
      </c>
      <c r="Q726" s="9" t="s">
        <v>1186</v>
      </c>
      <c r="R726" s="9" t="s">
        <v>1186</v>
      </c>
      <c r="S726" s="9" t="s">
        <v>472</v>
      </c>
      <c r="T726" s="9" t="s">
        <v>356</v>
      </c>
      <c r="U726" s="9" t="s">
        <v>194</v>
      </c>
      <c r="V726" s="9" t="s">
        <v>296</v>
      </c>
      <c r="W726" s="9" t="s">
        <v>682</v>
      </c>
      <c r="X726" s="9" t="s">
        <v>1453</v>
      </c>
      <c r="Y726" s="9" t="s">
        <v>554</v>
      </c>
      <c r="Z726" s="9" t="s">
        <v>461</v>
      </c>
      <c r="AA726" s="9" t="s">
        <v>183</v>
      </c>
      <c r="AB726" s="19" t="n">
        <v>190</v>
      </c>
      <c r="AC726" s="9"/>
      <c r="AD726" s="9"/>
      <c r="AE726" s="9" t="s">
        <v>155</v>
      </c>
    </row>
    <row r="727" customFormat="false" ht="21.75" hidden="false" customHeight="true" outlineLevel="0" collapsed="false">
      <c r="B727" s="14" t="n">
        <v>723</v>
      </c>
      <c r="C727" s="7" t="s">
        <v>53</v>
      </c>
      <c r="D727" s="7" t="s">
        <v>24</v>
      </c>
      <c r="E727" s="7" t="s">
        <v>91</v>
      </c>
      <c r="F727" s="7" t="s">
        <v>64</v>
      </c>
      <c r="G727" s="7" t="s">
        <v>1454</v>
      </c>
      <c r="H727" s="7" t="s">
        <v>136</v>
      </c>
      <c r="I727" s="7" t="s">
        <v>137</v>
      </c>
      <c r="J727" s="7" t="s">
        <v>203</v>
      </c>
      <c r="K727" s="7" t="s">
        <v>1344</v>
      </c>
      <c r="L727" s="7" t="s">
        <v>623</v>
      </c>
      <c r="M727" s="7" t="s">
        <v>326</v>
      </c>
      <c r="N727" s="7" t="s">
        <v>511</v>
      </c>
      <c r="O727" s="7" t="s">
        <v>1430</v>
      </c>
      <c r="P727" s="7" t="s">
        <v>144</v>
      </c>
      <c r="Q727" s="7" t="s">
        <v>1186</v>
      </c>
      <c r="R727" s="7" t="s">
        <v>1186</v>
      </c>
      <c r="S727" s="7" t="s">
        <v>472</v>
      </c>
      <c r="T727" s="7" t="s">
        <v>356</v>
      </c>
      <c r="U727" s="7" t="s">
        <v>194</v>
      </c>
      <c r="V727" s="7" t="s">
        <v>296</v>
      </c>
      <c r="W727" s="7" t="s">
        <v>682</v>
      </c>
      <c r="X727" s="7" t="s">
        <v>1453</v>
      </c>
      <c r="Y727" s="7" t="s">
        <v>554</v>
      </c>
      <c r="Z727" s="7" t="s">
        <v>461</v>
      </c>
      <c r="AA727" s="7" t="s">
        <v>183</v>
      </c>
      <c r="AB727" s="18" t="n">
        <v>285</v>
      </c>
      <c r="AC727" s="7"/>
      <c r="AD727" s="7"/>
      <c r="AE727" s="7" t="s">
        <v>159</v>
      </c>
    </row>
    <row r="728" customFormat="false" ht="21.75" hidden="false" customHeight="true" outlineLevel="0" collapsed="false">
      <c r="B728" s="15" t="n">
        <v>724</v>
      </c>
      <c r="C728" s="9" t="s">
        <v>53</v>
      </c>
      <c r="D728" s="9" t="s">
        <v>24</v>
      </c>
      <c r="E728" s="9" t="s">
        <v>91</v>
      </c>
      <c r="F728" s="9" t="s">
        <v>64</v>
      </c>
      <c r="G728" s="9" t="s">
        <v>1455</v>
      </c>
      <c r="H728" s="9" t="s">
        <v>157</v>
      </c>
      <c r="I728" s="9" t="s">
        <v>158</v>
      </c>
      <c r="J728" s="9" t="s">
        <v>203</v>
      </c>
      <c r="K728" s="9" t="s">
        <v>1344</v>
      </c>
      <c r="L728" s="9" t="s">
        <v>623</v>
      </c>
      <c r="M728" s="9" t="s">
        <v>326</v>
      </c>
      <c r="N728" s="9" t="s">
        <v>511</v>
      </c>
      <c r="O728" s="9" t="s">
        <v>1430</v>
      </c>
      <c r="P728" s="9" t="s">
        <v>144</v>
      </c>
      <c r="Q728" s="9" t="s">
        <v>1186</v>
      </c>
      <c r="R728" s="9" t="s">
        <v>1186</v>
      </c>
      <c r="S728" s="9" t="s">
        <v>472</v>
      </c>
      <c r="T728" s="9" t="s">
        <v>356</v>
      </c>
      <c r="U728" s="9" t="s">
        <v>194</v>
      </c>
      <c r="V728" s="9" t="s">
        <v>296</v>
      </c>
      <c r="W728" s="9" t="s">
        <v>682</v>
      </c>
      <c r="X728" s="9" t="s">
        <v>1453</v>
      </c>
      <c r="Y728" s="9" t="s">
        <v>554</v>
      </c>
      <c r="Z728" s="9" t="s">
        <v>461</v>
      </c>
      <c r="AA728" s="9" t="s">
        <v>183</v>
      </c>
      <c r="AB728" s="19" t="n">
        <v>380</v>
      </c>
      <c r="AC728" s="9"/>
      <c r="AD728" s="9"/>
      <c r="AE728" s="9" t="s">
        <v>1456</v>
      </c>
    </row>
    <row r="729" customFormat="false" ht="21.75" hidden="false" customHeight="true" outlineLevel="0" collapsed="false">
      <c r="B729" s="14" t="n">
        <v>725</v>
      </c>
      <c r="C729" s="7" t="s">
        <v>53</v>
      </c>
      <c r="D729" s="7" t="s">
        <v>24</v>
      </c>
      <c r="E729" s="7" t="s">
        <v>91</v>
      </c>
      <c r="F729" s="7" t="s">
        <v>64</v>
      </c>
      <c r="G729" s="7" t="s">
        <v>1457</v>
      </c>
      <c r="H729" s="7" t="s">
        <v>157</v>
      </c>
      <c r="I729" s="7" t="s">
        <v>158</v>
      </c>
      <c r="J729" s="7" t="s">
        <v>203</v>
      </c>
      <c r="K729" s="7" t="s">
        <v>1344</v>
      </c>
      <c r="L729" s="7" t="s">
        <v>623</v>
      </c>
      <c r="M729" s="7" t="s">
        <v>326</v>
      </c>
      <c r="N729" s="7" t="s">
        <v>511</v>
      </c>
      <c r="O729" s="7" t="s">
        <v>1430</v>
      </c>
      <c r="P729" s="7" t="s">
        <v>144</v>
      </c>
      <c r="Q729" s="7" t="s">
        <v>1186</v>
      </c>
      <c r="R729" s="7" t="s">
        <v>1186</v>
      </c>
      <c r="S729" s="7" t="s">
        <v>472</v>
      </c>
      <c r="T729" s="7" t="s">
        <v>356</v>
      </c>
      <c r="U729" s="7" t="s">
        <v>194</v>
      </c>
      <c r="V729" s="7" t="s">
        <v>296</v>
      </c>
      <c r="W729" s="7" t="s">
        <v>682</v>
      </c>
      <c r="X729" s="7" t="s">
        <v>1453</v>
      </c>
      <c r="Y729" s="7" t="s">
        <v>554</v>
      </c>
      <c r="Z729" s="7" t="s">
        <v>461</v>
      </c>
      <c r="AA729" s="7" t="s">
        <v>183</v>
      </c>
      <c r="AB729" s="18" t="n">
        <v>570</v>
      </c>
      <c r="AC729" s="7"/>
      <c r="AD729" s="7"/>
      <c r="AE729" s="7" t="s">
        <v>165</v>
      </c>
    </row>
    <row r="730" customFormat="false" ht="21.75" hidden="false" customHeight="true" outlineLevel="0" collapsed="false">
      <c r="B730" s="15" t="n">
        <v>726</v>
      </c>
      <c r="C730" s="9" t="s">
        <v>53</v>
      </c>
      <c r="D730" s="9" t="s">
        <v>24</v>
      </c>
      <c r="E730" s="9" t="s">
        <v>91</v>
      </c>
      <c r="F730" s="9" t="s">
        <v>64</v>
      </c>
      <c r="G730" s="9" t="s">
        <v>1458</v>
      </c>
      <c r="H730" s="9" t="s">
        <v>163</v>
      </c>
      <c r="I730" s="9" t="s">
        <v>164</v>
      </c>
      <c r="J730" s="9" t="s">
        <v>203</v>
      </c>
      <c r="K730" s="9" t="s">
        <v>1344</v>
      </c>
      <c r="L730" s="9" t="s">
        <v>623</v>
      </c>
      <c r="M730" s="9" t="s">
        <v>326</v>
      </c>
      <c r="N730" s="9" t="s">
        <v>511</v>
      </c>
      <c r="O730" s="9" t="s">
        <v>1430</v>
      </c>
      <c r="P730" s="9" t="s">
        <v>144</v>
      </c>
      <c r="Q730" s="9" t="s">
        <v>1186</v>
      </c>
      <c r="R730" s="9" t="s">
        <v>1186</v>
      </c>
      <c r="S730" s="9" t="s">
        <v>472</v>
      </c>
      <c r="T730" s="9" t="s">
        <v>356</v>
      </c>
      <c r="U730" s="9" t="s">
        <v>194</v>
      </c>
      <c r="V730" s="9" t="s">
        <v>296</v>
      </c>
      <c r="W730" s="9" t="s">
        <v>682</v>
      </c>
      <c r="X730" s="9" t="s">
        <v>1453</v>
      </c>
      <c r="Y730" s="9" t="s">
        <v>554</v>
      </c>
      <c r="Z730" s="9" t="s">
        <v>461</v>
      </c>
      <c r="AA730" s="9" t="s">
        <v>183</v>
      </c>
      <c r="AB730" s="19" t="n">
        <v>835</v>
      </c>
      <c r="AC730" s="9"/>
      <c r="AD730" s="9"/>
      <c r="AE730" s="9" t="s">
        <v>167</v>
      </c>
    </row>
    <row r="731" customFormat="false" ht="21.75" hidden="false" customHeight="true" outlineLevel="0" collapsed="false">
      <c r="B731" s="14" t="n">
        <v>727</v>
      </c>
      <c r="C731" s="7" t="s">
        <v>53</v>
      </c>
      <c r="D731" s="7" t="s">
        <v>24</v>
      </c>
      <c r="E731" s="7" t="s">
        <v>91</v>
      </c>
      <c r="F731" s="7" t="s">
        <v>65</v>
      </c>
      <c r="G731" s="7" t="s">
        <v>1459</v>
      </c>
      <c r="H731" s="7" t="s">
        <v>136</v>
      </c>
      <c r="I731" s="7" t="s">
        <v>137</v>
      </c>
      <c r="J731" s="7" t="s">
        <v>203</v>
      </c>
      <c r="K731" s="7" t="s">
        <v>1460</v>
      </c>
      <c r="L731" s="7" t="s">
        <v>1281</v>
      </c>
      <c r="M731" s="7" t="s">
        <v>326</v>
      </c>
      <c r="N731" s="7" t="s">
        <v>511</v>
      </c>
      <c r="O731" s="7" t="s">
        <v>1430</v>
      </c>
      <c r="P731" s="7" t="s">
        <v>144</v>
      </c>
      <c r="Q731" s="7" t="s">
        <v>1186</v>
      </c>
      <c r="R731" s="7" t="s">
        <v>1186</v>
      </c>
      <c r="S731" s="7" t="s">
        <v>472</v>
      </c>
      <c r="T731" s="7" t="s">
        <v>356</v>
      </c>
      <c r="U731" s="7" t="s">
        <v>148</v>
      </c>
      <c r="V731" s="7" t="s">
        <v>1345</v>
      </c>
      <c r="W731" s="7" t="s">
        <v>682</v>
      </c>
      <c r="X731" s="7" t="s">
        <v>1461</v>
      </c>
      <c r="Y731" s="7" t="s">
        <v>358</v>
      </c>
      <c r="Z731" s="7" t="s">
        <v>461</v>
      </c>
      <c r="AA731" s="7" t="s">
        <v>183</v>
      </c>
      <c r="AB731" s="18" t="n">
        <v>125</v>
      </c>
      <c r="AC731" s="7"/>
      <c r="AD731" s="7"/>
      <c r="AE731" s="7" t="s">
        <v>155</v>
      </c>
    </row>
    <row r="732" customFormat="false" ht="21.75" hidden="false" customHeight="true" outlineLevel="0" collapsed="false">
      <c r="B732" s="15" t="n">
        <v>728</v>
      </c>
      <c r="C732" s="9" t="s">
        <v>53</v>
      </c>
      <c r="D732" s="9" t="s">
        <v>24</v>
      </c>
      <c r="E732" s="9" t="s">
        <v>91</v>
      </c>
      <c r="F732" s="9" t="s">
        <v>65</v>
      </c>
      <c r="G732" s="9" t="s">
        <v>1462</v>
      </c>
      <c r="H732" s="9" t="s">
        <v>136</v>
      </c>
      <c r="I732" s="9" t="s">
        <v>137</v>
      </c>
      <c r="J732" s="9" t="s">
        <v>203</v>
      </c>
      <c r="K732" s="9" t="s">
        <v>1460</v>
      </c>
      <c r="L732" s="9" t="s">
        <v>1281</v>
      </c>
      <c r="M732" s="9" t="s">
        <v>326</v>
      </c>
      <c r="N732" s="9" t="s">
        <v>511</v>
      </c>
      <c r="O732" s="9" t="s">
        <v>1430</v>
      </c>
      <c r="P732" s="9" t="s">
        <v>144</v>
      </c>
      <c r="Q732" s="9" t="s">
        <v>1186</v>
      </c>
      <c r="R732" s="9" t="s">
        <v>1186</v>
      </c>
      <c r="S732" s="9" t="s">
        <v>472</v>
      </c>
      <c r="T732" s="9" t="s">
        <v>356</v>
      </c>
      <c r="U732" s="9" t="s">
        <v>148</v>
      </c>
      <c r="V732" s="9" t="s">
        <v>1345</v>
      </c>
      <c r="W732" s="9" t="s">
        <v>682</v>
      </c>
      <c r="X732" s="9" t="s">
        <v>1461</v>
      </c>
      <c r="Y732" s="9" t="s">
        <v>358</v>
      </c>
      <c r="Z732" s="9" t="s">
        <v>461</v>
      </c>
      <c r="AA732" s="9" t="s">
        <v>183</v>
      </c>
      <c r="AB732" s="19" t="n">
        <v>190</v>
      </c>
      <c r="AC732" s="9"/>
      <c r="AD732" s="9"/>
      <c r="AE732" s="9" t="s">
        <v>159</v>
      </c>
    </row>
    <row r="733" customFormat="false" ht="21.75" hidden="false" customHeight="true" outlineLevel="0" collapsed="false">
      <c r="B733" s="14" t="n">
        <v>729</v>
      </c>
      <c r="C733" s="7" t="s">
        <v>53</v>
      </c>
      <c r="D733" s="7" t="s">
        <v>24</v>
      </c>
      <c r="E733" s="7" t="s">
        <v>91</v>
      </c>
      <c r="F733" s="7" t="s">
        <v>65</v>
      </c>
      <c r="G733" s="7" t="s">
        <v>1463</v>
      </c>
      <c r="H733" s="7" t="s">
        <v>157</v>
      </c>
      <c r="I733" s="7" t="s">
        <v>158</v>
      </c>
      <c r="J733" s="7" t="s">
        <v>203</v>
      </c>
      <c r="K733" s="7" t="s">
        <v>1460</v>
      </c>
      <c r="L733" s="7" t="s">
        <v>1281</v>
      </c>
      <c r="M733" s="7" t="s">
        <v>326</v>
      </c>
      <c r="N733" s="7" t="s">
        <v>511</v>
      </c>
      <c r="O733" s="7" t="s">
        <v>1430</v>
      </c>
      <c r="P733" s="7" t="s">
        <v>144</v>
      </c>
      <c r="Q733" s="7" t="s">
        <v>1186</v>
      </c>
      <c r="R733" s="7" t="s">
        <v>1186</v>
      </c>
      <c r="S733" s="7" t="s">
        <v>472</v>
      </c>
      <c r="T733" s="7" t="s">
        <v>356</v>
      </c>
      <c r="U733" s="7" t="s">
        <v>148</v>
      </c>
      <c r="V733" s="7" t="s">
        <v>1345</v>
      </c>
      <c r="W733" s="7" t="s">
        <v>682</v>
      </c>
      <c r="X733" s="7" t="s">
        <v>1461</v>
      </c>
      <c r="Y733" s="7" t="s">
        <v>358</v>
      </c>
      <c r="Z733" s="7" t="s">
        <v>461</v>
      </c>
      <c r="AA733" s="7" t="s">
        <v>183</v>
      </c>
      <c r="AB733" s="18" t="n">
        <v>250</v>
      </c>
      <c r="AC733" s="7"/>
      <c r="AD733" s="7"/>
      <c r="AE733" s="7" t="s">
        <v>1464</v>
      </c>
    </row>
    <row r="734" customFormat="false" ht="21.75" hidden="false" customHeight="true" outlineLevel="0" collapsed="false">
      <c r="B734" s="15" t="n">
        <v>730</v>
      </c>
      <c r="C734" s="9" t="s">
        <v>53</v>
      </c>
      <c r="D734" s="9" t="s">
        <v>24</v>
      </c>
      <c r="E734" s="9" t="s">
        <v>91</v>
      </c>
      <c r="F734" s="9" t="s">
        <v>65</v>
      </c>
      <c r="G734" s="9" t="s">
        <v>1465</v>
      </c>
      <c r="H734" s="9" t="s">
        <v>157</v>
      </c>
      <c r="I734" s="9" t="s">
        <v>158</v>
      </c>
      <c r="J734" s="9" t="s">
        <v>203</v>
      </c>
      <c r="K734" s="9" t="s">
        <v>1460</v>
      </c>
      <c r="L734" s="9" t="s">
        <v>1281</v>
      </c>
      <c r="M734" s="9" t="s">
        <v>326</v>
      </c>
      <c r="N734" s="9" t="s">
        <v>511</v>
      </c>
      <c r="O734" s="9" t="s">
        <v>1430</v>
      </c>
      <c r="P734" s="9" t="s">
        <v>144</v>
      </c>
      <c r="Q734" s="9" t="s">
        <v>1186</v>
      </c>
      <c r="R734" s="9" t="s">
        <v>1186</v>
      </c>
      <c r="S734" s="9" t="s">
        <v>472</v>
      </c>
      <c r="T734" s="9" t="s">
        <v>356</v>
      </c>
      <c r="U734" s="9" t="s">
        <v>148</v>
      </c>
      <c r="V734" s="9" t="s">
        <v>1345</v>
      </c>
      <c r="W734" s="9" t="s">
        <v>682</v>
      </c>
      <c r="X734" s="9" t="s">
        <v>1461</v>
      </c>
      <c r="Y734" s="9" t="s">
        <v>358</v>
      </c>
      <c r="Z734" s="9" t="s">
        <v>461</v>
      </c>
      <c r="AA734" s="9" t="s">
        <v>183</v>
      </c>
      <c r="AB734" s="19" t="n">
        <v>375</v>
      </c>
      <c r="AC734" s="9"/>
      <c r="AD734" s="9"/>
      <c r="AE734" s="9" t="s">
        <v>165</v>
      </c>
    </row>
    <row r="735" customFormat="false" ht="21.75" hidden="false" customHeight="true" outlineLevel="0" collapsed="false">
      <c r="B735" s="14" t="n">
        <v>731</v>
      </c>
      <c r="C735" s="7" t="s">
        <v>53</v>
      </c>
      <c r="D735" s="7" t="s">
        <v>24</v>
      </c>
      <c r="E735" s="7" t="s">
        <v>91</v>
      </c>
      <c r="F735" s="7" t="s">
        <v>65</v>
      </c>
      <c r="G735" s="7" t="s">
        <v>1466</v>
      </c>
      <c r="H735" s="7" t="s">
        <v>163</v>
      </c>
      <c r="I735" s="7" t="s">
        <v>164</v>
      </c>
      <c r="J735" s="7" t="s">
        <v>203</v>
      </c>
      <c r="K735" s="7" t="s">
        <v>1460</v>
      </c>
      <c r="L735" s="7" t="s">
        <v>1281</v>
      </c>
      <c r="M735" s="7" t="s">
        <v>326</v>
      </c>
      <c r="N735" s="7" t="s">
        <v>511</v>
      </c>
      <c r="O735" s="7" t="s">
        <v>1430</v>
      </c>
      <c r="P735" s="7" t="s">
        <v>144</v>
      </c>
      <c r="Q735" s="7" t="s">
        <v>1186</v>
      </c>
      <c r="R735" s="7" t="s">
        <v>1186</v>
      </c>
      <c r="S735" s="7" t="s">
        <v>472</v>
      </c>
      <c r="T735" s="7" t="s">
        <v>356</v>
      </c>
      <c r="U735" s="7" t="s">
        <v>148</v>
      </c>
      <c r="V735" s="7" t="s">
        <v>1345</v>
      </c>
      <c r="W735" s="7" t="s">
        <v>682</v>
      </c>
      <c r="X735" s="7" t="s">
        <v>1461</v>
      </c>
      <c r="Y735" s="7" t="s">
        <v>358</v>
      </c>
      <c r="Z735" s="7" t="s">
        <v>461</v>
      </c>
      <c r="AA735" s="7" t="s">
        <v>183</v>
      </c>
      <c r="AB735" s="18" t="n">
        <v>550</v>
      </c>
      <c r="AC735" s="7"/>
      <c r="AD735" s="7"/>
      <c r="AE735" s="7" t="s">
        <v>167</v>
      </c>
    </row>
    <row r="736" customFormat="false" ht="21.75" hidden="false" customHeight="true" outlineLevel="0" collapsed="false">
      <c r="B736" s="15" t="n">
        <v>732</v>
      </c>
      <c r="C736" s="9" t="s">
        <v>53</v>
      </c>
      <c r="D736" s="9" t="s">
        <v>24</v>
      </c>
      <c r="E736" s="9" t="s">
        <v>91</v>
      </c>
      <c r="F736" s="9" t="s">
        <v>66</v>
      </c>
      <c r="G736" s="9" t="s">
        <v>321</v>
      </c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9"/>
      <c r="AC736" s="9"/>
      <c r="AD736" s="9"/>
      <c r="AE736" s="9" t="s">
        <v>1467</v>
      </c>
    </row>
    <row r="737" customFormat="false" ht="21.75" hidden="false" customHeight="true" outlineLevel="0" collapsed="false">
      <c r="B737" s="14" t="n">
        <v>733</v>
      </c>
      <c r="C737" s="7" t="s">
        <v>53</v>
      </c>
      <c r="D737" s="7" t="s">
        <v>24</v>
      </c>
      <c r="E737" s="7" t="s">
        <v>91</v>
      </c>
      <c r="F737" s="7" t="s">
        <v>67</v>
      </c>
      <c r="G737" s="7" t="s">
        <v>1468</v>
      </c>
      <c r="H737" s="7" t="s">
        <v>230</v>
      </c>
      <c r="I737" s="7" t="s">
        <v>231</v>
      </c>
      <c r="J737" s="7" t="s">
        <v>203</v>
      </c>
      <c r="K737" s="7" t="s">
        <v>527</v>
      </c>
      <c r="L737" s="7" t="s">
        <v>1045</v>
      </c>
      <c r="M737" s="7" t="s">
        <v>326</v>
      </c>
      <c r="N737" s="7" t="s">
        <v>529</v>
      </c>
      <c r="O737" s="7" t="s">
        <v>1430</v>
      </c>
      <c r="P737" s="7" t="s">
        <v>144</v>
      </c>
      <c r="Q737" s="7" t="s">
        <v>1186</v>
      </c>
      <c r="R737" s="7" t="s">
        <v>1186</v>
      </c>
      <c r="S737" s="7" t="s">
        <v>472</v>
      </c>
      <c r="T737" s="7" t="s">
        <v>570</v>
      </c>
      <c r="U737" s="7" t="s">
        <v>148</v>
      </c>
      <c r="V737" s="7" t="s">
        <v>236</v>
      </c>
      <c r="W737" s="7" t="s">
        <v>682</v>
      </c>
      <c r="X737" s="7" t="s">
        <v>1469</v>
      </c>
      <c r="Y737" s="7" t="s">
        <v>850</v>
      </c>
      <c r="Z737" s="7" t="s">
        <v>461</v>
      </c>
      <c r="AA737" s="7" t="s">
        <v>154</v>
      </c>
      <c r="AB737" s="18" t="n">
        <v>80</v>
      </c>
      <c r="AC737" s="7"/>
      <c r="AD737" s="7"/>
      <c r="AE737" s="7" t="s">
        <v>155</v>
      </c>
    </row>
    <row r="738" customFormat="false" ht="21.75" hidden="false" customHeight="true" outlineLevel="0" collapsed="false">
      <c r="B738" s="15" t="n">
        <v>734</v>
      </c>
      <c r="C738" s="9" t="s">
        <v>53</v>
      </c>
      <c r="D738" s="9" t="s">
        <v>24</v>
      </c>
      <c r="E738" s="9" t="s">
        <v>91</v>
      </c>
      <c r="F738" s="9" t="s">
        <v>67</v>
      </c>
      <c r="G738" s="9" t="s">
        <v>1470</v>
      </c>
      <c r="H738" s="9" t="s">
        <v>230</v>
      </c>
      <c r="I738" s="9" t="s">
        <v>231</v>
      </c>
      <c r="J738" s="9" t="s">
        <v>203</v>
      </c>
      <c r="K738" s="9" t="s">
        <v>527</v>
      </c>
      <c r="L738" s="9" t="s">
        <v>1045</v>
      </c>
      <c r="M738" s="9" t="s">
        <v>326</v>
      </c>
      <c r="N738" s="9" t="s">
        <v>529</v>
      </c>
      <c r="O738" s="9" t="s">
        <v>1430</v>
      </c>
      <c r="P738" s="9" t="s">
        <v>144</v>
      </c>
      <c r="Q738" s="9" t="s">
        <v>1186</v>
      </c>
      <c r="R738" s="9" t="s">
        <v>1186</v>
      </c>
      <c r="S738" s="9" t="s">
        <v>472</v>
      </c>
      <c r="T738" s="9" t="s">
        <v>570</v>
      </c>
      <c r="U738" s="9" t="s">
        <v>148</v>
      </c>
      <c r="V738" s="9" t="s">
        <v>236</v>
      </c>
      <c r="W738" s="9" t="s">
        <v>682</v>
      </c>
      <c r="X738" s="9" t="s">
        <v>1469</v>
      </c>
      <c r="Y738" s="9" t="s">
        <v>850</v>
      </c>
      <c r="Z738" s="9" t="s">
        <v>461</v>
      </c>
      <c r="AA738" s="9" t="s">
        <v>154</v>
      </c>
      <c r="AB738" s="19" t="n">
        <v>120</v>
      </c>
      <c r="AC738" s="9"/>
      <c r="AD738" s="9"/>
      <c r="AE738" s="9" t="s">
        <v>159</v>
      </c>
    </row>
    <row r="739" customFormat="false" ht="21.75" hidden="false" customHeight="true" outlineLevel="0" collapsed="false">
      <c r="B739" s="14" t="n">
        <v>735</v>
      </c>
      <c r="C739" s="7" t="s">
        <v>53</v>
      </c>
      <c r="D739" s="7" t="s">
        <v>24</v>
      </c>
      <c r="E739" s="7" t="s">
        <v>91</v>
      </c>
      <c r="F739" s="7" t="s">
        <v>67</v>
      </c>
      <c r="G739" s="7" t="s">
        <v>1471</v>
      </c>
      <c r="H739" s="7" t="s">
        <v>240</v>
      </c>
      <c r="I739" s="7" t="s">
        <v>241</v>
      </c>
      <c r="J739" s="7" t="s">
        <v>203</v>
      </c>
      <c r="K739" s="7" t="s">
        <v>527</v>
      </c>
      <c r="L739" s="7" t="s">
        <v>1045</v>
      </c>
      <c r="M739" s="7" t="s">
        <v>326</v>
      </c>
      <c r="N739" s="7" t="s">
        <v>529</v>
      </c>
      <c r="O739" s="7" t="s">
        <v>1430</v>
      </c>
      <c r="P739" s="7" t="s">
        <v>144</v>
      </c>
      <c r="Q739" s="7" t="s">
        <v>1186</v>
      </c>
      <c r="R739" s="7" t="s">
        <v>1186</v>
      </c>
      <c r="S739" s="7" t="s">
        <v>472</v>
      </c>
      <c r="T739" s="7" t="s">
        <v>570</v>
      </c>
      <c r="U739" s="7" t="s">
        <v>148</v>
      </c>
      <c r="V739" s="7" t="s">
        <v>236</v>
      </c>
      <c r="W739" s="7" t="s">
        <v>682</v>
      </c>
      <c r="X739" s="7" t="s">
        <v>1469</v>
      </c>
      <c r="Y739" s="7" t="s">
        <v>850</v>
      </c>
      <c r="Z739" s="7" t="s">
        <v>461</v>
      </c>
      <c r="AA739" s="7" t="s">
        <v>154</v>
      </c>
      <c r="AB739" s="18" t="n">
        <v>160</v>
      </c>
      <c r="AC739" s="7"/>
      <c r="AD739" s="7"/>
      <c r="AE739" s="7" t="s">
        <v>533</v>
      </c>
    </row>
    <row r="740" customFormat="false" ht="21.75" hidden="false" customHeight="true" outlineLevel="0" collapsed="false">
      <c r="B740" s="15" t="n">
        <v>736</v>
      </c>
      <c r="C740" s="9" t="s">
        <v>53</v>
      </c>
      <c r="D740" s="9" t="s">
        <v>24</v>
      </c>
      <c r="E740" s="9" t="s">
        <v>91</v>
      </c>
      <c r="F740" s="9" t="s">
        <v>67</v>
      </c>
      <c r="G740" s="9" t="s">
        <v>1472</v>
      </c>
      <c r="H740" s="9" t="s">
        <v>240</v>
      </c>
      <c r="I740" s="9" t="s">
        <v>241</v>
      </c>
      <c r="J740" s="9" t="s">
        <v>203</v>
      </c>
      <c r="K740" s="9" t="s">
        <v>527</v>
      </c>
      <c r="L740" s="9" t="s">
        <v>1045</v>
      </c>
      <c r="M740" s="9" t="s">
        <v>326</v>
      </c>
      <c r="N740" s="9" t="s">
        <v>529</v>
      </c>
      <c r="O740" s="9" t="s">
        <v>1430</v>
      </c>
      <c r="P740" s="9" t="s">
        <v>144</v>
      </c>
      <c r="Q740" s="9" t="s">
        <v>1186</v>
      </c>
      <c r="R740" s="9" t="s">
        <v>1186</v>
      </c>
      <c r="S740" s="9" t="s">
        <v>472</v>
      </c>
      <c r="T740" s="9" t="s">
        <v>570</v>
      </c>
      <c r="U740" s="9" t="s">
        <v>148</v>
      </c>
      <c r="V740" s="9" t="s">
        <v>236</v>
      </c>
      <c r="W740" s="9" t="s">
        <v>682</v>
      </c>
      <c r="X740" s="9" t="s">
        <v>1469</v>
      </c>
      <c r="Y740" s="9" t="s">
        <v>850</v>
      </c>
      <c r="Z740" s="9" t="s">
        <v>461</v>
      </c>
      <c r="AA740" s="9" t="s">
        <v>154</v>
      </c>
      <c r="AB740" s="19" t="n">
        <v>240</v>
      </c>
      <c r="AC740" s="9"/>
      <c r="AD740" s="9"/>
      <c r="AE740" s="9" t="s">
        <v>165</v>
      </c>
    </row>
    <row r="741" customFormat="false" ht="21.75" hidden="false" customHeight="true" outlineLevel="0" collapsed="false">
      <c r="B741" s="14" t="n">
        <v>737</v>
      </c>
      <c r="C741" s="7" t="s">
        <v>53</v>
      </c>
      <c r="D741" s="7" t="s">
        <v>24</v>
      </c>
      <c r="E741" s="7" t="s">
        <v>91</v>
      </c>
      <c r="F741" s="7" t="s">
        <v>67</v>
      </c>
      <c r="G741" s="7" t="s">
        <v>1473</v>
      </c>
      <c r="H741" s="7" t="s">
        <v>240</v>
      </c>
      <c r="I741" s="7" t="s">
        <v>241</v>
      </c>
      <c r="J741" s="7" t="s">
        <v>203</v>
      </c>
      <c r="K741" s="7" t="s">
        <v>527</v>
      </c>
      <c r="L741" s="7" t="s">
        <v>1045</v>
      </c>
      <c r="M741" s="7" t="s">
        <v>326</v>
      </c>
      <c r="N741" s="7" t="s">
        <v>529</v>
      </c>
      <c r="O741" s="7" t="s">
        <v>1430</v>
      </c>
      <c r="P741" s="7" t="s">
        <v>144</v>
      </c>
      <c r="Q741" s="7" t="s">
        <v>1186</v>
      </c>
      <c r="R741" s="7" t="s">
        <v>1186</v>
      </c>
      <c r="S741" s="7" t="s">
        <v>472</v>
      </c>
      <c r="T741" s="7" t="s">
        <v>570</v>
      </c>
      <c r="U741" s="7" t="s">
        <v>148</v>
      </c>
      <c r="V741" s="7" t="s">
        <v>236</v>
      </c>
      <c r="W741" s="7" t="s">
        <v>682</v>
      </c>
      <c r="X741" s="7" t="s">
        <v>1469</v>
      </c>
      <c r="Y741" s="7" t="s">
        <v>850</v>
      </c>
      <c r="Z741" s="7" t="s">
        <v>461</v>
      </c>
      <c r="AA741" s="7" t="s">
        <v>154</v>
      </c>
      <c r="AB741" s="18" t="n">
        <v>350</v>
      </c>
      <c r="AC741" s="7"/>
      <c r="AD741" s="7"/>
      <c r="AE741" s="7" t="s">
        <v>167</v>
      </c>
    </row>
    <row r="742" customFormat="false" ht="21.75" hidden="false" customHeight="true" outlineLevel="0" collapsed="false">
      <c r="B742" s="15" t="n">
        <v>738</v>
      </c>
      <c r="C742" s="9" t="s">
        <v>53</v>
      </c>
      <c r="D742" s="9" t="s">
        <v>24</v>
      </c>
      <c r="E742" s="9" t="s">
        <v>91</v>
      </c>
      <c r="F742" s="9" t="s">
        <v>68</v>
      </c>
      <c r="G742" s="9" t="s">
        <v>321</v>
      </c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9"/>
      <c r="AC742" s="9"/>
      <c r="AD742" s="9"/>
      <c r="AE742" s="9" t="s">
        <v>1474</v>
      </c>
    </row>
    <row r="743" customFormat="false" ht="21.75" hidden="false" customHeight="true" outlineLevel="0" collapsed="false">
      <c r="B743" s="14" t="n">
        <v>739</v>
      </c>
      <c r="C743" s="7" t="s">
        <v>53</v>
      </c>
      <c r="D743" s="7" t="s">
        <v>24</v>
      </c>
      <c r="E743" s="7" t="s">
        <v>91</v>
      </c>
      <c r="F743" s="7" t="s">
        <v>69</v>
      </c>
      <c r="G743" s="7" t="s">
        <v>321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18"/>
      <c r="AC743" s="7"/>
      <c r="AD743" s="7"/>
      <c r="AE743" s="7" t="s">
        <v>1475</v>
      </c>
    </row>
    <row r="744" customFormat="false" ht="21.75" hidden="false" customHeight="true" outlineLevel="0" collapsed="false">
      <c r="B744" s="15" t="n">
        <v>740</v>
      </c>
      <c r="C744" s="9" t="s">
        <v>53</v>
      </c>
      <c r="D744" s="9" t="s">
        <v>24</v>
      </c>
      <c r="E744" s="9" t="s">
        <v>91</v>
      </c>
      <c r="F744" s="9" t="s">
        <v>70</v>
      </c>
      <c r="G744" s="9" t="s">
        <v>321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9"/>
      <c r="AC744" s="9"/>
      <c r="AD744" s="9"/>
      <c r="AE744" s="9" t="s">
        <v>1476</v>
      </c>
    </row>
    <row r="745" customFormat="false" ht="21.75" hidden="false" customHeight="true" outlineLevel="0" collapsed="false">
      <c r="B745" s="14" t="n">
        <v>741</v>
      </c>
      <c r="C745" s="7" t="s">
        <v>53</v>
      </c>
      <c r="D745" s="7" t="s">
        <v>24</v>
      </c>
      <c r="E745" s="7" t="s">
        <v>91</v>
      </c>
      <c r="F745" s="7" t="s">
        <v>71</v>
      </c>
      <c r="G745" s="7" t="s">
        <v>1477</v>
      </c>
      <c r="H745" s="7" t="s">
        <v>136</v>
      </c>
      <c r="I745" s="7" t="s">
        <v>137</v>
      </c>
      <c r="J745" s="7" t="s">
        <v>203</v>
      </c>
      <c r="K745" s="7" t="s">
        <v>1344</v>
      </c>
      <c r="L745" s="7" t="s">
        <v>623</v>
      </c>
      <c r="M745" s="7" t="s">
        <v>326</v>
      </c>
      <c r="N745" s="7" t="s">
        <v>1478</v>
      </c>
      <c r="O745" s="7" t="s">
        <v>1430</v>
      </c>
      <c r="P745" s="7" t="s">
        <v>144</v>
      </c>
      <c r="Q745" s="7" t="s">
        <v>1186</v>
      </c>
      <c r="R745" s="7" t="s">
        <v>1186</v>
      </c>
      <c r="S745" s="7" t="s">
        <v>472</v>
      </c>
      <c r="T745" s="7" t="s">
        <v>356</v>
      </c>
      <c r="U745" s="7" t="s">
        <v>194</v>
      </c>
      <c r="V745" s="7" t="s">
        <v>296</v>
      </c>
      <c r="W745" s="7" t="s">
        <v>682</v>
      </c>
      <c r="X745" s="7" t="s">
        <v>1453</v>
      </c>
      <c r="Y745" s="7" t="s">
        <v>554</v>
      </c>
      <c r="Z745" s="7" t="s">
        <v>461</v>
      </c>
      <c r="AA745" s="7" t="s">
        <v>183</v>
      </c>
      <c r="AB745" s="18" t="n">
        <v>210</v>
      </c>
      <c r="AC745" s="7"/>
      <c r="AD745" s="7"/>
      <c r="AE745" s="7" t="s">
        <v>155</v>
      </c>
    </row>
    <row r="746" customFormat="false" ht="21.75" hidden="false" customHeight="true" outlineLevel="0" collapsed="false">
      <c r="B746" s="15" t="n">
        <v>742</v>
      </c>
      <c r="C746" s="9" t="s">
        <v>53</v>
      </c>
      <c r="D746" s="9" t="s">
        <v>24</v>
      </c>
      <c r="E746" s="9" t="s">
        <v>91</v>
      </c>
      <c r="F746" s="9" t="s">
        <v>71</v>
      </c>
      <c r="G746" s="9" t="s">
        <v>1479</v>
      </c>
      <c r="H746" s="9" t="s">
        <v>157</v>
      </c>
      <c r="I746" s="9" t="s">
        <v>158</v>
      </c>
      <c r="J746" s="9" t="s">
        <v>203</v>
      </c>
      <c r="K746" s="9" t="s">
        <v>1344</v>
      </c>
      <c r="L746" s="9" t="s">
        <v>623</v>
      </c>
      <c r="M746" s="9" t="s">
        <v>326</v>
      </c>
      <c r="N746" s="9" t="s">
        <v>1478</v>
      </c>
      <c r="O746" s="9" t="s">
        <v>1430</v>
      </c>
      <c r="P746" s="9" t="s">
        <v>144</v>
      </c>
      <c r="Q746" s="9" t="s">
        <v>1186</v>
      </c>
      <c r="R746" s="9" t="s">
        <v>1186</v>
      </c>
      <c r="S746" s="9" t="s">
        <v>472</v>
      </c>
      <c r="T746" s="9" t="s">
        <v>356</v>
      </c>
      <c r="U746" s="9" t="s">
        <v>194</v>
      </c>
      <c r="V746" s="9" t="s">
        <v>296</v>
      </c>
      <c r="W746" s="9" t="s">
        <v>682</v>
      </c>
      <c r="X746" s="9" t="s">
        <v>1453</v>
      </c>
      <c r="Y746" s="9" t="s">
        <v>554</v>
      </c>
      <c r="Z746" s="9" t="s">
        <v>461</v>
      </c>
      <c r="AA746" s="9" t="s">
        <v>183</v>
      </c>
      <c r="AB746" s="19" t="n">
        <v>315</v>
      </c>
      <c r="AC746" s="9"/>
      <c r="AD746" s="9"/>
      <c r="AE746" s="9" t="s">
        <v>159</v>
      </c>
    </row>
    <row r="747" customFormat="false" ht="21.75" hidden="false" customHeight="true" outlineLevel="0" collapsed="false">
      <c r="B747" s="14" t="n">
        <v>743</v>
      </c>
      <c r="C747" s="7" t="s">
        <v>53</v>
      </c>
      <c r="D747" s="7" t="s">
        <v>24</v>
      </c>
      <c r="E747" s="7" t="s">
        <v>91</v>
      </c>
      <c r="F747" s="7" t="s">
        <v>71</v>
      </c>
      <c r="G747" s="7" t="s">
        <v>1480</v>
      </c>
      <c r="H747" s="7" t="s">
        <v>163</v>
      </c>
      <c r="I747" s="7" t="s">
        <v>164</v>
      </c>
      <c r="J747" s="7" t="s">
        <v>203</v>
      </c>
      <c r="K747" s="7" t="s">
        <v>1344</v>
      </c>
      <c r="L747" s="7" t="s">
        <v>623</v>
      </c>
      <c r="M747" s="7" t="s">
        <v>326</v>
      </c>
      <c r="N747" s="7" t="s">
        <v>1478</v>
      </c>
      <c r="O747" s="7" t="s">
        <v>1430</v>
      </c>
      <c r="P747" s="7" t="s">
        <v>144</v>
      </c>
      <c r="Q747" s="7" t="s">
        <v>1186</v>
      </c>
      <c r="R747" s="7" t="s">
        <v>1186</v>
      </c>
      <c r="S747" s="7" t="s">
        <v>472</v>
      </c>
      <c r="T747" s="7" t="s">
        <v>356</v>
      </c>
      <c r="U747" s="7" t="s">
        <v>194</v>
      </c>
      <c r="V747" s="7" t="s">
        <v>296</v>
      </c>
      <c r="W747" s="7" t="s">
        <v>682</v>
      </c>
      <c r="X747" s="7" t="s">
        <v>1453</v>
      </c>
      <c r="Y747" s="7" t="s">
        <v>554</v>
      </c>
      <c r="Z747" s="7" t="s">
        <v>461</v>
      </c>
      <c r="AA747" s="7" t="s">
        <v>183</v>
      </c>
      <c r="AB747" s="18" t="n">
        <v>420</v>
      </c>
      <c r="AC747" s="7"/>
      <c r="AD747" s="7"/>
      <c r="AE747" s="7" t="s">
        <v>1481</v>
      </c>
    </row>
    <row r="748" customFormat="false" ht="21.75" hidden="false" customHeight="true" outlineLevel="0" collapsed="false">
      <c r="B748" s="15" t="n">
        <v>744</v>
      </c>
      <c r="C748" s="9" t="s">
        <v>53</v>
      </c>
      <c r="D748" s="9" t="s">
        <v>24</v>
      </c>
      <c r="E748" s="9" t="s">
        <v>91</v>
      </c>
      <c r="F748" s="9" t="s">
        <v>71</v>
      </c>
      <c r="G748" s="9" t="s">
        <v>1482</v>
      </c>
      <c r="H748" s="9" t="s">
        <v>163</v>
      </c>
      <c r="I748" s="9" t="s">
        <v>164</v>
      </c>
      <c r="J748" s="9" t="s">
        <v>203</v>
      </c>
      <c r="K748" s="9" t="s">
        <v>1344</v>
      </c>
      <c r="L748" s="9" t="s">
        <v>623</v>
      </c>
      <c r="M748" s="9" t="s">
        <v>326</v>
      </c>
      <c r="N748" s="9" t="s">
        <v>1478</v>
      </c>
      <c r="O748" s="9" t="s">
        <v>1430</v>
      </c>
      <c r="P748" s="9" t="s">
        <v>144</v>
      </c>
      <c r="Q748" s="9" t="s">
        <v>1186</v>
      </c>
      <c r="R748" s="9" t="s">
        <v>1186</v>
      </c>
      <c r="S748" s="9" t="s">
        <v>472</v>
      </c>
      <c r="T748" s="9" t="s">
        <v>356</v>
      </c>
      <c r="U748" s="9" t="s">
        <v>194</v>
      </c>
      <c r="V748" s="9" t="s">
        <v>296</v>
      </c>
      <c r="W748" s="9" t="s">
        <v>682</v>
      </c>
      <c r="X748" s="9" t="s">
        <v>1453</v>
      </c>
      <c r="Y748" s="9" t="s">
        <v>554</v>
      </c>
      <c r="Z748" s="9" t="s">
        <v>461</v>
      </c>
      <c r="AA748" s="9" t="s">
        <v>183</v>
      </c>
      <c r="AB748" s="19" t="n">
        <v>630</v>
      </c>
      <c r="AC748" s="9"/>
      <c r="AD748" s="9"/>
      <c r="AE748" s="9" t="s">
        <v>165</v>
      </c>
    </row>
    <row r="749" customFormat="false" ht="21.75" hidden="false" customHeight="true" outlineLevel="0" collapsed="false">
      <c r="B749" s="14" t="n">
        <v>745</v>
      </c>
      <c r="C749" s="7" t="s">
        <v>53</v>
      </c>
      <c r="D749" s="7" t="s">
        <v>24</v>
      </c>
      <c r="E749" s="7" t="s">
        <v>91</v>
      </c>
      <c r="F749" s="7" t="s">
        <v>71</v>
      </c>
      <c r="G749" s="7" t="s">
        <v>1483</v>
      </c>
      <c r="H749" s="7" t="s">
        <v>163</v>
      </c>
      <c r="I749" s="7" t="s">
        <v>164</v>
      </c>
      <c r="J749" s="7" t="s">
        <v>203</v>
      </c>
      <c r="K749" s="7" t="s">
        <v>1344</v>
      </c>
      <c r="L749" s="7" t="s">
        <v>623</v>
      </c>
      <c r="M749" s="7" t="s">
        <v>326</v>
      </c>
      <c r="N749" s="7" t="s">
        <v>1478</v>
      </c>
      <c r="O749" s="7" t="s">
        <v>1430</v>
      </c>
      <c r="P749" s="7" t="s">
        <v>144</v>
      </c>
      <c r="Q749" s="7" t="s">
        <v>1186</v>
      </c>
      <c r="R749" s="7" t="s">
        <v>1186</v>
      </c>
      <c r="S749" s="7" t="s">
        <v>472</v>
      </c>
      <c r="T749" s="7" t="s">
        <v>356</v>
      </c>
      <c r="U749" s="7" t="s">
        <v>194</v>
      </c>
      <c r="V749" s="7" t="s">
        <v>296</v>
      </c>
      <c r="W749" s="7" t="s">
        <v>682</v>
      </c>
      <c r="X749" s="7" t="s">
        <v>1453</v>
      </c>
      <c r="Y749" s="7" t="s">
        <v>554</v>
      </c>
      <c r="Z749" s="7" t="s">
        <v>461</v>
      </c>
      <c r="AA749" s="7" t="s">
        <v>183</v>
      </c>
      <c r="AB749" s="18" t="n">
        <v>925</v>
      </c>
      <c r="AC749" s="7"/>
      <c r="AD749" s="7"/>
      <c r="AE749" s="7" t="s">
        <v>167</v>
      </c>
    </row>
    <row r="750" customFormat="false" ht="21.75" hidden="false" customHeight="true" outlineLevel="0" collapsed="false">
      <c r="B750" s="15" t="n">
        <v>746</v>
      </c>
      <c r="C750" s="9" t="s">
        <v>53</v>
      </c>
      <c r="D750" s="9" t="s">
        <v>24</v>
      </c>
      <c r="E750" s="9" t="s">
        <v>91</v>
      </c>
      <c r="F750" s="9" t="s">
        <v>72</v>
      </c>
      <c r="G750" s="9" t="s">
        <v>1484</v>
      </c>
      <c r="H750" s="9" t="s">
        <v>301</v>
      </c>
      <c r="I750" s="9" t="s">
        <v>302</v>
      </c>
      <c r="J750" s="9" t="s">
        <v>866</v>
      </c>
      <c r="K750" s="9" t="s">
        <v>1485</v>
      </c>
      <c r="L750" s="9" t="s">
        <v>1486</v>
      </c>
      <c r="M750" s="9" t="s">
        <v>326</v>
      </c>
      <c r="N750" s="9" t="s">
        <v>1487</v>
      </c>
      <c r="O750" s="9" t="s">
        <v>1430</v>
      </c>
      <c r="P750" s="9" t="s">
        <v>144</v>
      </c>
      <c r="Q750" s="9" t="s">
        <v>1186</v>
      </c>
      <c r="R750" s="9" t="s">
        <v>1186</v>
      </c>
      <c r="S750" s="9" t="s">
        <v>472</v>
      </c>
      <c r="T750" s="9" t="s">
        <v>356</v>
      </c>
      <c r="U750" s="9" t="s">
        <v>194</v>
      </c>
      <c r="V750" s="9" t="s">
        <v>783</v>
      </c>
      <c r="W750" s="9" t="s">
        <v>682</v>
      </c>
      <c r="X750" s="9" t="s">
        <v>1488</v>
      </c>
      <c r="Y750" s="9" t="s">
        <v>709</v>
      </c>
      <c r="Z750" s="9" t="s">
        <v>461</v>
      </c>
      <c r="AA750" s="9" t="s">
        <v>183</v>
      </c>
      <c r="AB750" s="19" t="n">
        <v>345</v>
      </c>
      <c r="AC750" s="9"/>
      <c r="AD750" s="9"/>
      <c r="AE750" s="9" t="s">
        <v>155</v>
      </c>
    </row>
    <row r="751" customFormat="false" ht="21.75" hidden="false" customHeight="true" outlineLevel="0" collapsed="false">
      <c r="B751" s="14" t="n">
        <v>747</v>
      </c>
      <c r="C751" s="7" t="s">
        <v>53</v>
      </c>
      <c r="D751" s="7" t="s">
        <v>24</v>
      </c>
      <c r="E751" s="7" t="s">
        <v>91</v>
      </c>
      <c r="F751" s="7" t="s">
        <v>72</v>
      </c>
      <c r="G751" s="7" t="s">
        <v>1489</v>
      </c>
      <c r="H751" s="7" t="s">
        <v>309</v>
      </c>
      <c r="I751" s="7" t="s">
        <v>310</v>
      </c>
      <c r="J751" s="7" t="s">
        <v>866</v>
      </c>
      <c r="K751" s="7" t="s">
        <v>1485</v>
      </c>
      <c r="L751" s="7" t="s">
        <v>1486</v>
      </c>
      <c r="M751" s="7" t="s">
        <v>326</v>
      </c>
      <c r="N751" s="7" t="s">
        <v>1487</v>
      </c>
      <c r="O751" s="7" t="s">
        <v>1430</v>
      </c>
      <c r="P751" s="7" t="s">
        <v>144</v>
      </c>
      <c r="Q751" s="7" t="s">
        <v>1186</v>
      </c>
      <c r="R751" s="7" t="s">
        <v>1186</v>
      </c>
      <c r="S751" s="7" t="s">
        <v>472</v>
      </c>
      <c r="T751" s="7" t="s">
        <v>356</v>
      </c>
      <c r="U751" s="7" t="s">
        <v>194</v>
      </c>
      <c r="V751" s="7" t="s">
        <v>783</v>
      </c>
      <c r="W751" s="7" t="s">
        <v>682</v>
      </c>
      <c r="X751" s="7" t="s">
        <v>1488</v>
      </c>
      <c r="Y751" s="7" t="s">
        <v>709</v>
      </c>
      <c r="Z751" s="7" t="s">
        <v>461</v>
      </c>
      <c r="AA751" s="7" t="s">
        <v>183</v>
      </c>
      <c r="AB751" s="18" t="n">
        <v>520</v>
      </c>
      <c r="AC751" s="7"/>
      <c r="AD751" s="7"/>
      <c r="AE751" s="7" t="s">
        <v>159</v>
      </c>
    </row>
    <row r="752" customFormat="false" ht="21.75" hidden="false" customHeight="true" outlineLevel="0" collapsed="false">
      <c r="B752" s="15" t="n">
        <v>748</v>
      </c>
      <c r="C752" s="9" t="s">
        <v>53</v>
      </c>
      <c r="D752" s="9" t="s">
        <v>24</v>
      </c>
      <c r="E752" s="9" t="s">
        <v>91</v>
      </c>
      <c r="F752" s="9" t="s">
        <v>72</v>
      </c>
      <c r="G752" s="9" t="s">
        <v>1490</v>
      </c>
      <c r="H752" s="9" t="s">
        <v>309</v>
      </c>
      <c r="I752" s="9" t="s">
        <v>310</v>
      </c>
      <c r="J752" s="9" t="s">
        <v>866</v>
      </c>
      <c r="K752" s="9" t="s">
        <v>1485</v>
      </c>
      <c r="L752" s="9" t="s">
        <v>1486</v>
      </c>
      <c r="M752" s="9" t="s">
        <v>326</v>
      </c>
      <c r="N752" s="9" t="s">
        <v>1487</v>
      </c>
      <c r="O752" s="9" t="s">
        <v>1430</v>
      </c>
      <c r="P752" s="9" t="s">
        <v>144</v>
      </c>
      <c r="Q752" s="9" t="s">
        <v>1186</v>
      </c>
      <c r="R752" s="9" t="s">
        <v>1186</v>
      </c>
      <c r="S752" s="9" t="s">
        <v>472</v>
      </c>
      <c r="T752" s="9" t="s">
        <v>356</v>
      </c>
      <c r="U752" s="9" t="s">
        <v>194</v>
      </c>
      <c r="V752" s="9" t="s">
        <v>783</v>
      </c>
      <c r="W752" s="9" t="s">
        <v>682</v>
      </c>
      <c r="X752" s="9" t="s">
        <v>1488</v>
      </c>
      <c r="Y752" s="9" t="s">
        <v>709</v>
      </c>
      <c r="Z752" s="9" t="s">
        <v>461</v>
      </c>
      <c r="AA752" s="9" t="s">
        <v>183</v>
      </c>
      <c r="AB752" s="19" t="n">
        <v>690</v>
      </c>
      <c r="AC752" s="9"/>
      <c r="AD752" s="9"/>
      <c r="AE752" s="9" t="s">
        <v>1491</v>
      </c>
    </row>
    <row r="753" customFormat="false" ht="21.75" hidden="false" customHeight="true" outlineLevel="0" collapsed="false">
      <c r="B753" s="14" t="n">
        <v>749</v>
      </c>
      <c r="C753" s="7" t="s">
        <v>53</v>
      </c>
      <c r="D753" s="7" t="s">
        <v>24</v>
      </c>
      <c r="E753" s="7" t="s">
        <v>91</v>
      </c>
      <c r="F753" s="7" t="s">
        <v>72</v>
      </c>
      <c r="G753" s="7" t="s">
        <v>1492</v>
      </c>
      <c r="H753" s="7" t="s">
        <v>309</v>
      </c>
      <c r="I753" s="7" t="s">
        <v>310</v>
      </c>
      <c r="J753" s="7" t="s">
        <v>866</v>
      </c>
      <c r="K753" s="7" t="s">
        <v>1485</v>
      </c>
      <c r="L753" s="7" t="s">
        <v>1486</v>
      </c>
      <c r="M753" s="7" t="s">
        <v>326</v>
      </c>
      <c r="N753" s="7" t="s">
        <v>1487</v>
      </c>
      <c r="O753" s="7" t="s">
        <v>1430</v>
      </c>
      <c r="P753" s="7" t="s">
        <v>144</v>
      </c>
      <c r="Q753" s="7" t="s">
        <v>1186</v>
      </c>
      <c r="R753" s="7" t="s">
        <v>1186</v>
      </c>
      <c r="S753" s="7" t="s">
        <v>472</v>
      </c>
      <c r="T753" s="7" t="s">
        <v>356</v>
      </c>
      <c r="U753" s="7" t="s">
        <v>194</v>
      </c>
      <c r="V753" s="7" t="s">
        <v>783</v>
      </c>
      <c r="W753" s="7" t="s">
        <v>682</v>
      </c>
      <c r="X753" s="7" t="s">
        <v>1488</v>
      </c>
      <c r="Y753" s="7" t="s">
        <v>709</v>
      </c>
      <c r="Z753" s="7" t="s">
        <v>461</v>
      </c>
      <c r="AA753" s="7" t="s">
        <v>183</v>
      </c>
      <c r="AB753" s="18" t="n">
        <v>1035</v>
      </c>
      <c r="AC753" s="7"/>
      <c r="AD753" s="7"/>
      <c r="AE753" s="7" t="s">
        <v>165</v>
      </c>
    </row>
    <row r="754" customFormat="false" ht="21.75" hidden="false" customHeight="true" outlineLevel="0" collapsed="false">
      <c r="B754" s="15" t="n">
        <v>750</v>
      </c>
      <c r="C754" s="9" t="s">
        <v>53</v>
      </c>
      <c r="D754" s="9" t="s">
        <v>24</v>
      </c>
      <c r="E754" s="9" t="s">
        <v>91</v>
      </c>
      <c r="F754" s="9" t="s">
        <v>72</v>
      </c>
      <c r="G754" s="9" t="s">
        <v>1493</v>
      </c>
      <c r="H754" s="9" t="s">
        <v>315</v>
      </c>
      <c r="I754" s="9" t="s">
        <v>316</v>
      </c>
      <c r="J754" s="9" t="s">
        <v>866</v>
      </c>
      <c r="K754" s="9" t="s">
        <v>1485</v>
      </c>
      <c r="L754" s="9" t="s">
        <v>1486</v>
      </c>
      <c r="M754" s="9" t="s">
        <v>326</v>
      </c>
      <c r="N754" s="9" t="s">
        <v>1487</v>
      </c>
      <c r="O754" s="9" t="s">
        <v>1430</v>
      </c>
      <c r="P754" s="9" t="s">
        <v>144</v>
      </c>
      <c r="Q754" s="9" t="s">
        <v>1186</v>
      </c>
      <c r="R754" s="9" t="s">
        <v>1186</v>
      </c>
      <c r="S754" s="9" t="s">
        <v>472</v>
      </c>
      <c r="T754" s="9" t="s">
        <v>356</v>
      </c>
      <c r="U754" s="9" t="s">
        <v>194</v>
      </c>
      <c r="V754" s="9" t="s">
        <v>783</v>
      </c>
      <c r="W754" s="9" t="s">
        <v>682</v>
      </c>
      <c r="X754" s="9" t="s">
        <v>1488</v>
      </c>
      <c r="Y754" s="9" t="s">
        <v>709</v>
      </c>
      <c r="Z754" s="9" t="s">
        <v>461</v>
      </c>
      <c r="AA754" s="9" t="s">
        <v>183</v>
      </c>
      <c r="AB754" s="19" t="n">
        <v>1520</v>
      </c>
      <c r="AC754" s="9"/>
      <c r="AD754" s="9"/>
      <c r="AE754" s="9" t="s">
        <v>167</v>
      </c>
    </row>
    <row r="755" customFormat="false" ht="21.75" hidden="false" customHeight="true" outlineLevel="0" collapsed="false">
      <c r="B755" s="14" t="n">
        <v>751</v>
      </c>
      <c r="C755" s="7" t="s">
        <v>53</v>
      </c>
      <c r="D755" s="7" t="s">
        <v>24</v>
      </c>
      <c r="E755" s="7" t="s">
        <v>91</v>
      </c>
      <c r="F755" s="7" t="s">
        <v>73</v>
      </c>
      <c r="G755" s="7" t="s">
        <v>1494</v>
      </c>
      <c r="H755" s="7" t="s">
        <v>136</v>
      </c>
      <c r="I755" s="7" t="s">
        <v>137</v>
      </c>
      <c r="J755" s="7" t="s">
        <v>468</v>
      </c>
      <c r="K755" s="7" t="s">
        <v>488</v>
      </c>
      <c r="L755" s="7" t="s">
        <v>354</v>
      </c>
      <c r="M755" s="7" t="s">
        <v>326</v>
      </c>
      <c r="N755" s="7" t="s">
        <v>1495</v>
      </c>
      <c r="O755" s="7" t="s">
        <v>1430</v>
      </c>
      <c r="P755" s="7" t="s">
        <v>144</v>
      </c>
      <c r="Q755" s="7" t="s">
        <v>1186</v>
      </c>
      <c r="R755" s="7" t="s">
        <v>1186</v>
      </c>
      <c r="S755" s="7" t="s">
        <v>472</v>
      </c>
      <c r="T755" s="7" t="s">
        <v>1205</v>
      </c>
      <c r="U755" s="7" t="s">
        <v>148</v>
      </c>
      <c r="V755" s="7" t="s">
        <v>473</v>
      </c>
      <c r="W755" s="7" t="s">
        <v>682</v>
      </c>
      <c r="X755" s="7" t="s">
        <v>1496</v>
      </c>
      <c r="Y755" s="7" t="s">
        <v>1497</v>
      </c>
      <c r="Z755" s="7" t="s">
        <v>461</v>
      </c>
      <c r="AA755" s="7" t="s">
        <v>183</v>
      </c>
      <c r="AB755" s="18" t="n">
        <v>70</v>
      </c>
      <c r="AC755" s="7"/>
      <c r="AD755" s="7"/>
      <c r="AE755" s="7" t="s">
        <v>155</v>
      </c>
    </row>
    <row r="756" customFormat="false" ht="21.75" hidden="false" customHeight="true" outlineLevel="0" collapsed="false">
      <c r="B756" s="15" t="n">
        <v>752</v>
      </c>
      <c r="C756" s="9" t="s">
        <v>53</v>
      </c>
      <c r="D756" s="9" t="s">
        <v>24</v>
      </c>
      <c r="E756" s="9" t="s">
        <v>91</v>
      </c>
      <c r="F756" s="9" t="s">
        <v>73</v>
      </c>
      <c r="G756" s="9" t="s">
        <v>1435</v>
      </c>
      <c r="H756" s="9" t="s">
        <v>157</v>
      </c>
      <c r="I756" s="9" t="s">
        <v>158</v>
      </c>
      <c r="J756" s="9" t="s">
        <v>468</v>
      </c>
      <c r="K756" s="9" t="s">
        <v>488</v>
      </c>
      <c r="L756" s="9" t="s">
        <v>354</v>
      </c>
      <c r="M756" s="9" t="s">
        <v>326</v>
      </c>
      <c r="N756" s="9" t="s">
        <v>1495</v>
      </c>
      <c r="O756" s="9" t="s">
        <v>1430</v>
      </c>
      <c r="P756" s="9" t="s">
        <v>144</v>
      </c>
      <c r="Q756" s="9" t="s">
        <v>1186</v>
      </c>
      <c r="R756" s="9" t="s">
        <v>1186</v>
      </c>
      <c r="S756" s="9" t="s">
        <v>472</v>
      </c>
      <c r="T756" s="9" t="s">
        <v>1205</v>
      </c>
      <c r="U756" s="9" t="s">
        <v>148</v>
      </c>
      <c r="V756" s="9" t="s">
        <v>473</v>
      </c>
      <c r="W756" s="9" t="s">
        <v>682</v>
      </c>
      <c r="X756" s="9" t="s">
        <v>1496</v>
      </c>
      <c r="Y756" s="9" t="s">
        <v>1497</v>
      </c>
      <c r="Z756" s="9" t="s">
        <v>461</v>
      </c>
      <c r="AA756" s="9" t="s">
        <v>183</v>
      </c>
      <c r="AB756" s="19" t="n">
        <v>100</v>
      </c>
      <c r="AC756" s="9"/>
      <c r="AD756" s="9"/>
      <c r="AE756" s="9" t="s">
        <v>159</v>
      </c>
    </row>
    <row r="757" customFormat="false" ht="21.75" hidden="false" customHeight="true" outlineLevel="0" collapsed="false">
      <c r="B757" s="14" t="n">
        <v>753</v>
      </c>
      <c r="C757" s="7" t="s">
        <v>53</v>
      </c>
      <c r="D757" s="7" t="s">
        <v>24</v>
      </c>
      <c r="E757" s="7" t="s">
        <v>91</v>
      </c>
      <c r="F757" s="7" t="s">
        <v>73</v>
      </c>
      <c r="G757" s="7" t="s">
        <v>1457</v>
      </c>
      <c r="H757" s="7" t="s">
        <v>157</v>
      </c>
      <c r="I757" s="7" t="s">
        <v>158</v>
      </c>
      <c r="J757" s="7" t="s">
        <v>468</v>
      </c>
      <c r="K757" s="7" t="s">
        <v>488</v>
      </c>
      <c r="L757" s="7" t="s">
        <v>354</v>
      </c>
      <c r="M757" s="7" t="s">
        <v>326</v>
      </c>
      <c r="N757" s="7" t="s">
        <v>1495</v>
      </c>
      <c r="O757" s="7" t="s">
        <v>1430</v>
      </c>
      <c r="P757" s="7" t="s">
        <v>144</v>
      </c>
      <c r="Q757" s="7" t="s">
        <v>1186</v>
      </c>
      <c r="R757" s="7" t="s">
        <v>1186</v>
      </c>
      <c r="S757" s="7" t="s">
        <v>472</v>
      </c>
      <c r="T757" s="7" t="s">
        <v>1205</v>
      </c>
      <c r="U757" s="7" t="s">
        <v>148</v>
      </c>
      <c r="V757" s="7" t="s">
        <v>473</v>
      </c>
      <c r="W757" s="7" t="s">
        <v>682</v>
      </c>
      <c r="X757" s="7" t="s">
        <v>1496</v>
      </c>
      <c r="Y757" s="7" t="s">
        <v>1497</v>
      </c>
      <c r="Z757" s="7" t="s">
        <v>461</v>
      </c>
      <c r="AA757" s="7" t="s">
        <v>183</v>
      </c>
      <c r="AB757" s="18" t="n">
        <v>135</v>
      </c>
      <c r="AC757" s="7"/>
      <c r="AD757" s="7"/>
      <c r="AE757" s="7" t="s">
        <v>1498</v>
      </c>
    </row>
    <row r="758" customFormat="false" ht="21.75" hidden="false" customHeight="true" outlineLevel="0" collapsed="false">
      <c r="B758" s="15" t="n">
        <v>754</v>
      </c>
      <c r="C758" s="9" t="s">
        <v>53</v>
      </c>
      <c r="D758" s="9" t="s">
        <v>24</v>
      </c>
      <c r="E758" s="9" t="s">
        <v>91</v>
      </c>
      <c r="F758" s="9" t="s">
        <v>73</v>
      </c>
      <c r="G758" s="9" t="s">
        <v>1468</v>
      </c>
      <c r="H758" s="9" t="s">
        <v>163</v>
      </c>
      <c r="I758" s="9" t="s">
        <v>164</v>
      </c>
      <c r="J758" s="9" t="s">
        <v>468</v>
      </c>
      <c r="K758" s="9" t="s">
        <v>488</v>
      </c>
      <c r="L758" s="9" t="s">
        <v>354</v>
      </c>
      <c r="M758" s="9" t="s">
        <v>326</v>
      </c>
      <c r="N758" s="9" t="s">
        <v>1495</v>
      </c>
      <c r="O758" s="9" t="s">
        <v>1430</v>
      </c>
      <c r="P758" s="9" t="s">
        <v>144</v>
      </c>
      <c r="Q758" s="9" t="s">
        <v>1186</v>
      </c>
      <c r="R758" s="9" t="s">
        <v>1186</v>
      </c>
      <c r="S758" s="9" t="s">
        <v>472</v>
      </c>
      <c r="T758" s="9" t="s">
        <v>1205</v>
      </c>
      <c r="U758" s="9" t="s">
        <v>148</v>
      </c>
      <c r="V758" s="9" t="s">
        <v>473</v>
      </c>
      <c r="W758" s="9" t="s">
        <v>682</v>
      </c>
      <c r="X758" s="9" t="s">
        <v>1496</v>
      </c>
      <c r="Y758" s="9" t="s">
        <v>1497</v>
      </c>
      <c r="Z758" s="9" t="s">
        <v>461</v>
      </c>
      <c r="AA758" s="9" t="s">
        <v>183</v>
      </c>
      <c r="AB758" s="19" t="n">
        <v>200</v>
      </c>
      <c r="AC758" s="9"/>
      <c r="AD758" s="9"/>
      <c r="AE758" s="9" t="s">
        <v>165</v>
      </c>
    </row>
    <row r="759" customFormat="false" ht="21.75" hidden="false" customHeight="true" outlineLevel="0" collapsed="false">
      <c r="B759" s="14" t="n">
        <v>755</v>
      </c>
      <c r="C759" s="7" t="s">
        <v>53</v>
      </c>
      <c r="D759" s="7" t="s">
        <v>24</v>
      </c>
      <c r="E759" s="7" t="s">
        <v>91</v>
      </c>
      <c r="F759" s="7" t="s">
        <v>73</v>
      </c>
      <c r="G759" s="7" t="s">
        <v>1477</v>
      </c>
      <c r="H759" s="7" t="s">
        <v>163</v>
      </c>
      <c r="I759" s="7" t="s">
        <v>164</v>
      </c>
      <c r="J759" s="7" t="s">
        <v>468</v>
      </c>
      <c r="K759" s="7" t="s">
        <v>488</v>
      </c>
      <c r="L759" s="7" t="s">
        <v>354</v>
      </c>
      <c r="M759" s="7" t="s">
        <v>326</v>
      </c>
      <c r="N759" s="7" t="s">
        <v>1495</v>
      </c>
      <c r="O759" s="7" t="s">
        <v>1430</v>
      </c>
      <c r="P759" s="7" t="s">
        <v>144</v>
      </c>
      <c r="Q759" s="7" t="s">
        <v>1186</v>
      </c>
      <c r="R759" s="7" t="s">
        <v>1186</v>
      </c>
      <c r="S759" s="7" t="s">
        <v>472</v>
      </c>
      <c r="T759" s="7" t="s">
        <v>1205</v>
      </c>
      <c r="U759" s="7" t="s">
        <v>148</v>
      </c>
      <c r="V759" s="7" t="s">
        <v>473</v>
      </c>
      <c r="W759" s="7" t="s">
        <v>682</v>
      </c>
      <c r="X759" s="7" t="s">
        <v>1496</v>
      </c>
      <c r="Y759" s="7" t="s">
        <v>1497</v>
      </c>
      <c r="Z759" s="7" t="s">
        <v>461</v>
      </c>
      <c r="AA759" s="7" t="s">
        <v>183</v>
      </c>
      <c r="AB759" s="18" t="n">
        <v>295</v>
      </c>
      <c r="AC759" s="7"/>
      <c r="AD759" s="7"/>
      <c r="AE759" s="7" t="s">
        <v>167</v>
      </c>
    </row>
    <row r="760" customFormat="false" ht="21.75" hidden="false" customHeight="true" outlineLevel="0" collapsed="false">
      <c r="B760" s="15" t="n">
        <v>756</v>
      </c>
      <c r="C760" s="9" t="s">
        <v>53</v>
      </c>
      <c r="D760" s="9" t="s">
        <v>24</v>
      </c>
      <c r="E760" s="9" t="s">
        <v>91</v>
      </c>
      <c r="F760" s="9" t="s">
        <v>74</v>
      </c>
      <c r="G760" s="9" t="s">
        <v>321</v>
      </c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9"/>
      <c r="AC760" s="9"/>
      <c r="AD760" s="9"/>
      <c r="AE760" s="9" t="s">
        <v>1499</v>
      </c>
    </row>
    <row r="761" customFormat="false" ht="21.75" hidden="false" customHeight="true" outlineLevel="0" collapsed="false">
      <c r="B761" s="14" t="n">
        <v>757</v>
      </c>
      <c r="C761" s="7" t="s">
        <v>54</v>
      </c>
      <c r="D761" s="7" t="s">
        <v>27</v>
      </c>
      <c r="E761" s="7" t="s">
        <v>91</v>
      </c>
      <c r="F761" s="7" t="s">
        <v>61</v>
      </c>
      <c r="G761" s="7" t="s">
        <v>1500</v>
      </c>
      <c r="H761" s="7" t="s">
        <v>136</v>
      </c>
      <c r="I761" s="7" t="s">
        <v>137</v>
      </c>
      <c r="J761" s="7" t="s">
        <v>468</v>
      </c>
      <c r="K761" s="7" t="s">
        <v>1130</v>
      </c>
      <c r="L761" s="7" t="s">
        <v>205</v>
      </c>
      <c r="M761" s="7" t="s">
        <v>326</v>
      </c>
      <c r="N761" s="7" t="s">
        <v>1501</v>
      </c>
      <c r="O761" s="7" t="s">
        <v>1502</v>
      </c>
      <c r="P761" s="7" t="s">
        <v>144</v>
      </c>
      <c r="Q761" s="7" t="s">
        <v>1503</v>
      </c>
      <c r="R761" s="7" t="s">
        <v>281</v>
      </c>
      <c r="S761" s="7" t="s">
        <v>472</v>
      </c>
      <c r="T761" s="7" t="s">
        <v>356</v>
      </c>
      <c r="U761" s="7" t="s">
        <v>148</v>
      </c>
      <c r="V761" s="7" t="s">
        <v>220</v>
      </c>
      <c r="W761" s="7" t="s">
        <v>682</v>
      </c>
      <c r="X761" s="7" t="s">
        <v>1504</v>
      </c>
      <c r="Y761" s="7" t="s">
        <v>841</v>
      </c>
      <c r="Z761" s="7" t="s">
        <v>461</v>
      </c>
      <c r="AA761" s="7" t="s">
        <v>154</v>
      </c>
      <c r="AB761" s="18" t="n">
        <v>25</v>
      </c>
      <c r="AC761" s="7"/>
      <c r="AD761" s="7"/>
      <c r="AE761" s="7" t="s">
        <v>155</v>
      </c>
    </row>
    <row r="762" customFormat="false" ht="21.75" hidden="false" customHeight="true" outlineLevel="0" collapsed="false">
      <c r="B762" s="15" t="n">
        <v>758</v>
      </c>
      <c r="C762" s="9" t="s">
        <v>54</v>
      </c>
      <c r="D762" s="9" t="s">
        <v>27</v>
      </c>
      <c r="E762" s="9" t="s">
        <v>91</v>
      </c>
      <c r="F762" s="9" t="s">
        <v>61</v>
      </c>
      <c r="G762" s="9" t="s">
        <v>1505</v>
      </c>
      <c r="H762" s="9" t="s">
        <v>157</v>
      </c>
      <c r="I762" s="9" t="s">
        <v>158</v>
      </c>
      <c r="J762" s="9" t="s">
        <v>468</v>
      </c>
      <c r="K762" s="9" t="s">
        <v>1130</v>
      </c>
      <c r="L762" s="9" t="s">
        <v>205</v>
      </c>
      <c r="M762" s="9" t="s">
        <v>326</v>
      </c>
      <c r="N762" s="9" t="s">
        <v>1501</v>
      </c>
      <c r="O762" s="9" t="s">
        <v>1502</v>
      </c>
      <c r="P762" s="9" t="s">
        <v>144</v>
      </c>
      <c r="Q762" s="9" t="s">
        <v>1503</v>
      </c>
      <c r="R762" s="9" t="s">
        <v>281</v>
      </c>
      <c r="S762" s="9" t="s">
        <v>472</v>
      </c>
      <c r="T762" s="9" t="s">
        <v>356</v>
      </c>
      <c r="U762" s="9" t="s">
        <v>148</v>
      </c>
      <c r="V762" s="9" t="s">
        <v>220</v>
      </c>
      <c r="W762" s="9" t="s">
        <v>682</v>
      </c>
      <c r="X762" s="9" t="s">
        <v>1504</v>
      </c>
      <c r="Y762" s="9" t="s">
        <v>841</v>
      </c>
      <c r="Z762" s="9" t="s">
        <v>461</v>
      </c>
      <c r="AA762" s="9" t="s">
        <v>154</v>
      </c>
      <c r="AB762" s="19" t="n">
        <v>35</v>
      </c>
      <c r="AC762" s="9"/>
      <c r="AD762" s="9"/>
      <c r="AE762" s="9" t="s">
        <v>159</v>
      </c>
    </row>
    <row r="763" customFormat="false" ht="21.75" hidden="false" customHeight="true" outlineLevel="0" collapsed="false">
      <c r="B763" s="14" t="n">
        <v>759</v>
      </c>
      <c r="C763" s="7" t="s">
        <v>54</v>
      </c>
      <c r="D763" s="7" t="s">
        <v>27</v>
      </c>
      <c r="E763" s="7" t="s">
        <v>91</v>
      </c>
      <c r="F763" s="7" t="s">
        <v>61</v>
      </c>
      <c r="G763" s="7" t="s">
        <v>1506</v>
      </c>
      <c r="H763" s="7" t="s">
        <v>157</v>
      </c>
      <c r="I763" s="7" t="s">
        <v>158</v>
      </c>
      <c r="J763" s="7" t="s">
        <v>468</v>
      </c>
      <c r="K763" s="7" t="s">
        <v>1130</v>
      </c>
      <c r="L763" s="7" t="s">
        <v>205</v>
      </c>
      <c r="M763" s="7" t="s">
        <v>326</v>
      </c>
      <c r="N763" s="7" t="s">
        <v>1501</v>
      </c>
      <c r="O763" s="7" t="s">
        <v>1502</v>
      </c>
      <c r="P763" s="7" t="s">
        <v>144</v>
      </c>
      <c r="Q763" s="7" t="s">
        <v>1503</v>
      </c>
      <c r="R763" s="7" t="s">
        <v>281</v>
      </c>
      <c r="S763" s="7" t="s">
        <v>472</v>
      </c>
      <c r="T763" s="7" t="s">
        <v>356</v>
      </c>
      <c r="U763" s="7" t="s">
        <v>148</v>
      </c>
      <c r="V763" s="7" t="s">
        <v>220</v>
      </c>
      <c r="W763" s="7" t="s">
        <v>682</v>
      </c>
      <c r="X763" s="7" t="s">
        <v>1504</v>
      </c>
      <c r="Y763" s="7" t="s">
        <v>841</v>
      </c>
      <c r="Z763" s="7" t="s">
        <v>461</v>
      </c>
      <c r="AA763" s="7" t="s">
        <v>154</v>
      </c>
      <c r="AB763" s="18" t="n">
        <v>50</v>
      </c>
      <c r="AC763" s="7"/>
      <c r="AD763" s="7"/>
      <c r="AE763" s="7" t="s">
        <v>1507</v>
      </c>
    </row>
    <row r="764" customFormat="false" ht="21.75" hidden="false" customHeight="true" outlineLevel="0" collapsed="false">
      <c r="B764" s="15" t="n">
        <v>760</v>
      </c>
      <c r="C764" s="9" t="s">
        <v>54</v>
      </c>
      <c r="D764" s="9" t="s">
        <v>27</v>
      </c>
      <c r="E764" s="9" t="s">
        <v>91</v>
      </c>
      <c r="F764" s="9" t="s">
        <v>61</v>
      </c>
      <c r="G764" s="9" t="s">
        <v>1508</v>
      </c>
      <c r="H764" s="9" t="s">
        <v>163</v>
      </c>
      <c r="I764" s="9" t="s">
        <v>164</v>
      </c>
      <c r="J764" s="9" t="s">
        <v>468</v>
      </c>
      <c r="K764" s="9" t="s">
        <v>1130</v>
      </c>
      <c r="L764" s="9" t="s">
        <v>205</v>
      </c>
      <c r="M764" s="9" t="s">
        <v>326</v>
      </c>
      <c r="N764" s="9" t="s">
        <v>1501</v>
      </c>
      <c r="O764" s="9" t="s">
        <v>1502</v>
      </c>
      <c r="P764" s="9" t="s">
        <v>144</v>
      </c>
      <c r="Q764" s="9" t="s">
        <v>1503</v>
      </c>
      <c r="R764" s="9" t="s">
        <v>281</v>
      </c>
      <c r="S764" s="9" t="s">
        <v>472</v>
      </c>
      <c r="T764" s="9" t="s">
        <v>356</v>
      </c>
      <c r="U764" s="9" t="s">
        <v>148</v>
      </c>
      <c r="V764" s="9" t="s">
        <v>220</v>
      </c>
      <c r="W764" s="9" t="s">
        <v>682</v>
      </c>
      <c r="X764" s="9" t="s">
        <v>1504</v>
      </c>
      <c r="Y764" s="9" t="s">
        <v>841</v>
      </c>
      <c r="Z764" s="9" t="s">
        <v>461</v>
      </c>
      <c r="AA764" s="9" t="s">
        <v>154</v>
      </c>
      <c r="AB764" s="19" t="n">
        <v>70</v>
      </c>
      <c r="AC764" s="9"/>
      <c r="AD764" s="9"/>
      <c r="AE764" s="9" t="s">
        <v>165</v>
      </c>
    </row>
    <row r="765" customFormat="false" ht="21.75" hidden="false" customHeight="true" outlineLevel="0" collapsed="false">
      <c r="B765" s="14" t="n">
        <v>761</v>
      </c>
      <c r="C765" s="7" t="s">
        <v>54</v>
      </c>
      <c r="D765" s="7" t="s">
        <v>27</v>
      </c>
      <c r="E765" s="7" t="s">
        <v>91</v>
      </c>
      <c r="F765" s="7" t="s">
        <v>61</v>
      </c>
      <c r="G765" s="7" t="s">
        <v>1509</v>
      </c>
      <c r="H765" s="7" t="s">
        <v>163</v>
      </c>
      <c r="I765" s="7" t="s">
        <v>164</v>
      </c>
      <c r="J765" s="7" t="s">
        <v>468</v>
      </c>
      <c r="K765" s="7" t="s">
        <v>1130</v>
      </c>
      <c r="L765" s="7" t="s">
        <v>205</v>
      </c>
      <c r="M765" s="7" t="s">
        <v>326</v>
      </c>
      <c r="N765" s="7" t="s">
        <v>1501</v>
      </c>
      <c r="O765" s="7" t="s">
        <v>1502</v>
      </c>
      <c r="P765" s="7" t="s">
        <v>144</v>
      </c>
      <c r="Q765" s="7" t="s">
        <v>1503</v>
      </c>
      <c r="R765" s="7" t="s">
        <v>281</v>
      </c>
      <c r="S765" s="7" t="s">
        <v>472</v>
      </c>
      <c r="T765" s="7" t="s">
        <v>356</v>
      </c>
      <c r="U765" s="7" t="s">
        <v>148</v>
      </c>
      <c r="V765" s="7" t="s">
        <v>220</v>
      </c>
      <c r="W765" s="7" t="s">
        <v>682</v>
      </c>
      <c r="X765" s="7" t="s">
        <v>1504</v>
      </c>
      <c r="Y765" s="7" t="s">
        <v>841</v>
      </c>
      <c r="Z765" s="7" t="s">
        <v>461</v>
      </c>
      <c r="AA765" s="7" t="s">
        <v>154</v>
      </c>
      <c r="AB765" s="18" t="n">
        <v>105</v>
      </c>
      <c r="AC765" s="7"/>
      <c r="AD765" s="7"/>
      <c r="AE765" s="7" t="s">
        <v>167</v>
      </c>
    </row>
    <row r="766" customFormat="false" ht="21.75" hidden="false" customHeight="true" outlineLevel="0" collapsed="false">
      <c r="B766" s="15" t="n">
        <v>762</v>
      </c>
      <c r="C766" s="9" t="s">
        <v>54</v>
      </c>
      <c r="D766" s="9" t="s">
        <v>27</v>
      </c>
      <c r="E766" s="9" t="s">
        <v>91</v>
      </c>
      <c r="F766" s="9" t="s">
        <v>62</v>
      </c>
      <c r="G766" s="9" t="s">
        <v>1505</v>
      </c>
      <c r="H766" s="9" t="s">
        <v>136</v>
      </c>
      <c r="I766" s="9" t="s">
        <v>137</v>
      </c>
      <c r="J766" s="9" t="s">
        <v>468</v>
      </c>
      <c r="K766" s="9" t="s">
        <v>1130</v>
      </c>
      <c r="L766" s="9" t="s">
        <v>205</v>
      </c>
      <c r="M766" s="9" t="s">
        <v>326</v>
      </c>
      <c r="N766" s="9" t="s">
        <v>772</v>
      </c>
      <c r="O766" s="9" t="s">
        <v>1502</v>
      </c>
      <c r="P766" s="9" t="s">
        <v>144</v>
      </c>
      <c r="Q766" s="9" t="s">
        <v>1503</v>
      </c>
      <c r="R766" s="9" t="s">
        <v>281</v>
      </c>
      <c r="S766" s="9" t="s">
        <v>472</v>
      </c>
      <c r="T766" s="9" t="s">
        <v>147</v>
      </c>
      <c r="U766" s="9" t="s">
        <v>148</v>
      </c>
      <c r="V766" s="9" t="s">
        <v>220</v>
      </c>
      <c r="W766" s="9" t="s">
        <v>682</v>
      </c>
      <c r="X766" s="9" t="s">
        <v>1510</v>
      </c>
      <c r="Y766" s="9" t="s">
        <v>1360</v>
      </c>
      <c r="Z766" s="9" t="s">
        <v>461</v>
      </c>
      <c r="AA766" s="9" t="s">
        <v>154</v>
      </c>
      <c r="AB766" s="19" t="n">
        <v>30</v>
      </c>
      <c r="AC766" s="9"/>
      <c r="AD766" s="9"/>
      <c r="AE766" s="9" t="s">
        <v>155</v>
      </c>
    </row>
    <row r="767" customFormat="false" ht="21.75" hidden="false" customHeight="true" outlineLevel="0" collapsed="false">
      <c r="B767" s="14" t="n">
        <v>763</v>
      </c>
      <c r="C767" s="7" t="s">
        <v>54</v>
      </c>
      <c r="D767" s="7" t="s">
        <v>27</v>
      </c>
      <c r="E767" s="7" t="s">
        <v>91</v>
      </c>
      <c r="F767" s="7" t="s">
        <v>62</v>
      </c>
      <c r="G767" s="7" t="s">
        <v>1506</v>
      </c>
      <c r="H767" s="7" t="s">
        <v>157</v>
      </c>
      <c r="I767" s="7" t="s">
        <v>158</v>
      </c>
      <c r="J767" s="7" t="s">
        <v>468</v>
      </c>
      <c r="K767" s="7" t="s">
        <v>1130</v>
      </c>
      <c r="L767" s="7" t="s">
        <v>205</v>
      </c>
      <c r="M767" s="7" t="s">
        <v>326</v>
      </c>
      <c r="N767" s="7" t="s">
        <v>772</v>
      </c>
      <c r="O767" s="7" t="s">
        <v>1502</v>
      </c>
      <c r="P767" s="7" t="s">
        <v>144</v>
      </c>
      <c r="Q767" s="7" t="s">
        <v>1503</v>
      </c>
      <c r="R767" s="7" t="s">
        <v>281</v>
      </c>
      <c r="S767" s="7" t="s">
        <v>472</v>
      </c>
      <c r="T767" s="7" t="s">
        <v>147</v>
      </c>
      <c r="U767" s="7" t="s">
        <v>148</v>
      </c>
      <c r="V767" s="7" t="s">
        <v>220</v>
      </c>
      <c r="W767" s="7" t="s">
        <v>682</v>
      </c>
      <c r="X767" s="7" t="s">
        <v>1510</v>
      </c>
      <c r="Y767" s="7" t="s">
        <v>1360</v>
      </c>
      <c r="Z767" s="7" t="s">
        <v>461</v>
      </c>
      <c r="AA767" s="7" t="s">
        <v>154</v>
      </c>
      <c r="AB767" s="18" t="n">
        <v>40</v>
      </c>
      <c r="AC767" s="7"/>
      <c r="AD767" s="7"/>
      <c r="AE767" s="7" t="s">
        <v>159</v>
      </c>
    </row>
    <row r="768" customFormat="false" ht="21.75" hidden="false" customHeight="true" outlineLevel="0" collapsed="false">
      <c r="B768" s="15" t="n">
        <v>764</v>
      </c>
      <c r="C768" s="9" t="s">
        <v>54</v>
      </c>
      <c r="D768" s="9" t="s">
        <v>27</v>
      </c>
      <c r="E768" s="9" t="s">
        <v>91</v>
      </c>
      <c r="F768" s="9" t="s">
        <v>62</v>
      </c>
      <c r="G768" s="9" t="s">
        <v>1508</v>
      </c>
      <c r="H768" s="9" t="s">
        <v>157</v>
      </c>
      <c r="I768" s="9" t="s">
        <v>158</v>
      </c>
      <c r="J768" s="9" t="s">
        <v>468</v>
      </c>
      <c r="K768" s="9" t="s">
        <v>1130</v>
      </c>
      <c r="L768" s="9" t="s">
        <v>205</v>
      </c>
      <c r="M768" s="9" t="s">
        <v>326</v>
      </c>
      <c r="N768" s="9" t="s">
        <v>772</v>
      </c>
      <c r="O768" s="9" t="s">
        <v>1502</v>
      </c>
      <c r="P768" s="9" t="s">
        <v>144</v>
      </c>
      <c r="Q768" s="9" t="s">
        <v>1503</v>
      </c>
      <c r="R768" s="9" t="s">
        <v>281</v>
      </c>
      <c r="S768" s="9" t="s">
        <v>472</v>
      </c>
      <c r="T768" s="9" t="s">
        <v>147</v>
      </c>
      <c r="U768" s="9" t="s">
        <v>148</v>
      </c>
      <c r="V768" s="9" t="s">
        <v>220</v>
      </c>
      <c r="W768" s="9" t="s">
        <v>682</v>
      </c>
      <c r="X768" s="9" t="s">
        <v>1510</v>
      </c>
      <c r="Y768" s="9" t="s">
        <v>1360</v>
      </c>
      <c r="Z768" s="9" t="s">
        <v>461</v>
      </c>
      <c r="AA768" s="9" t="s">
        <v>154</v>
      </c>
      <c r="AB768" s="19" t="n">
        <v>55</v>
      </c>
      <c r="AC768" s="9"/>
      <c r="AD768" s="9"/>
      <c r="AE768" s="9" t="s">
        <v>1511</v>
      </c>
    </row>
    <row r="769" customFormat="false" ht="21.75" hidden="false" customHeight="true" outlineLevel="0" collapsed="false">
      <c r="B769" s="14" t="n">
        <v>765</v>
      </c>
      <c r="C769" s="7" t="s">
        <v>54</v>
      </c>
      <c r="D769" s="7" t="s">
        <v>27</v>
      </c>
      <c r="E769" s="7" t="s">
        <v>91</v>
      </c>
      <c r="F769" s="7" t="s">
        <v>62</v>
      </c>
      <c r="G769" s="7" t="s">
        <v>1509</v>
      </c>
      <c r="H769" s="7" t="s">
        <v>163</v>
      </c>
      <c r="I769" s="7" t="s">
        <v>164</v>
      </c>
      <c r="J769" s="7" t="s">
        <v>468</v>
      </c>
      <c r="K769" s="7" t="s">
        <v>1130</v>
      </c>
      <c r="L769" s="7" t="s">
        <v>205</v>
      </c>
      <c r="M769" s="7" t="s">
        <v>326</v>
      </c>
      <c r="N769" s="7" t="s">
        <v>772</v>
      </c>
      <c r="O769" s="7" t="s">
        <v>1502</v>
      </c>
      <c r="P769" s="7" t="s">
        <v>144</v>
      </c>
      <c r="Q769" s="7" t="s">
        <v>1503</v>
      </c>
      <c r="R769" s="7" t="s">
        <v>281</v>
      </c>
      <c r="S769" s="7" t="s">
        <v>472</v>
      </c>
      <c r="T769" s="7" t="s">
        <v>147</v>
      </c>
      <c r="U769" s="7" t="s">
        <v>148</v>
      </c>
      <c r="V769" s="7" t="s">
        <v>220</v>
      </c>
      <c r="W769" s="7" t="s">
        <v>682</v>
      </c>
      <c r="X769" s="7" t="s">
        <v>1510</v>
      </c>
      <c r="Y769" s="7" t="s">
        <v>1360</v>
      </c>
      <c r="Z769" s="7" t="s">
        <v>461</v>
      </c>
      <c r="AA769" s="7" t="s">
        <v>154</v>
      </c>
      <c r="AB769" s="18" t="n">
        <v>80</v>
      </c>
      <c r="AC769" s="7"/>
      <c r="AD769" s="7"/>
      <c r="AE769" s="7" t="s">
        <v>165</v>
      </c>
    </row>
    <row r="770" customFormat="false" ht="21.75" hidden="false" customHeight="true" outlineLevel="0" collapsed="false">
      <c r="B770" s="15" t="n">
        <v>766</v>
      </c>
      <c r="C770" s="9" t="s">
        <v>54</v>
      </c>
      <c r="D770" s="9" t="s">
        <v>27</v>
      </c>
      <c r="E770" s="9" t="s">
        <v>91</v>
      </c>
      <c r="F770" s="9" t="s">
        <v>62</v>
      </c>
      <c r="G770" s="9" t="s">
        <v>1512</v>
      </c>
      <c r="H770" s="9" t="s">
        <v>163</v>
      </c>
      <c r="I770" s="9" t="s">
        <v>164</v>
      </c>
      <c r="J770" s="9" t="s">
        <v>468</v>
      </c>
      <c r="K770" s="9" t="s">
        <v>1130</v>
      </c>
      <c r="L770" s="9" t="s">
        <v>205</v>
      </c>
      <c r="M770" s="9" t="s">
        <v>326</v>
      </c>
      <c r="N770" s="9" t="s">
        <v>772</v>
      </c>
      <c r="O770" s="9" t="s">
        <v>1502</v>
      </c>
      <c r="P770" s="9" t="s">
        <v>144</v>
      </c>
      <c r="Q770" s="9" t="s">
        <v>1503</v>
      </c>
      <c r="R770" s="9" t="s">
        <v>281</v>
      </c>
      <c r="S770" s="9" t="s">
        <v>472</v>
      </c>
      <c r="T770" s="9" t="s">
        <v>147</v>
      </c>
      <c r="U770" s="9" t="s">
        <v>148</v>
      </c>
      <c r="V770" s="9" t="s">
        <v>220</v>
      </c>
      <c r="W770" s="9" t="s">
        <v>682</v>
      </c>
      <c r="X770" s="9" t="s">
        <v>1510</v>
      </c>
      <c r="Y770" s="9" t="s">
        <v>1360</v>
      </c>
      <c r="Z770" s="9" t="s">
        <v>461</v>
      </c>
      <c r="AA770" s="9" t="s">
        <v>154</v>
      </c>
      <c r="AB770" s="19" t="n">
        <v>120</v>
      </c>
      <c r="AC770" s="9"/>
      <c r="AD770" s="9"/>
      <c r="AE770" s="9" t="s">
        <v>167</v>
      </c>
    </row>
    <row r="771" customFormat="false" ht="21.75" hidden="false" customHeight="true" outlineLevel="0" collapsed="false">
      <c r="B771" s="14" t="n">
        <v>767</v>
      </c>
      <c r="C771" s="7" t="s">
        <v>54</v>
      </c>
      <c r="D771" s="7" t="s">
        <v>27</v>
      </c>
      <c r="E771" s="7" t="s">
        <v>91</v>
      </c>
      <c r="F771" s="7" t="s">
        <v>63</v>
      </c>
      <c r="G771" s="7" t="s">
        <v>1513</v>
      </c>
      <c r="H771" s="7" t="s">
        <v>136</v>
      </c>
      <c r="I771" s="7" t="s">
        <v>137</v>
      </c>
      <c r="J771" s="7" t="s">
        <v>468</v>
      </c>
      <c r="K771" s="7" t="s">
        <v>1130</v>
      </c>
      <c r="L771" s="7" t="s">
        <v>205</v>
      </c>
      <c r="M771" s="7" t="s">
        <v>326</v>
      </c>
      <c r="N771" s="7" t="s">
        <v>772</v>
      </c>
      <c r="O771" s="7" t="s">
        <v>1502</v>
      </c>
      <c r="P771" s="7" t="s">
        <v>144</v>
      </c>
      <c r="Q771" s="7" t="s">
        <v>1503</v>
      </c>
      <c r="R771" s="7" t="s">
        <v>281</v>
      </c>
      <c r="S771" s="7" t="s">
        <v>472</v>
      </c>
      <c r="T771" s="7" t="s">
        <v>1205</v>
      </c>
      <c r="U771" s="7" t="s">
        <v>148</v>
      </c>
      <c r="V771" s="7" t="s">
        <v>220</v>
      </c>
      <c r="W771" s="7" t="s">
        <v>682</v>
      </c>
      <c r="X771" s="7" t="s">
        <v>1514</v>
      </c>
      <c r="Y771" s="7" t="s">
        <v>1515</v>
      </c>
      <c r="Z771" s="7" t="s">
        <v>461</v>
      </c>
      <c r="AA771" s="7" t="s">
        <v>183</v>
      </c>
      <c r="AB771" s="18" t="n">
        <v>25</v>
      </c>
      <c r="AC771" s="7"/>
      <c r="AD771" s="7"/>
      <c r="AE771" s="7" t="s">
        <v>155</v>
      </c>
    </row>
    <row r="772" customFormat="false" ht="21.75" hidden="false" customHeight="true" outlineLevel="0" collapsed="false">
      <c r="B772" s="15" t="n">
        <v>768</v>
      </c>
      <c r="C772" s="9" t="s">
        <v>54</v>
      </c>
      <c r="D772" s="9" t="s">
        <v>27</v>
      </c>
      <c r="E772" s="9" t="s">
        <v>91</v>
      </c>
      <c r="F772" s="9" t="s">
        <v>63</v>
      </c>
      <c r="G772" s="9" t="s">
        <v>1516</v>
      </c>
      <c r="H772" s="9" t="s">
        <v>157</v>
      </c>
      <c r="I772" s="9" t="s">
        <v>158</v>
      </c>
      <c r="J772" s="9" t="s">
        <v>468</v>
      </c>
      <c r="K772" s="9" t="s">
        <v>1130</v>
      </c>
      <c r="L772" s="9" t="s">
        <v>205</v>
      </c>
      <c r="M772" s="9" t="s">
        <v>326</v>
      </c>
      <c r="N772" s="9" t="s">
        <v>772</v>
      </c>
      <c r="O772" s="9" t="s">
        <v>1502</v>
      </c>
      <c r="P772" s="9" t="s">
        <v>144</v>
      </c>
      <c r="Q772" s="9" t="s">
        <v>1503</v>
      </c>
      <c r="R772" s="9" t="s">
        <v>281</v>
      </c>
      <c r="S772" s="9" t="s">
        <v>472</v>
      </c>
      <c r="T772" s="9" t="s">
        <v>1205</v>
      </c>
      <c r="U772" s="9" t="s">
        <v>148</v>
      </c>
      <c r="V772" s="9" t="s">
        <v>220</v>
      </c>
      <c r="W772" s="9" t="s">
        <v>682</v>
      </c>
      <c r="X772" s="9" t="s">
        <v>1514</v>
      </c>
      <c r="Y772" s="9" t="s">
        <v>1515</v>
      </c>
      <c r="Z772" s="9" t="s">
        <v>461</v>
      </c>
      <c r="AA772" s="9" t="s">
        <v>183</v>
      </c>
      <c r="AB772" s="19" t="n">
        <v>35</v>
      </c>
      <c r="AC772" s="9"/>
      <c r="AD772" s="9"/>
      <c r="AE772" s="9" t="s">
        <v>159</v>
      </c>
    </row>
    <row r="773" customFormat="false" ht="21.75" hidden="false" customHeight="true" outlineLevel="0" collapsed="false">
      <c r="B773" s="14" t="n">
        <v>769</v>
      </c>
      <c r="C773" s="7" t="s">
        <v>54</v>
      </c>
      <c r="D773" s="7" t="s">
        <v>27</v>
      </c>
      <c r="E773" s="7" t="s">
        <v>91</v>
      </c>
      <c r="F773" s="7" t="s">
        <v>63</v>
      </c>
      <c r="G773" s="7" t="s">
        <v>1517</v>
      </c>
      <c r="H773" s="7" t="s">
        <v>157</v>
      </c>
      <c r="I773" s="7" t="s">
        <v>158</v>
      </c>
      <c r="J773" s="7" t="s">
        <v>468</v>
      </c>
      <c r="K773" s="7" t="s">
        <v>1130</v>
      </c>
      <c r="L773" s="7" t="s">
        <v>205</v>
      </c>
      <c r="M773" s="7" t="s">
        <v>326</v>
      </c>
      <c r="N773" s="7" t="s">
        <v>772</v>
      </c>
      <c r="O773" s="7" t="s">
        <v>1502</v>
      </c>
      <c r="P773" s="7" t="s">
        <v>144</v>
      </c>
      <c r="Q773" s="7" t="s">
        <v>1503</v>
      </c>
      <c r="R773" s="7" t="s">
        <v>281</v>
      </c>
      <c r="S773" s="7" t="s">
        <v>472</v>
      </c>
      <c r="T773" s="7" t="s">
        <v>1205</v>
      </c>
      <c r="U773" s="7" t="s">
        <v>148</v>
      </c>
      <c r="V773" s="7" t="s">
        <v>220</v>
      </c>
      <c r="W773" s="7" t="s">
        <v>682</v>
      </c>
      <c r="X773" s="7" t="s">
        <v>1514</v>
      </c>
      <c r="Y773" s="7" t="s">
        <v>1515</v>
      </c>
      <c r="Z773" s="7" t="s">
        <v>461</v>
      </c>
      <c r="AA773" s="7" t="s">
        <v>183</v>
      </c>
      <c r="AB773" s="18" t="n">
        <v>45</v>
      </c>
      <c r="AC773" s="7"/>
      <c r="AD773" s="7"/>
      <c r="AE773" s="7" t="s">
        <v>1518</v>
      </c>
    </row>
    <row r="774" customFormat="false" ht="21.75" hidden="false" customHeight="true" outlineLevel="0" collapsed="false">
      <c r="B774" s="15" t="n">
        <v>770</v>
      </c>
      <c r="C774" s="9" t="s">
        <v>54</v>
      </c>
      <c r="D774" s="9" t="s">
        <v>27</v>
      </c>
      <c r="E774" s="9" t="s">
        <v>91</v>
      </c>
      <c r="F774" s="9" t="s">
        <v>63</v>
      </c>
      <c r="G774" s="9" t="s">
        <v>1519</v>
      </c>
      <c r="H774" s="9" t="s">
        <v>163</v>
      </c>
      <c r="I774" s="9" t="s">
        <v>164</v>
      </c>
      <c r="J774" s="9" t="s">
        <v>468</v>
      </c>
      <c r="K774" s="9" t="s">
        <v>1130</v>
      </c>
      <c r="L774" s="9" t="s">
        <v>205</v>
      </c>
      <c r="M774" s="9" t="s">
        <v>326</v>
      </c>
      <c r="N774" s="9" t="s">
        <v>772</v>
      </c>
      <c r="O774" s="9" t="s">
        <v>1502</v>
      </c>
      <c r="P774" s="9" t="s">
        <v>144</v>
      </c>
      <c r="Q774" s="9" t="s">
        <v>1503</v>
      </c>
      <c r="R774" s="9" t="s">
        <v>281</v>
      </c>
      <c r="S774" s="9" t="s">
        <v>472</v>
      </c>
      <c r="T774" s="9" t="s">
        <v>1205</v>
      </c>
      <c r="U774" s="9" t="s">
        <v>148</v>
      </c>
      <c r="V774" s="9" t="s">
        <v>220</v>
      </c>
      <c r="W774" s="9" t="s">
        <v>682</v>
      </c>
      <c r="X774" s="9" t="s">
        <v>1514</v>
      </c>
      <c r="Y774" s="9" t="s">
        <v>1515</v>
      </c>
      <c r="Z774" s="9" t="s">
        <v>461</v>
      </c>
      <c r="AA774" s="9" t="s">
        <v>183</v>
      </c>
      <c r="AB774" s="19" t="n">
        <v>70</v>
      </c>
      <c r="AC774" s="9"/>
      <c r="AD774" s="9"/>
      <c r="AE774" s="9" t="s">
        <v>165</v>
      </c>
    </row>
    <row r="775" customFormat="false" ht="21.75" hidden="false" customHeight="true" outlineLevel="0" collapsed="false">
      <c r="B775" s="14" t="n">
        <v>771</v>
      </c>
      <c r="C775" s="7" t="s">
        <v>54</v>
      </c>
      <c r="D775" s="7" t="s">
        <v>27</v>
      </c>
      <c r="E775" s="7" t="s">
        <v>91</v>
      </c>
      <c r="F775" s="7" t="s">
        <v>63</v>
      </c>
      <c r="G775" s="7" t="s">
        <v>1520</v>
      </c>
      <c r="H775" s="7" t="s">
        <v>163</v>
      </c>
      <c r="I775" s="7" t="s">
        <v>164</v>
      </c>
      <c r="J775" s="7" t="s">
        <v>468</v>
      </c>
      <c r="K775" s="7" t="s">
        <v>1130</v>
      </c>
      <c r="L775" s="7" t="s">
        <v>205</v>
      </c>
      <c r="M775" s="7" t="s">
        <v>326</v>
      </c>
      <c r="N775" s="7" t="s">
        <v>772</v>
      </c>
      <c r="O775" s="7" t="s">
        <v>1502</v>
      </c>
      <c r="P775" s="7" t="s">
        <v>144</v>
      </c>
      <c r="Q775" s="7" t="s">
        <v>1503</v>
      </c>
      <c r="R775" s="7" t="s">
        <v>281</v>
      </c>
      <c r="S775" s="7" t="s">
        <v>472</v>
      </c>
      <c r="T775" s="7" t="s">
        <v>1205</v>
      </c>
      <c r="U775" s="7" t="s">
        <v>148</v>
      </c>
      <c r="V775" s="7" t="s">
        <v>220</v>
      </c>
      <c r="W775" s="7" t="s">
        <v>682</v>
      </c>
      <c r="X775" s="7" t="s">
        <v>1514</v>
      </c>
      <c r="Y775" s="7" t="s">
        <v>1515</v>
      </c>
      <c r="Z775" s="7" t="s">
        <v>461</v>
      </c>
      <c r="AA775" s="7" t="s">
        <v>183</v>
      </c>
      <c r="AB775" s="18" t="n">
        <v>100</v>
      </c>
      <c r="AC775" s="7"/>
      <c r="AD775" s="7"/>
      <c r="AE775" s="7" t="s">
        <v>167</v>
      </c>
    </row>
    <row r="776" customFormat="false" ht="21.75" hidden="false" customHeight="true" outlineLevel="0" collapsed="false">
      <c r="B776" s="15" t="n">
        <v>772</v>
      </c>
      <c r="C776" s="9" t="s">
        <v>54</v>
      </c>
      <c r="D776" s="9" t="s">
        <v>27</v>
      </c>
      <c r="E776" s="9" t="s">
        <v>91</v>
      </c>
      <c r="F776" s="9" t="s">
        <v>64</v>
      </c>
      <c r="G776" s="9" t="s">
        <v>321</v>
      </c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9"/>
      <c r="AC776" s="9"/>
      <c r="AD776" s="9"/>
      <c r="AE776" s="9" t="s">
        <v>1521</v>
      </c>
    </row>
    <row r="777" customFormat="false" ht="21.75" hidden="false" customHeight="true" outlineLevel="0" collapsed="false">
      <c r="B777" s="14" t="n">
        <v>773</v>
      </c>
      <c r="C777" s="7" t="s">
        <v>54</v>
      </c>
      <c r="D777" s="7" t="s">
        <v>27</v>
      </c>
      <c r="E777" s="7" t="s">
        <v>91</v>
      </c>
      <c r="F777" s="7" t="s">
        <v>65</v>
      </c>
      <c r="G777" s="7" t="s">
        <v>321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18"/>
      <c r="AC777" s="7"/>
      <c r="AD777" s="7"/>
      <c r="AE777" s="7" t="s">
        <v>1522</v>
      </c>
    </row>
    <row r="778" customFormat="false" ht="21.75" hidden="false" customHeight="true" outlineLevel="0" collapsed="false">
      <c r="B778" s="15" t="n">
        <v>774</v>
      </c>
      <c r="C778" s="9" t="s">
        <v>54</v>
      </c>
      <c r="D778" s="9" t="s">
        <v>27</v>
      </c>
      <c r="E778" s="9" t="s">
        <v>91</v>
      </c>
      <c r="F778" s="9" t="s">
        <v>66</v>
      </c>
      <c r="G778" s="9" t="s">
        <v>321</v>
      </c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9"/>
      <c r="AC778" s="9"/>
      <c r="AD778" s="9"/>
      <c r="AE778" s="9" t="s">
        <v>1523</v>
      </c>
    </row>
    <row r="779" customFormat="false" ht="21.75" hidden="false" customHeight="true" outlineLevel="0" collapsed="false">
      <c r="B779" s="14" t="n">
        <v>775</v>
      </c>
      <c r="C779" s="7" t="s">
        <v>54</v>
      </c>
      <c r="D779" s="7" t="s">
        <v>27</v>
      </c>
      <c r="E779" s="7" t="s">
        <v>91</v>
      </c>
      <c r="F779" s="7" t="s">
        <v>67</v>
      </c>
      <c r="G779" s="7" t="s">
        <v>321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18"/>
      <c r="AC779" s="7"/>
      <c r="AD779" s="7"/>
      <c r="AE779" s="7" t="s">
        <v>1524</v>
      </c>
    </row>
    <row r="780" customFormat="false" ht="21.75" hidden="false" customHeight="true" outlineLevel="0" collapsed="false">
      <c r="B780" s="15" t="n">
        <v>776</v>
      </c>
      <c r="C780" s="9" t="s">
        <v>54</v>
      </c>
      <c r="D780" s="9" t="s">
        <v>27</v>
      </c>
      <c r="E780" s="9" t="s">
        <v>91</v>
      </c>
      <c r="F780" s="9" t="s">
        <v>68</v>
      </c>
      <c r="G780" s="9" t="s">
        <v>321</v>
      </c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9"/>
      <c r="AC780" s="9"/>
      <c r="AD780" s="9"/>
      <c r="AE780" s="9" t="s">
        <v>1525</v>
      </c>
    </row>
    <row r="781" customFormat="false" ht="21.75" hidden="false" customHeight="true" outlineLevel="0" collapsed="false">
      <c r="B781" s="14" t="n">
        <v>777</v>
      </c>
      <c r="C781" s="7" t="s">
        <v>54</v>
      </c>
      <c r="D781" s="7" t="s">
        <v>27</v>
      </c>
      <c r="E781" s="7" t="s">
        <v>91</v>
      </c>
      <c r="F781" s="7" t="s">
        <v>69</v>
      </c>
      <c r="G781" s="7" t="s">
        <v>321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18"/>
      <c r="AC781" s="7"/>
      <c r="AD781" s="7"/>
      <c r="AE781" s="7" t="s">
        <v>1526</v>
      </c>
    </row>
    <row r="782" customFormat="false" ht="21.75" hidden="false" customHeight="true" outlineLevel="0" collapsed="false">
      <c r="B782" s="15" t="n">
        <v>778</v>
      </c>
      <c r="C782" s="9" t="s">
        <v>54</v>
      </c>
      <c r="D782" s="9" t="s">
        <v>27</v>
      </c>
      <c r="E782" s="9" t="s">
        <v>91</v>
      </c>
      <c r="F782" s="9" t="s">
        <v>70</v>
      </c>
      <c r="G782" s="9" t="s">
        <v>321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19"/>
      <c r="AC782" s="9"/>
      <c r="AD782" s="9"/>
      <c r="AE782" s="9" t="s">
        <v>1527</v>
      </c>
    </row>
    <row r="783" customFormat="false" ht="21.75" hidden="false" customHeight="true" outlineLevel="0" collapsed="false">
      <c r="B783" s="14" t="n">
        <v>779</v>
      </c>
      <c r="C783" s="7" t="s">
        <v>54</v>
      </c>
      <c r="D783" s="7" t="s">
        <v>27</v>
      </c>
      <c r="E783" s="7" t="s">
        <v>91</v>
      </c>
      <c r="F783" s="7" t="s">
        <v>71</v>
      </c>
      <c r="G783" s="7" t="s">
        <v>321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18"/>
      <c r="AC783" s="7"/>
      <c r="AD783" s="7"/>
      <c r="AE783" s="7" t="s">
        <v>1528</v>
      </c>
    </row>
    <row r="784" customFormat="false" ht="21.75" hidden="false" customHeight="true" outlineLevel="0" collapsed="false">
      <c r="B784" s="15" t="n">
        <v>780</v>
      </c>
      <c r="C784" s="9" t="s">
        <v>54</v>
      </c>
      <c r="D784" s="9" t="s">
        <v>27</v>
      </c>
      <c r="E784" s="9" t="s">
        <v>91</v>
      </c>
      <c r="F784" s="9" t="s">
        <v>72</v>
      </c>
      <c r="G784" s="9" t="s">
        <v>321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19"/>
      <c r="AC784" s="9"/>
      <c r="AD784" s="9"/>
      <c r="AE784" s="9" t="s">
        <v>1529</v>
      </c>
    </row>
    <row r="785" customFormat="false" ht="21.75" hidden="false" customHeight="true" outlineLevel="0" collapsed="false">
      <c r="B785" s="14" t="n">
        <v>781</v>
      </c>
      <c r="C785" s="7" t="s">
        <v>54</v>
      </c>
      <c r="D785" s="7" t="s">
        <v>27</v>
      </c>
      <c r="E785" s="7" t="s">
        <v>91</v>
      </c>
      <c r="F785" s="7" t="s">
        <v>73</v>
      </c>
      <c r="G785" s="7" t="s">
        <v>1508</v>
      </c>
      <c r="H785" s="7" t="s">
        <v>136</v>
      </c>
      <c r="I785" s="7" t="s">
        <v>137</v>
      </c>
      <c r="J785" s="7" t="s">
        <v>1011</v>
      </c>
      <c r="K785" s="7" t="s">
        <v>481</v>
      </c>
      <c r="L785" s="7" t="s">
        <v>354</v>
      </c>
      <c r="M785" s="7" t="s">
        <v>326</v>
      </c>
      <c r="N785" s="7" t="s">
        <v>1530</v>
      </c>
      <c r="O785" s="7" t="s">
        <v>1502</v>
      </c>
      <c r="P785" s="7" t="s">
        <v>144</v>
      </c>
      <c r="Q785" s="7" t="s">
        <v>1503</v>
      </c>
      <c r="R785" s="7" t="s">
        <v>281</v>
      </c>
      <c r="S785" s="7" t="s">
        <v>472</v>
      </c>
      <c r="T785" s="7" t="s">
        <v>1205</v>
      </c>
      <c r="U785" s="7" t="s">
        <v>148</v>
      </c>
      <c r="V785" s="7" t="s">
        <v>387</v>
      </c>
      <c r="W785" s="7" t="s">
        <v>682</v>
      </c>
      <c r="X785" s="7" t="s">
        <v>1531</v>
      </c>
      <c r="Y785" s="7" t="s">
        <v>475</v>
      </c>
      <c r="Z785" s="7" t="s">
        <v>461</v>
      </c>
      <c r="AA785" s="7" t="s">
        <v>183</v>
      </c>
      <c r="AB785" s="18" t="n">
        <v>40</v>
      </c>
      <c r="AC785" s="7"/>
      <c r="AD785" s="7"/>
      <c r="AE785" s="7" t="s">
        <v>155</v>
      </c>
    </row>
    <row r="786" customFormat="false" ht="21.75" hidden="false" customHeight="true" outlineLevel="0" collapsed="false">
      <c r="B786" s="15" t="n">
        <v>782</v>
      </c>
      <c r="C786" s="9" t="s">
        <v>54</v>
      </c>
      <c r="D786" s="9" t="s">
        <v>27</v>
      </c>
      <c r="E786" s="9" t="s">
        <v>91</v>
      </c>
      <c r="F786" s="9" t="s">
        <v>73</v>
      </c>
      <c r="G786" s="9" t="s">
        <v>1509</v>
      </c>
      <c r="H786" s="9" t="s">
        <v>157</v>
      </c>
      <c r="I786" s="9" t="s">
        <v>158</v>
      </c>
      <c r="J786" s="9" t="s">
        <v>1011</v>
      </c>
      <c r="K786" s="9" t="s">
        <v>481</v>
      </c>
      <c r="L786" s="9" t="s">
        <v>354</v>
      </c>
      <c r="M786" s="9" t="s">
        <v>326</v>
      </c>
      <c r="N786" s="9" t="s">
        <v>1530</v>
      </c>
      <c r="O786" s="9" t="s">
        <v>1502</v>
      </c>
      <c r="P786" s="9" t="s">
        <v>144</v>
      </c>
      <c r="Q786" s="9" t="s">
        <v>1503</v>
      </c>
      <c r="R786" s="9" t="s">
        <v>281</v>
      </c>
      <c r="S786" s="9" t="s">
        <v>472</v>
      </c>
      <c r="T786" s="9" t="s">
        <v>1205</v>
      </c>
      <c r="U786" s="9" t="s">
        <v>148</v>
      </c>
      <c r="V786" s="9" t="s">
        <v>387</v>
      </c>
      <c r="W786" s="9" t="s">
        <v>682</v>
      </c>
      <c r="X786" s="9" t="s">
        <v>1531</v>
      </c>
      <c r="Y786" s="9" t="s">
        <v>475</v>
      </c>
      <c r="Z786" s="9" t="s">
        <v>461</v>
      </c>
      <c r="AA786" s="9" t="s">
        <v>183</v>
      </c>
      <c r="AB786" s="19" t="n">
        <v>60</v>
      </c>
      <c r="AC786" s="9"/>
      <c r="AD786" s="9"/>
      <c r="AE786" s="9" t="s">
        <v>159</v>
      </c>
    </row>
    <row r="787" customFormat="false" ht="21.75" hidden="false" customHeight="true" outlineLevel="0" collapsed="false">
      <c r="B787" s="14" t="n">
        <v>783</v>
      </c>
      <c r="C787" s="7" t="s">
        <v>54</v>
      </c>
      <c r="D787" s="7" t="s">
        <v>27</v>
      </c>
      <c r="E787" s="7" t="s">
        <v>91</v>
      </c>
      <c r="F787" s="7" t="s">
        <v>73</v>
      </c>
      <c r="G787" s="7" t="s">
        <v>1517</v>
      </c>
      <c r="H787" s="7" t="s">
        <v>157</v>
      </c>
      <c r="I787" s="7" t="s">
        <v>158</v>
      </c>
      <c r="J787" s="7" t="s">
        <v>1011</v>
      </c>
      <c r="K787" s="7" t="s">
        <v>481</v>
      </c>
      <c r="L787" s="7" t="s">
        <v>354</v>
      </c>
      <c r="M787" s="7" t="s">
        <v>326</v>
      </c>
      <c r="N787" s="7" t="s">
        <v>1530</v>
      </c>
      <c r="O787" s="7" t="s">
        <v>1502</v>
      </c>
      <c r="P787" s="7" t="s">
        <v>144</v>
      </c>
      <c r="Q787" s="7" t="s">
        <v>1503</v>
      </c>
      <c r="R787" s="7" t="s">
        <v>281</v>
      </c>
      <c r="S787" s="7" t="s">
        <v>472</v>
      </c>
      <c r="T787" s="7" t="s">
        <v>1205</v>
      </c>
      <c r="U787" s="7" t="s">
        <v>148</v>
      </c>
      <c r="V787" s="7" t="s">
        <v>387</v>
      </c>
      <c r="W787" s="7" t="s">
        <v>682</v>
      </c>
      <c r="X787" s="7" t="s">
        <v>1531</v>
      </c>
      <c r="Y787" s="7" t="s">
        <v>475</v>
      </c>
      <c r="Z787" s="7" t="s">
        <v>461</v>
      </c>
      <c r="AA787" s="7" t="s">
        <v>183</v>
      </c>
      <c r="AB787" s="18" t="n">
        <v>80</v>
      </c>
      <c r="AC787" s="7"/>
      <c r="AD787" s="7"/>
      <c r="AE787" s="7" t="s">
        <v>1532</v>
      </c>
    </row>
    <row r="788" customFormat="false" ht="21.75" hidden="false" customHeight="true" outlineLevel="0" collapsed="false">
      <c r="B788" s="15" t="n">
        <v>784</v>
      </c>
      <c r="C788" s="9" t="s">
        <v>54</v>
      </c>
      <c r="D788" s="9" t="s">
        <v>27</v>
      </c>
      <c r="E788" s="9" t="s">
        <v>91</v>
      </c>
      <c r="F788" s="9" t="s">
        <v>73</v>
      </c>
      <c r="G788" s="9" t="s">
        <v>1519</v>
      </c>
      <c r="H788" s="9" t="s">
        <v>163</v>
      </c>
      <c r="I788" s="9" t="s">
        <v>164</v>
      </c>
      <c r="J788" s="9" t="s">
        <v>1011</v>
      </c>
      <c r="K788" s="9" t="s">
        <v>481</v>
      </c>
      <c r="L788" s="9" t="s">
        <v>354</v>
      </c>
      <c r="M788" s="9" t="s">
        <v>326</v>
      </c>
      <c r="N788" s="9" t="s">
        <v>1530</v>
      </c>
      <c r="O788" s="9" t="s">
        <v>1502</v>
      </c>
      <c r="P788" s="9" t="s">
        <v>144</v>
      </c>
      <c r="Q788" s="9" t="s">
        <v>1503</v>
      </c>
      <c r="R788" s="9" t="s">
        <v>281</v>
      </c>
      <c r="S788" s="9" t="s">
        <v>472</v>
      </c>
      <c r="T788" s="9" t="s">
        <v>1205</v>
      </c>
      <c r="U788" s="9" t="s">
        <v>148</v>
      </c>
      <c r="V788" s="9" t="s">
        <v>387</v>
      </c>
      <c r="W788" s="9" t="s">
        <v>682</v>
      </c>
      <c r="X788" s="9" t="s">
        <v>1531</v>
      </c>
      <c r="Y788" s="9" t="s">
        <v>475</v>
      </c>
      <c r="Z788" s="9" t="s">
        <v>461</v>
      </c>
      <c r="AA788" s="9" t="s">
        <v>183</v>
      </c>
      <c r="AB788" s="19" t="n">
        <v>115</v>
      </c>
      <c r="AC788" s="9"/>
      <c r="AD788" s="9"/>
      <c r="AE788" s="9" t="s">
        <v>165</v>
      </c>
    </row>
    <row r="789" customFormat="false" ht="21.75" hidden="false" customHeight="true" outlineLevel="0" collapsed="false">
      <c r="B789" s="14" t="n">
        <v>785</v>
      </c>
      <c r="C789" s="7" t="s">
        <v>54</v>
      </c>
      <c r="D789" s="7" t="s">
        <v>27</v>
      </c>
      <c r="E789" s="7" t="s">
        <v>91</v>
      </c>
      <c r="F789" s="7" t="s">
        <v>73</v>
      </c>
      <c r="G789" s="7" t="s">
        <v>1512</v>
      </c>
      <c r="H789" s="7" t="s">
        <v>163</v>
      </c>
      <c r="I789" s="7" t="s">
        <v>164</v>
      </c>
      <c r="J789" s="7" t="s">
        <v>1011</v>
      </c>
      <c r="K789" s="7" t="s">
        <v>481</v>
      </c>
      <c r="L789" s="7" t="s">
        <v>354</v>
      </c>
      <c r="M789" s="7" t="s">
        <v>326</v>
      </c>
      <c r="N789" s="7" t="s">
        <v>1530</v>
      </c>
      <c r="O789" s="7" t="s">
        <v>1502</v>
      </c>
      <c r="P789" s="7" t="s">
        <v>144</v>
      </c>
      <c r="Q789" s="7" t="s">
        <v>1503</v>
      </c>
      <c r="R789" s="7" t="s">
        <v>281</v>
      </c>
      <c r="S789" s="7" t="s">
        <v>472</v>
      </c>
      <c r="T789" s="7" t="s">
        <v>1205</v>
      </c>
      <c r="U789" s="7" t="s">
        <v>148</v>
      </c>
      <c r="V789" s="7" t="s">
        <v>387</v>
      </c>
      <c r="W789" s="7" t="s">
        <v>682</v>
      </c>
      <c r="X789" s="7" t="s">
        <v>1531</v>
      </c>
      <c r="Y789" s="7" t="s">
        <v>475</v>
      </c>
      <c r="Z789" s="7" t="s">
        <v>461</v>
      </c>
      <c r="AA789" s="7" t="s">
        <v>183</v>
      </c>
      <c r="AB789" s="18" t="n">
        <v>170</v>
      </c>
      <c r="AC789" s="7"/>
      <c r="AD789" s="7"/>
      <c r="AE789" s="7" t="s">
        <v>167</v>
      </c>
    </row>
    <row r="790" customFormat="false" ht="21.75" hidden="false" customHeight="true" outlineLevel="0" collapsed="false">
      <c r="B790" s="15" t="n">
        <v>786</v>
      </c>
      <c r="C790" s="9" t="s">
        <v>54</v>
      </c>
      <c r="D790" s="9" t="s">
        <v>27</v>
      </c>
      <c r="E790" s="9" t="s">
        <v>91</v>
      </c>
      <c r="F790" s="9" t="s">
        <v>74</v>
      </c>
      <c r="G790" s="9" t="s">
        <v>321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19"/>
      <c r="AC790" s="9"/>
      <c r="AD790" s="9"/>
      <c r="AE790" s="9" t="s">
        <v>1533</v>
      </c>
    </row>
    <row r="791" customFormat="false" ht="21.75" hidden="false" customHeight="true" outlineLevel="0" collapsed="false">
      <c r="B791" s="14" t="n">
        <v>787</v>
      </c>
      <c r="C791" s="7" t="s">
        <v>55</v>
      </c>
      <c r="D791" s="7" t="s">
        <v>27</v>
      </c>
      <c r="E791" s="7" t="s">
        <v>91</v>
      </c>
      <c r="F791" s="7" t="s">
        <v>61</v>
      </c>
      <c r="G791" s="7" t="s">
        <v>1534</v>
      </c>
      <c r="H791" s="7" t="s">
        <v>136</v>
      </c>
      <c r="I791" s="7" t="s">
        <v>137</v>
      </c>
      <c r="J791" s="7" t="s">
        <v>468</v>
      </c>
      <c r="K791" s="7" t="s">
        <v>488</v>
      </c>
      <c r="L791" s="7" t="s">
        <v>1045</v>
      </c>
      <c r="M791" s="7" t="s">
        <v>281</v>
      </c>
      <c r="N791" s="7" t="s">
        <v>1297</v>
      </c>
      <c r="O791" s="7" t="s">
        <v>1535</v>
      </c>
      <c r="P791" s="7" t="s">
        <v>1536</v>
      </c>
      <c r="Q791" s="7" t="s">
        <v>455</v>
      </c>
      <c r="R791" s="7" t="s">
        <v>281</v>
      </c>
      <c r="S791" s="7" t="s">
        <v>472</v>
      </c>
      <c r="T791" s="7" t="s">
        <v>223</v>
      </c>
      <c r="U791" s="7" t="s">
        <v>588</v>
      </c>
      <c r="V791" s="7" t="s">
        <v>1537</v>
      </c>
      <c r="W791" s="7" t="s">
        <v>921</v>
      </c>
      <c r="X791" s="7" t="s">
        <v>1538</v>
      </c>
      <c r="Y791" s="7" t="s">
        <v>1255</v>
      </c>
      <c r="Z791" s="7" t="s">
        <v>461</v>
      </c>
      <c r="AA791" s="7" t="s">
        <v>223</v>
      </c>
      <c r="AB791" s="18" t="n">
        <v>25</v>
      </c>
      <c r="AC791" s="7"/>
      <c r="AD791" s="7"/>
      <c r="AE791" s="7" t="s">
        <v>155</v>
      </c>
    </row>
    <row r="792" customFormat="false" ht="21.75" hidden="false" customHeight="true" outlineLevel="0" collapsed="false">
      <c r="B792" s="15" t="n">
        <v>788</v>
      </c>
      <c r="C792" s="9" t="s">
        <v>55</v>
      </c>
      <c r="D792" s="9" t="s">
        <v>27</v>
      </c>
      <c r="E792" s="9" t="s">
        <v>91</v>
      </c>
      <c r="F792" s="9" t="s">
        <v>61</v>
      </c>
      <c r="G792" s="9" t="s">
        <v>1539</v>
      </c>
      <c r="H792" s="9" t="s">
        <v>157</v>
      </c>
      <c r="I792" s="9" t="s">
        <v>158</v>
      </c>
      <c r="J792" s="9" t="s">
        <v>468</v>
      </c>
      <c r="K792" s="9" t="s">
        <v>488</v>
      </c>
      <c r="L792" s="9" t="s">
        <v>1045</v>
      </c>
      <c r="M792" s="9" t="s">
        <v>281</v>
      </c>
      <c r="N792" s="9" t="s">
        <v>1297</v>
      </c>
      <c r="O792" s="9" t="s">
        <v>1535</v>
      </c>
      <c r="P792" s="9" t="s">
        <v>1536</v>
      </c>
      <c r="Q792" s="9" t="s">
        <v>455</v>
      </c>
      <c r="R792" s="9" t="s">
        <v>281</v>
      </c>
      <c r="S792" s="9" t="s">
        <v>472</v>
      </c>
      <c r="T792" s="9" t="s">
        <v>223</v>
      </c>
      <c r="U792" s="9" t="s">
        <v>588</v>
      </c>
      <c r="V792" s="9" t="s">
        <v>1537</v>
      </c>
      <c r="W792" s="9" t="s">
        <v>921</v>
      </c>
      <c r="X792" s="9" t="s">
        <v>1538</v>
      </c>
      <c r="Y792" s="9" t="s">
        <v>1255</v>
      </c>
      <c r="Z792" s="9" t="s">
        <v>461</v>
      </c>
      <c r="AA792" s="9" t="s">
        <v>223</v>
      </c>
      <c r="AB792" s="19" t="n">
        <v>25</v>
      </c>
      <c r="AC792" s="9"/>
      <c r="AD792" s="9"/>
      <c r="AE792" s="9" t="s">
        <v>159</v>
      </c>
    </row>
    <row r="793" customFormat="false" ht="21.75" hidden="false" customHeight="true" outlineLevel="0" collapsed="false">
      <c r="B793" s="14" t="n">
        <v>789</v>
      </c>
      <c r="C793" s="7" t="s">
        <v>55</v>
      </c>
      <c r="D793" s="7" t="s">
        <v>27</v>
      </c>
      <c r="E793" s="7" t="s">
        <v>91</v>
      </c>
      <c r="F793" s="7" t="s">
        <v>61</v>
      </c>
      <c r="G793" s="7" t="s">
        <v>1540</v>
      </c>
      <c r="H793" s="7" t="s">
        <v>157</v>
      </c>
      <c r="I793" s="7" t="s">
        <v>158</v>
      </c>
      <c r="J793" s="7" t="s">
        <v>468</v>
      </c>
      <c r="K793" s="7" t="s">
        <v>488</v>
      </c>
      <c r="L793" s="7" t="s">
        <v>1045</v>
      </c>
      <c r="M793" s="7" t="s">
        <v>281</v>
      </c>
      <c r="N793" s="7" t="s">
        <v>1297</v>
      </c>
      <c r="O793" s="7" t="s">
        <v>1535</v>
      </c>
      <c r="P793" s="7" t="s">
        <v>1536</v>
      </c>
      <c r="Q793" s="7" t="s">
        <v>455</v>
      </c>
      <c r="R793" s="7" t="s">
        <v>281</v>
      </c>
      <c r="S793" s="7" t="s">
        <v>472</v>
      </c>
      <c r="T793" s="7" t="s">
        <v>223</v>
      </c>
      <c r="U793" s="7" t="s">
        <v>588</v>
      </c>
      <c r="V793" s="7" t="s">
        <v>1537</v>
      </c>
      <c r="W793" s="7" t="s">
        <v>921</v>
      </c>
      <c r="X793" s="7" t="s">
        <v>1538</v>
      </c>
      <c r="Y793" s="7" t="s">
        <v>1255</v>
      </c>
      <c r="Z793" s="7" t="s">
        <v>461</v>
      </c>
      <c r="AA793" s="7" t="s">
        <v>223</v>
      </c>
      <c r="AB793" s="18" t="n">
        <v>30</v>
      </c>
      <c r="AC793" s="7"/>
      <c r="AD793" s="7"/>
      <c r="AE793" s="7" t="s">
        <v>1541</v>
      </c>
    </row>
    <row r="794" customFormat="false" ht="21.75" hidden="false" customHeight="true" outlineLevel="0" collapsed="false">
      <c r="B794" s="15" t="n">
        <v>790</v>
      </c>
      <c r="C794" s="9" t="s">
        <v>55</v>
      </c>
      <c r="D794" s="9" t="s">
        <v>27</v>
      </c>
      <c r="E794" s="9" t="s">
        <v>91</v>
      </c>
      <c r="F794" s="9" t="s">
        <v>61</v>
      </c>
      <c r="G794" s="9" t="s">
        <v>1542</v>
      </c>
      <c r="H794" s="9" t="s">
        <v>163</v>
      </c>
      <c r="I794" s="9" t="s">
        <v>164</v>
      </c>
      <c r="J794" s="9" t="s">
        <v>468</v>
      </c>
      <c r="K794" s="9" t="s">
        <v>488</v>
      </c>
      <c r="L794" s="9" t="s">
        <v>1045</v>
      </c>
      <c r="M794" s="9" t="s">
        <v>281</v>
      </c>
      <c r="N794" s="9" t="s">
        <v>1297</v>
      </c>
      <c r="O794" s="9" t="s">
        <v>1535</v>
      </c>
      <c r="P794" s="9" t="s">
        <v>1536</v>
      </c>
      <c r="Q794" s="9" t="s">
        <v>455</v>
      </c>
      <c r="R794" s="9" t="s">
        <v>281</v>
      </c>
      <c r="S794" s="9" t="s">
        <v>472</v>
      </c>
      <c r="T794" s="9" t="s">
        <v>223</v>
      </c>
      <c r="U794" s="9" t="s">
        <v>588</v>
      </c>
      <c r="V794" s="9" t="s">
        <v>1537</v>
      </c>
      <c r="W794" s="9" t="s">
        <v>921</v>
      </c>
      <c r="X794" s="9" t="s">
        <v>1538</v>
      </c>
      <c r="Y794" s="9" t="s">
        <v>1255</v>
      </c>
      <c r="Z794" s="9" t="s">
        <v>461</v>
      </c>
      <c r="AA794" s="9" t="s">
        <v>223</v>
      </c>
      <c r="AB794" s="19" t="n">
        <v>50</v>
      </c>
      <c r="AC794" s="9"/>
      <c r="AD794" s="9"/>
      <c r="AE794" s="9" t="s">
        <v>165</v>
      </c>
    </row>
    <row r="795" customFormat="false" ht="21.75" hidden="false" customHeight="true" outlineLevel="0" collapsed="false">
      <c r="B795" s="14" t="n">
        <v>791</v>
      </c>
      <c r="C795" s="7" t="s">
        <v>55</v>
      </c>
      <c r="D795" s="7" t="s">
        <v>27</v>
      </c>
      <c r="E795" s="7" t="s">
        <v>91</v>
      </c>
      <c r="F795" s="7" t="s">
        <v>61</v>
      </c>
      <c r="G795" s="7" t="s">
        <v>1543</v>
      </c>
      <c r="H795" s="7" t="s">
        <v>163</v>
      </c>
      <c r="I795" s="7" t="s">
        <v>164</v>
      </c>
      <c r="J795" s="7" t="s">
        <v>468</v>
      </c>
      <c r="K795" s="7" t="s">
        <v>488</v>
      </c>
      <c r="L795" s="7" t="s">
        <v>1045</v>
      </c>
      <c r="M795" s="7" t="s">
        <v>281</v>
      </c>
      <c r="N795" s="7" t="s">
        <v>1297</v>
      </c>
      <c r="O795" s="7" t="s">
        <v>1535</v>
      </c>
      <c r="P795" s="7" t="s">
        <v>1536</v>
      </c>
      <c r="Q795" s="7" t="s">
        <v>455</v>
      </c>
      <c r="R795" s="7" t="s">
        <v>281</v>
      </c>
      <c r="S795" s="7" t="s">
        <v>472</v>
      </c>
      <c r="T795" s="7" t="s">
        <v>223</v>
      </c>
      <c r="U795" s="7" t="s">
        <v>588</v>
      </c>
      <c r="V795" s="7" t="s">
        <v>1537</v>
      </c>
      <c r="W795" s="7" t="s">
        <v>921</v>
      </c>
      <c r="X795" s="7" t="s">
        <v>1538</v>
      </c>
      <c r="Y795" s="7" t="s">
        <v>1255</v>
      </c>
      <c r="Z795" s="7" t="s">
        <v>461</v>
      </c>
      <c r="AA795" s="7" t="s">
        <v>223</v>
      </c>
      <c r="AB795" s="18" t="n">
        <v>70</v>
      </c>
      <c r="AC795" s="7"/>
      <c r="AD795" s="7"/>
      <c r="AE795" s="7" t="s">
        <v>167</v>
      </c>
    </row>
    <row r="796" customFormat="false" ht="21.75" hidden="false" customHeight="true" outlineLevel="0" collapsed="false">
      <c r="B796" s="15" t="n">
        <v>792</v>
      </c>
      <c r="C796" s="9" t="s">
        <v>55</v>
      </c>
      <c r="D796" s="9" t="s">
        <v>27</v>
      </c>
      <c r="E796" s="9" t="s">
        <v>91</v>
      </c>
      <c r="F796" s="9" t="s">
        <v>62</v>
      </c>
      <c r="G796" s="9" t="s">
        <v>321</v>
      </c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19"/>
      <c r="AC796" s="9"/>
      <c r="AD796" s="9"/>
      <c r="AE796" s="9" t="s">
        <v>1544</v>
      </c>
    </row>
    <row r="797" customFormat="false" ht="21.75" hidden="false" customHeight="true" outlineLevel="0" collapsed="false">
      <c r="B797" s="14" t="n">
        <v>793</v>
      </c>
      <c r="C797" s="7" t="s">
        <v>55</v>
      </c>
      <c r="D797" s="7" t="s">
        <v>27</v>
      </c>
      <c r="E797" s="7" t="s">
        <v>91</v>
      </c>
      <c r="F797" s="7" t="s">
        <v>63</v>
      </c>
      <c r="G797" s="7" t="s">
        <v>1545</v>
      </c>
      <c r="H797" s="7" t="s">
        <v>136</v>
      </c>
      <c r="I797" s="7" t="s">
        <v>137</v>
      </c>
      <c r="J797" s="7" t="s">
        <v>468</v>
      </c>
      <c r="K797" s="7" t="s">
        <v>1130</v>
      </c>
      <c r="L797" s="7" t="s">
        <v>528</v>
      </c>
      <c r="M797" s="7" t="s">
        <v>281</v>
      </c>
      <c r="N797" s="7" t="s">
        <v>1546</v>
      </c>
      <c r="O797" s="7" t="s">
        <v>1535</v>
      </c>
      <c r="P797" s="7" t="s">
        <v>1536</v>
      </c>
      <c r="Q797" s="7" t="s">
        <v>455</v>
      </c>
      <c r="R797" s="7" t="s">
        <v>281</v>
      </c>
      <c r="S797" s="7" t="s">
        <v>472</v>
      </c>
      <c r="T797" s="7" t="s">
        <v>356</v>
      </c>
      <c r="U797" s="7" t="s">
        <v>588</v>
      </c>
      <c r="V797" s="7" t="s">
        <v>1253</v>
      </c>
      <c r="W797" s="7" t="s">
        <v>921</v>
      </c>
      <c r="X797" s="7" t="s">
        <v>1547</v>
      </c>
      <c r="Y797" s="7" t="s">
        <v>1548</v>
      </c>
      <c r="Z797" s="7" t="s">
        <v>461</v>
      </c>
      <c r="AA797" s="7" t="s">
        <v>183</v>
      </c>
      <c r="AB797" s="18" t="n">
        <v>25</v>
      </c>
      <c r="AC797" s="7"/>
      <c r="AD797" s="7"/>
      <c r="AE797" s="7" t="s">
        <v>155</v>
      </c>
    </row>
    <row r="798" customFormat="false" ht="21.75" hidden="false" customHeight="true" outlineLevel="0" collapsed="false">
      <c r="B798" s="15" t="n">
        <v>794</v>
      </c>
      <c r="C798" s="9" t="s">
        <v>55</v>
      </c>
      <c r="D798" s="9" t="s">
        <v>27</v>
      </c>
      <c r="E798" s="9" t="s">
        <v>91</v>
      </c>
      <c r="F798" s="9" t="s">
        <v>63</v>
      </c>
      <c r="G798" s="9" t="s">
        <v>1549</v>
      </c>
      <c r="H798" s="9" t="s">
        <v>157</v>
      </c>
      <c r="I798" s="9" t="s">
        <v>158</v>
      </c>
      <c r="J798" s="9" t="s">
        <v>468</v>
      </c>
      <c r="K798" s="9" t="s">
        <v>1130</v>
      </c>
      <c r="L798" s="9" t="s">
        <v>528</v>
      </c>
      <c r="M798" s="9" t="s">
        <v>281</v>
      </c>
      <c r="N798" s="9" t="s">
        <v>1546</v>
      </c>
      <c r="O798" s="9" t="s">
        <v>1535</v>
      </c>
      <c r="P798" s="9" t="s">
        <v>1536</v>
      </c>
      <c r="Q798" s="9" t="s">
        <v>455</v>
      </c>
      <c r="R798" s="9" t="s">
        <v>281</v>
      </c>
      <c r="S798" s="9" t="s">
        <v>472</v>
      </c>
      <c r="T798" s="9" t="s">
        <v>356</v>
      </c>
      <c r="U798" s="9" t="s">
        <v>588</v>
      </c>
      <c r="V798" s="9" t="s">
        <v>1253</v>
      </c>
      <c r="W798" s="9" t="s">
        <v>921</v>
      </c>
      <c r="X798" s="9" t="s">
        <v>1547</v>
      </c>
      <c r="Y798" s="9" t="s">
        <v>1548</v>
      </c>
      <c r="Z798" s="9" t="s">
        <v>461</v>
      </c>
      <c r="AA798" s="9" t="s">
        <v>183</v>
      </c>
      <c r="AB798" s="19" t="n">
        <v>30</v>
      </c>
      <c r="AC798" s="9"/>
      <c r="AD798" s="9"/>
      <c r="AE798" s="9" t="s">
        <v>159</v>
      </c>
    </row>
    <row r="799" customFormat="false" ht="21.75" hidden="false" customHeight="true" outlineLevel="0" collapsed="false">
      <c r="B799" s="14" t="n">
        <v>795</v>
      </c>
      <c r="C799" s="7" t="s">
        <v>55</v>
      </c>
      <c r="D799" s="7" t="s">
        <v>27</v>
      </c>
      <c r="E799" s="7" t="s">
        <v>91</v>
      </c>
      <c r="F799" s="7" t="s">
        <v>63</v>
      </c>
      <c r="G799" s="7" t="s">
        <v>1550</v>
      </c>
      <c r="H799" s="7" t="s">
        <v>157</v>
      </c>
      <c r="I799" s="7" t="s">
        <v>158</v>
      </c>
      <c r="J799" s="7" t="s">
        <v>468</v>
      </c>
      <c r="K799" s="7" t="s">
        <v>1130</v>
      </c>
      <c r="L799" s="7" t="s">
        <v>528</v>
      </c>
      <c r="M799" s="7" t="s">
        <v>281</v>
      </c>
      <c r="N799" s="7" t="s">
        <v>1546</v>
      </c>
      <c r="O799" s="7" t="s">
        <v>1535</v>
      </c>
      <c r="P799" s="7" t="s">
        <v>1536</v>
      </c>
      <c r="Q799" s="7" t="s">
        <v>455</v>
      </c>
      <c r="R799" s="7" t="s">
        <v>281</v>
      </c>
      <c r="S799" s="7" t="s">
        <v>472</v>
      </c>
      <c r="T799" s="7" t="s">
        <v>356</v>
      </c>
      <c r="U799" s="7" t="s">
        <v>588</v>
      </c>
      <c r="V799" s="7" t="s">
        <v>1253</v>
      </c>
      <c r="W799" s="7" t="s">
        <v>921</v>
      </c>
      <c r="X799" s="7" t="s">
        <v>1547</v>
      </c>
      <c r="Y799" s="7" t="s">
        <v>1548</v>
      </c>
      <c r="Z799" s="7" t="s">
        <v>461</v>
      </c>
      <c r="AA799" s="7" t="s">
        <v>183</v>
      </c>
      <c r="AB799" s="18" t="n">
        <v>40</v>
      </c>
      <c r="AC799" s="7"/>
      <c r="AD799" s="7"/>
      <c r="AE799" s="7" t="s">
        <v>1551</v>
      </c>
    </row>
    <row r="800" customFormat="false" ht="21.75" hidden="false" customHeight="true" outlineLevel="0" collapsed="false">
      <c r="B800" s="15" t="n">
        <v>796</v>
      </c>
      <c r="C800" s="9" t="s">
        <v>55</v>
      </c>
      <c r="D800" s="9" t="s">
        <v>27</v>
      </c>
      <c r="E800" s="9" t="s">
        <v>91</v>
      </c>
      <c r="F800" s="9" t="s">
        <v>63</v>
      </c>
      <c r="G800" s="9" t="s">
        <v>1552</v>
      </c>
      <c r="H800" s="9" t="s">
        <v>163</v>
      </c>
      <c r="I800" s="9" t="s">
        <v>164</v>
      </c>
      <c r="J800" s="9" t="s">
        <v>468</v>
      </c>
      <c r="K800" s="9" t="s">
        <v>1130</v>
      </c>
      <c r="L800" s="9" t="s">
        <v>528</v>
      </c>
      <c r="M800" s="9" t="s">
        <v>281</v>
      </c>
      <c r="N800" s="9" t="s">
        <v>1546</v>
      </c>
      <c r="O800" s="9" t="s">
        <v>1535</v>
      </c>
      <c r="P800" s="9" t="s">
        <v>1536</v>
      </c>
      <c r="Q800" s="9" t="s">
        <v>455</v>
      </c>
      <c r="R800" s="9" t="s">
        <v>281</v>
      </c>
      <c r="S800" s="9" t="s">
        <v>472</v>
      </c>
      <c r="T800" s="9" t="s">
        <v>356</v>
      </c>
      <c r="U800" s="9" t="s">
        <v>588</v>
      </c>
      <c r="V800" s="9" t="s">
        <v>1253</v>
      </c>
      <c r="W800" s="9" t="s">
        <v>921</v>
      </c>
      <c r="X800" s="9" t="s">
        <v>1547</v>
      </c>
      <c r="Y800" s="9" t="s">
        <v>1548</v>
      </c>
      <c r="Z800" s="9" t="s">
        <v>461</v>
      </c>
      <c r="AA800" s="9" t="s">
        <v>183</v>
      </c>
      <c r="AB800" s="19" t="n">
        <v>55</v>
      </c>
      <c r="AC800" s="9"/>
      <c r="AD800" s="9"/>
      <c r="AE800" s="9" t="s">
        <v>165</v>
      </c>
    </row>
    <row r="801" customFormat="false" ht="21.75" hidden="false" customHeight="true" outlineLevel="0" collapsed="false">
      <c r="B801" s="14" t="n">
        <v>797</v>
      </c>
      <c r="C801" s="7" t="s">
        <v>55</v>
      </c>
      <c r="D801" s="7" t="s">
        <v>27</v>
      </c>
      <c r="E801" s="7" t="s">
        <v>91</v>
      </c>
      <c r="F801" s="7" t="s">
        <v>63</v>
      </c>
      <c r="G801" s="7" t="s">
        <v>1553</v>
      </c>
      <c r="H801" s="7" t="s">
        <v>163</v>
      </c>
      <c r="I801" s="7" t="s">
        <v>164</v>
      </c>
      <c r="J801" s="7" t="s">
        <v>468</v>
      </c>
      <c r="K801" s="7" t="s">
        <v>1130</v>
      </c>
      <c r="L801" s="7" t="s">
        <v>528</v>
      </c>
      <c r="M801" s="7" t="s">
        <v>281</v>
      </c>
      <c r="N801" s="7" t="s">
        <v>1546</v>
      </c>
      <c r="O801" s="7" t="s">
        <v>1535</v>
      </c>
      <c r="P801" s="7" t="s">
        <v>1536</v>
      </c>
      <c r="Q801" s="7" t="s">
        <v>455</v>
      </c>
      <c r="R801" s="7" t="s">
        <v>281</v>
      </c>
      <c r="S801" s="7" t="s">
        <v>472</v>
      </c>
      <c r="T801" s="7" t="s">
        <v>356</v>
      </c>
      <c r="U801" s="7" t="s">
        <v>588</v>
      </c>
      <c r="V801" s="7" t="s">
        <v>1253</v>
      </c>
      <c r="W801" s="7" t="s">
        <v>921</v>
      </c>
      <c r="X801" s="7" t="s">
        <v>1547</v>
      </c>
      <c r="Y801" s="7" t="s">
        <v>1548</v>
      </c>
      <c r="Z801" s="7" t="s">
        <v>461</v>
      </c>
      <c r="AA801" s="7" t="s">
        <v>183</v>
      </c>
      <c r="AB801" s="18" t="n">
        <v>85</v>
      </c>
      <c r="AC801" s="7"/>
      <c r="AD801" s="7"/>
      <c r="AE801" s="7" t="s">
        <v>167</v>
      </c>
    </row>
    <row r="802" customFormat="false" ht="21.75" hidden="false" customHeight="true" outlineLevel="0" collapsed="false">
      <c r="B802" s="15" t="n">
        <v>798</v>
      </c>
      <c r="C802" s="9" t="s">
        <v>55</v>
      </c>
      <c r="D802" s="9" t="s">
        <v>27</v>
      </c>
      <c r="E802" s="9" t="s">
        <v>91</v>
      </c>
      <c r="F802" s="9" t="s">
        <v>64</v>
      </c>
      <c r="G802" s="9" t="s">
        <v>1554</v>
      </c>
      <c r="H802" s="9" t="s">
        <v>136</v>
      </c>
      <c r="I802" s="9" t="s">
        <v>137</v>
      </c>
      <c r="J802" s="9" t="s">
        <v>468</v>
      </c>
      <c r="K802" s="9" t="s">
        <v>1419</v>
      </c>
      <c r="L802" s="9" t="s">
        <v>205</v>
      </c>
      <c r="M802" s="9" t="s">
        <v>281</v>
      </c>
      <c r="N802" s="9" t="s">
        <v>1555</v>
      </c>
      <c r="O802" s="9" t="s">
        <v>1535</v>
      </c>
      <c r="P802" s="9" t="s">
        <v>1536</v>
      </c>
      <c r="Q802" s="9" t="s">
        <v>455</v>
      </c>
      <c r="R802" s="9" t="s">
        <v>281</v>
      </c>
      <c r="S802" s="9" t="s">
        <v>472</v>
      </c>
      <c r="T802" s="9" t="s">
        <v>356</v>
      </c>
      <c r="U802" s="9" t="s">
        <v>588</v>
      </c>
      <c r="V802" s="9" t="s">
        <v>387</v>
      </c>
      <c r="W802" s="9" t="s">
        <v>921</v>
      </c>
      <c r="X802" s="9" t="s">
        <v>1556</v>
      </c>
      <c r="Y802" s="9" t="s">
        <v>841</v>
      </c>
      <c r="Z802" s="9" t="s">
        <v>461</v>
      </c>
      <c r="AA802" s="9" t="s">
        <v>183</v>
      </c>
      <c r="AB802" s="19" t="n">
        <v>30</v>
      </c>
      <c r="AC802" s="9"/>
      <c r="AD802" s="9"/>
      <c r="AE802" s="9" t="s">
        <v>155</v>
      </c>
    </row>
    <row r="803" customFormat="false" ht="21.75" hidden="false" customHeight="true" outlineLevel="0" collapsed="false">
      <c r="B803" s="14" t="n">
        <v>799</v>
      </c>
      <c r="C803" s="7" t="s">
        <v>55</v>
      </c>
      <c r="D803" s="7" t="s">
        <v>27</v>
      </c>
      <c r="E803" s="7" t="s">
        <v>91</v>
      </c>
      <c r="F803" s="7" t="s">
        <v>64</v>
      </c>
      <c r="G803" s="7" t="s">
        <v>1553</v>
      </c>
      <c r="H803" s="7" t="s">
        <v>136</v>
      </c>
      <c r="I803" s="7" t="s">
        <v>137</v>
      </c>
      <c r="J803" s="7" t="s">
        <v>468</v>
      </c>
      <c r="K803" s="7" t="s">
        <v>1419</v>
      </c>
      <c r="L803" s="7" t="s">
        <v>205</v>
      </c>
      <c r="M803" s="7" t="s">
        <v>281</v>
      </c>
      <c r="N803" s="7" t="s">
        <v>1555</v>
      </c>
      <c r="O803" s="7" t="s">
        <v>1535</v>
      </c>
      <c r="P803" s="7" t="s">
        <v>1536</v>
      </c>
      <c r="Q803" s="7" t="s">
        <v>455</v>
      </c>
      <c r="R803" s="7" t="s">
        <v>281</v>
      </c>
      <c r="S803" s="7" t="s">
        <v>472</v>
      </c>
      <c r="T803" s="7" t="s">
        <v>356</v>
      </c>
      <c r="U803" s="7" t="s">
        <v>588</v>
      </c>
      <c r="V803" s="7" t="s">
        <v>387</v>
      </c>
      <c r="W803" s="7" t="s">
        <v>921</v>
      </c>
      <c r="X803" s="7" t="s">
        <v>1556</v>
      </c>
      <c r="Y803" s="7" t="s">
        <v>841</v>
      </c>
      <c r="Z803" s="7" t="s">
        <v>461</v>
      </c>
      <c r="AA803" s="7" t="s">
        <v>183</v>
      </c>
      <c r="AB803" s="18" t="n">
        <v>45</v>
      </c>
      <c r="AC803" s="7"/>
      <c r="AD803" s="7"/>
      <c r="AE803" s="7" t="s">
        <v>159</v>
      </c>
    </row>
    <row r="804" customFormat="false" ht="21.75" hidden="false" customHeight="true" outlineLevel="0" collapsed="false">
      <c r="B804" s="15" t="n">
        <v>800</v>
      </c>
      <c r="C804" s="9" t="s">
        <v>55</v>
      </c>
      <c r="D804" s="9" t="s">
        <v>27</v>
      </c>
      <c r="E804" s="9" t="s">
        <v>91</v>
      </c>
      <c r="F804" s="9" t="s">
        <v>64</v>
      </c>
      <c r="G804" s="9" t="s">
        <v>1557</v>
      </c>
      <c r="H804" s="9" t="s">
        <v>157</v>
      </c>
      <c r="I804" s="9" t="s">
        <v>158</v>
      </c>
      <c r="J804" s="9" t="s">
        <v>468</v>
      </c>
      <c r="K804" s="9" t="s">
        <v>1419</v>
      </c>
      <c r="L804" s="9" t="s">
        <v>205</v>
      </c>
      <c r="M804" s="9" t="s">
        <v>281</v>
      </c>
      <c r="N804" s="9" t="s">
        <v>1555</v>
      </c>
      <c r="O804" s="9" t="s">
        <v>1535</v>
      </c>
      <c r="P804" s="9" t="s">
        <v>1536</v>
      </c>
      <c r="Q804" s="9" t="s">
        <v>455</v>
      </c>
      <c r="R804" s="9" t="s">
        <v>281</v>
      </c>
      <c r="S804" s="9" t="s">
        <v>472</v>
      </c>
      <c r="T804" s="9" t="s">
        <v>356</v>
      </c>
      <c r="U804" s="9" t="s">
        <v>588</v>
      </c>
      <c r="V804" s="9" t="s">
        <v>387</v>
      </c>
      <c r="W804" s="9" t="s">
        <v>921</v>
      </c>
      <c r="X804" s="9" t="s">
        <v>1556</v>
      </c>
      <c r="Y804" s="9" t="s">
        <v>841</v>
      </c>
      <c r="Z804" s="9" t="s">
        <v>461</v>
      </c>
      <c r="AA804" s="9" t="s">
        <v>183</v>
      </c>
      <c r="AB804" s="19" t="n">
        <v>60</v>
      </c>
      <c r="AC804" s="9"/>
      <c r="AD804" s="9"/>
      <c r="AE804" s="9" t="s">
        <v>1558</v>
      </c>
    </row>
    <row r="805" customFormat="false" ht="21.75" hidden="false" customHeight="true" outlineLevel="0" collapsed="false">
      <c r="B805" s="14" t="n">
        <v>801</v>
      </c>
      <c r="C805" s="7" t="s">
        <v>55</v>
      </c>
      <c r="D805" s="7" t="s">
        <v>27</v>
      </c>
      <c r="E805" s="7" t="s">
        <v>91</v>
      </c>
      <c r="F805" s="7" t="s">
        <v>64</v>
      </c>
      <c r="G805" s="7" t="s">
        <v>1559</v>
      </c>
      <c r="H805" s="7" t="s">
        <v>157</v>
      </c>
      <c r="I805" s="7" t="s">
        <v>158</v>
      </c>
      <c r="J805" s="7" t="s">
        <v>468</v>
      </c>
      <c r="K805" s="7" t="s">
        <v>1419</v>
      </c>
      <c r="L805" s="7" t="s">
        <v>205</v>
      </c>
      <c r="M805" s="7" t="s">
        <v>281</v>
      </c>
      <c r="N805" s="7" t="s">
        <v>1555</v>
      </c>
      <c r="O805" s="7" t="s">
        <v>1535</v>
      </c>
      <c r="P805" s="7" t="s">
        <v>1536</v>
      </c>
      <c r="Q805" s="7" t="s">
        <v>455</v>
      </c>
      <c r="R805" s="7" t="s">
        <v>281</v>
      </c>
      <c r="S805" s="7" t="s">
        <v>472</v>
      </c>
      <c r="T805" s="7" t="s">
        <v>356</v>
      </c>
      <c r="U805" s="7" t="s">
        <v>588</v>
      </c>
      <c r="V805" s="7" t="s">
        <v>387</v>
      </c>
      <c r="W805" s="7" t="s">
        <v>921</v>
      </c>
      <c r="X805" s="7" t="s">
        <v>1556</v>
      </c>
      <c r="Y805" s="7" t="s">
        <v>841</v>
      </c>
      <c r="Z805" s="7" t="s">
        <v>461</v>
      </c>
      <c r="AA805" s="7" t="s">
        <v>183</v>
      </c>
      <c r="AB805" s="18" t="n">
        <v>95</v>
      </c>
      <c r="AC805" s="7"/>
      <c r="AD805" s="7"/>
      <c r="AE805" s="7" t="s">
        <v>165</v>
      </c>
    </row>
    <row r="806" customFormat="false" ht="21.75" hidden="false" customHeight="true" outlineLevel="0" collapsed="false">
      <c r="B806" s="15" t="n">
        <v>802</v>
      </c>
      <c r="C806" s="9" t="s">
        <v>55</v>
      </c>
      <c r="D806" s="9" t="s">
        <v>27</v>
      </c>
      <c r="E806" s="9" t="s">
        <v>91</v>
      </c>
      <c r="F806" s="9" t="s">
        <v>64</v>
      </c>
      <c r="G806" s="9" t="s">
        <v>1560</v>
      </c>
      <c r="H806" s="9" t="s">
        <v>163</v>
      </c>
      <c r="I806" s="9" t="s">
        <v>164</v>
      </c>
      <c r="J806" s="9" t="s">
        <v>468</v>
      </c>
      <c r="K806" s="9" t="s">
        <v>1419</v>
      </c>
      <c r="L806" s="9" t="s">
        <v>205</v>
      </c>
      <c r="M806" s="9" t="s">
        <v>281</v>
      </c>
      <c r="N806" s="9" t="s">
        <v>1555</v>
      </c>
      <c r="O806" s="9" t="s">
        <v>1535</v>
      </c>
      <c r="P806" s="9" t="s">
        <v>1536</v>
      </c>
      <c r="Q806" s="9" t="s">
        <v>455</v>
      </c>
      <c r="R806" s="9" t="s">
        <v>281</v>
      </c>
      <c r="S806" s="9" t="s">
        <v>472</v>
      </c>
      <c r="T806" s="9" t="s">
        <v>356</v>
      </c>
      <c r="U806" s="9" t="s">
        <v>588</v>
      </c>
      <c r="V806" s="9" t="s">
        <v>387</v>
      </c>
      <c r="W806" s="9" t="s">
        <v>921</v>
      </c>
      <c r="X806" s="9" t="s">
        <v>1556</v>
      </c>
      <c r="Y806" s="9" t="s">
        <v>841</v>
      </c>
      <c r="Z806" s="9" t="s">
        <v>461</v>
      </c>
      <c r="AA806" s="9" t="s">
        <v>183</v>
      </c>
      <c r="AB806" s="19" t="n">
        <v>135</v>
      </c>
      <c r="AC806" s="9"/>
      <c r="AD806" s="9"/>
      <c r="AE806" s="9" t="s">
        <v>167</v>
      </c>
    </row>
    <row r="807" customFormat="false" ht="21.75" hidden="false" customHeight="true" outlineLevel="0" collapsed="false">
      <c r="B807" s="14" t="n">
        <v>803</v>
      </c>
      <c r="C807" s="7" t="s">
        <v>55</v>
      </c>
      <c r="D807" s="7" t="s">
        <v>27</v>
      </c>
      <c r="E807" s="7" t="s">
        <v>91</v>
      </c>
      <c r="F807" s="7" t="s">
        <v>65</v>
      </c>
      <c r="G807" s="7" t="s">
        <v>321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18"/>
      <c r="AC807" s="7"/>
      <c r="AD807" s="7"/>
      <c r="AE807" s="7" t="s">
        <v>1561</v>
      </c>
    </row>
    <row r="808" customFormat="false" ht="21.75" hidden="false" customHeight="true" outlineLevel="0" collapsed="false">
      <c r="B808" s="15" t="n">
        <v>804</v>
      </c>
      <c r="C808" s="9" t="s">
        <v>55</v>
      </c>
      <c r="D808" s="9" t="s">
        <v>27</v>
      </c>
      <c r="E808" s="9" t="s">
        <v>91</v>
      </c>
      <c r="F808" s="9" t="s">
        <v>66</v>
      </c>
      <c r="G808" s="9" t="s">
        <v>321</v>
      </c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9"/>
      <c r="AC808" s="9"/>
      <c r="AD808" s="9"/>
      <c r="AE808" s="9" t="s">
        <v>1562</v>
      </c>
    </row>
    <row r="809" customFormat="false" ht="21.75" hidden="false" customHeight="true" outlineLevel="0" collapsed="false">
      <c r="B809" s="14" t="n">
        <v>805</v>
      </c>
      <c r="C809" s="7" t="s">
        <v>55</v>
      </c>
      <c r="D809" s="7" t="s">
        <v>27</v>
      </c>
      <c r="E809" s="7" t="s">
        <v>91</v>
      </c>
      <c r="F809" s="7" t="s">
        <v>67</v>
      </c>
      <c r="G809" s="7" t="s">
        <v>321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18"/>
      <c r="AC809" s="7"/>
      <c r="AD809" s="7"/>
      <c r="AE809" s="7" t="s">
        <v>1563</v>
      </c>
    </row>
    <row r="810" customFormat="false" ht="21.75" hidden="false" customHeight="true" outlineLevel="0" collapsed="false">
      <c r="B810" s="15" t="n">
        <v>806</v>
      </c>
      <c r="C810" s="9" t="s">
        <v>55</v>
      </c>
      <c r="D810" s="9" t="s">
        <v>27</v>
      </c>
      <c r="E810" s="9" t="s">
        <v>91</v>
      </c>
      <c r="F810" s="9" t="s">
        <v>68</v>
      </c>
      <c r="G810" s="9" t="s">
        <v>321</v>
      </c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9"/>
      <c r="AC810" s="9"/>
      <c r="AD810" s="9"/>
      <c r="AE810" s="9" t="s">
        <v>1564</v>
      </c>
    </row>
    <row r="811" customFormat="false" ht="21.75" hidden="false" customHeight="true" outlineLevel="0" collapsed="false">
      <c r="B811" s="14" t="n">
        <v>807</v>
      </c>
      <c r="C811" s="7" t="s">
        <v>55</v>
      </c>
      <c r="D811" s="7" t="s">
        <v>27</v>
      </c>
      <c r="E811" s="7" t="s">
        <v>91</v>
      </c>
      <c r="F811" s="7" t="s">
        <v>69</v>
      </c>
      <c r="G811" s="7" t="s">
        <v>321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18"/>
      <c r="AC811" s="7"/>
      <c r="AD811" s="7"/>
      <c r="AE811" s="7" t="s">
        <v>1565</v>
      </c>
    </row>
    <row r="812" customFormat="false" ht="21.75" hidden="false" customHeight="true" outlineLevel="0" collapsed="false">
      <c r="B812" s="15" t="n">
        <v>808</v>
      </c>
      <c r="C812" s="9" t="s">
        <v>55</v>
      </c>
      <c r="D812" s="9" t="s">
        <v>27</v>
      </c>
      <c r="E812" s="9" t="s">
        <v>91</v>
      </c>
      <c r="F812" s="9" t="s">
        <v>70</v>
      </c>
      <c r="G812" s="9" t="s">
        <v>321</v>
      </c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9"/>
      <c r="AC812" s="9"/>
      <c r="AD812" s="9"/>
      <c r="AE812" s="9" t="s">
        <v>1566</v>
      </c>
    </row>
    <row r="813" customFormat="false" ht="21.75" hidden="false" customHeight="true" outlineLevel="0" collapsed="false">
      <c r="B813" s="14" t="n">
        <v>809</v>
      </c>
      <c r="C813" s="7" t="s">
        <v>55</v>
      </c>
      <c r="D813" s="7" t="s">
        <v>27</v>
      </c>
      <c r="E813" s="7" t="s">
        <v>91</v>
      </c>
      <c r="F813" s="7" t="s">
        <v>71</v>
      </c>
      <c r="G813" s="7" t="s">
        <v>321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18"/>
      <c r="AC813" s="7"/>
      <c r="AD813" s="7"/>
      <c r="AE813" s="7" t="s">
        <v>1567</v>
      </c>
    </row>
    <row r="814" customFormat="false" ht="21.75" hidden="false" customHeight="true" outlineLevel="0" collapsed="false">
      <c r="B814" s="15" t="n">
        <v>810</v>
      </c>
      <c r="C814" s="9" t="s">
        <v>55</v>
      </c>
      <c r="D814" s="9" t="s">
        <v>27</v>
      </c>
      <c r="E814" s="9" t="s">
        <v>91</v>
      </c>
      <c r="F814" s="9" t="s">
        <v>72</v>
      </c>
      <c r="G814" s="9" t="s">
        <v>1568</v>
      </c>
      <c r="H814" s="9" t="s">
        <v>301</v>
      </c>
      <c r="I814" s="9" t="s">
        <v>302</v>
      </c>
      <c r="J814" s="9" t="s">
        <v>866</v>
      </c>
      <c r="K814" s="9" t="s">
        <v>1401</v>
      </c>
      <c r="L814" s="9" t="s">
        <v>169</v>
      </c>
      <c r="M814" s="9" t="s">
        <v>281</v>
      </c>
      <c r="N814" s="9" t="s">
        <v>1569</v>
      </c>
      <c r="O814" s="9" t="s">
        <v>1535</v>
      </c>
      <c r="P814" s="9" t="s">
        <v>1536</v>
      </c>
      <c r="Q814" s="9" t="s">
        <v>455</v>
      </c>
      <c r="R814" s="9" t="s">
        <v>281</v>
      </c>
      <c r="S814" s="9" t="s">
        <v>472</v>
      </c>
      <c r="T814" s="9" t="s">
        <v>356</v>
      </c>
      <c r="U814" s="9" t="s">
        <v>588</v>
      </c>
      <c r="V814" s="9" t="s">
        <v>473</v>
      </c>
      <c r="W814" s="9" t="s">
        <v>921</v>
      </c>
      <c r="X814" s="9" t="s">
        <v>1570</v>
      </c>
      <c r="Y814" s="9" t="s">
        <v>1360</v>
      </c>
      <c r="Z814" s="9" t="s">
        <v>461</v>
      </c>
      <c r="AA814" s="9" t="s">
        <v>183</v>
      </c>
      <c r="AB814" s="19" t="n">
        <v>40</v>
      </c>
      <c r="AC814" s="9"/>
      <c r="AD814" s="9"/>
      <c r="AE814" s="9" t="s">
        <v>155</v>
      </c>
    </row>
    <row r="815" customFormat="false" ht="21.75" hidden="false" customHeight="true" outlineLevel="0" collapsed="false">
      <c r="B815" s="14" t="n">
        <v>811</v>
      </c>
      <c r="C815" s="7" t="s">
        <v>55</v>
      </c>
      <c r="D815" s="7" t="s">
        <v>27</v>
      </c>
      <c r="E815" s="7" t="s">
        <v>91</v>
      </c>
      <c r="F815" s="7" t="s">
        <v>72</v>
      </c>
      <c r="G815" s="7" t="s">
        <v>1571</v>
      </c>
      <c r="H815" s="7" t="s">
        <v>309</v>
      </c>
      <c r="I815" s="7" t="s">
        <v>310</v>
      </c>
      <c r="J815" s="7" t="s">
        <v>866</v>
      </c>
      <c r="K815" s="7" t="s">
        <v>1401</v>
      </c>
      <c r="L815" s="7" t="s">
        <v>169</v>
      </c>
      <c r="M815" s="7" t="s">
        <v>281</v>
      </c>
      <c r="N815" s="7" t="s">
        <v>1569</v>
      </c>
      <c r="O815" s="7" t="s">
        <v>1535</v>
      </c>
      <c r="P815" s="7" t="s">
        <v>1536</v>
      </c>
      <c r="Q815" s="7" t="s">
        <v>455</v>
      </c>
      <c r="R815" s="7" t="s">
        <v>281</v>
      </c>
      <c r="S815" s="7" t="s">
        <v>472</v>
      </c>
      <c r="T815" s="7" t="s">
        <v>356</v>
      </c>
      <c r="U815" s="7" t="s">
        <v>588</v>
      </c>
      <c r="V815" s="7" t="s">
        <v>473</v>
      </c>
      <c r="W815" s="7" t="s">
        <v>921</v>
      </c>
      <c r="X815" s="7" t="s">
        <v>1570</v>
      </c>
      <c r="Y815" s="7" t="s">
        <v>1360</v>
      </c>
      <c r="Z815" s="7" t="s">
        <v>461</v>
      </c>
      <c r="AA815" s="7" t="s">
        <v>183</v>
      </c>
      <c r="AB815" s="18" t="n">
        <v>60</v>
      </c>
      <c r="AC815" s="7"/>
      <c r="AD815" s="7"/>
      <c r="AE815" s="7" t="s">
        <v>159</v>
      </c>
    </row>
    <row r="816" customFormat="false" ht="21.75" hidden="false" customHeight="true" outlineLevel="0" collapsed="false">
      <c r="B816" s="15" t="n">
        <v>812</v>
      </c>
      <c r="C816" s="9" t="s">
        <v>55</v>
      </c>
      <c r="D816" s="9" t="s">
        <v>27</v>
      </c>
      <c r="E816" s="9" t="s">
        <v>91</v>
      </c>
      <c r="F816" s="9" t="s">
        <v>72</v>
      </c>
      <c r="G816" s="9" t="s">
        <v>1572</v>
      </c>
      <c r="H816" s="9" t="s">
        <v>309</v>
      </c>
      <c r="I816" s="9" t="s">
        <v>310</v>
      </c>
      <c r="J816" s="9" t="s">
        <v>866</v>
      </c>
      <c r="K816" s="9" t="s">
        <v>1401</v>
      </c>
      <c r="L816" s="9" t="s">
        <v>169</v>
      </c>
      <c r="M816" s="9" t="s">
        <v>281</v>
      </c>
      <c r="N816" s="9" t="s">
        <v>1569</v>
      </c>
      <c r="O816" s="9" t="s">
        <v>1535</v>
      </c>
      <c r="P816" s="9" t="s">
        <v>1536</v>
      </c>
      <c r="Q816" s="9" t="s">
        <v>455</v>
      </c>
      <c r="R816" s="9" t="s">
        <v>281</v>
      </c>
      <c r="S816" s="9" t="s">
        <v>472</v>
      </c>
      <c r="T816" s="9" t="s">
        <v>356</v>
      </c>
      <c r="U816" s="9" t="s">
        <v>588</v>
      </c>
      <c r="V816" s="9" t="s">
        <v>473</v>
      </c>
      <c r="W816" s="9" t="s">
        <v>921</v>
      </c>
      <c r="X816" s="9" t="s">
        <v>1570</v>
      </c>
      <c r="Y816" s="9" t="s">
        <v>1360</v>
      </c>
      <c r="Z816" s="9" t="s">
        <v>461</v>
      </c>
      <c r="AA816" s="9" t="s">
        <v>183</v>
      </c>
      <c r="AB816" s="19" t="n">
        <v>80</v>
      </c>
      <c r="AC816" s="9"/>
      <c r="AD816" s="9"/>
      <c r="AE816" s="9" t="s">
        <v>1573</v>
      </c>
    </row>
    <row r="817" customFormat="false" ht="21.75" hidden="false" customHeight="true" outlineLevel="0" collapsed="false">
      <c r="B817" s="14" t="n">
        <v>813</v>
      </c>
      <c r="C817" s="7" t="s">
        <v>55</v>
      </c>
      <c r="D817" s="7" t="s">
        <v>27</v>
      </c>
      <c r="E817" s="7" t="s">
        <v>91</v>
      </c>
      <c r="F817" s="7" t="s">
        <v>72</v>
      </c>
      <c r="G817" s="7" t="s">
        <v>1574</v>
      </c>
      <c r="H817" s="7" t="s">
        <v>309</v>
      </c>
      <c r="I817" s="7" t="s">
        <v>310</v>
      </c>
      <c r="J817" s="7" t="s">
        <v>866</v>
      </c>
      <c r="K817" s="7" t="s">
        <v>1401</v>
      </c>
      <c r="L817" s="7" t="s">
        <v>169</v>
      </c>
      <c r="M817" s="7" t="s">
        <v>281</v>
      </c>
      <c r="N817" s="7" t="s">
        <v>1569</v>
      </c>
      <c r="O817" s="7" t="s">
        <v>1535</v>
      </c>
      <c r="P817" s="7" t="s">
        <v>1536</v>
      </c>
      <c r="Q817" s="7" t="s">
        <v>455</v>
      </c>
      <c r="R817" s="7" t="s">
        <v>281</v>
      </c>
      <c r="S817" s="7" t="s">
        <v>472</v>
      </c>
      <c r="T817" s="7" t="s">
        <v>356</v>
      </c>
      <c r="U817" s="7" t="s">
        <v>588</v>
      </c>
      <c r="V817" s="7" t="s">
        <v>473</v>
      </c>
      <c r="W817" s="7" t="s">
        <v>921</v>
      </c>
      <c r="X817" s="7" t="s">
        <v>1570</v>
      </c>
      <c r="Y817" s="7" t="s">
        <v>1360</v>
      </c>
      <c r="Z817" s="7" t="s">
        <v>461</v>
      </c>
      <c r="AA817" s="7" t="s">
        <v>183</v>
      </c>
      <c r="AB817" s="18" t="n">
        <v>115</v>
      </c>
      <c r="AC817" s="7"/>
      <c r="AD817" s="7"/>
      <c r="AE817" s="7" t="s">
        <v>165</v>
      </c>
    </row>
    <row r="818" customFormat="false" ht="21.75" hidden="false" customHeight="true" outlineLevel="0" collapsed="false">
      <c r="B818" s="15" t="n">
        <v>814</v>
      </c>
      <c r="C818" s="9" t="s">
        <v>55</v>
      </c>
      <c r="D818" s="9" t="s">
        <v>27</v>
      </c>
      <c r="E818" s="9" t="s">
        <v>91</v>
      </c>
      <c r="F818" s="9" t="s">
        <v>72</v>
      </c>
      <c r="G818" s="9" t="s">
        <v>1575</v>
      </c>
      <c r="H818" s="9" t="s">
        <v>315</v>
      </c>
      <c r="I818" s="9" t="s">
        <v>316</v>
      </c>
      <c r="J818" s="9" t="s">
        <v>866</v>
      </c>
      <c r="K818" s="9" t="s">
        <v>1401</v>
      </c>
      <c r="L818" s="9" t="s">
        <v>169</v>
      </c>
      <c r="M818" s="9" t="s">
        <v>281</v>
      </c>
      <c r="N818" s="9" t="s">
        <v>1569</v>
      </c>
      <c r="O818" s="9" t="s">
        <v>1535</v>
      </c>
      <c r="P818" s="9" t="s">
        <v>1536</v>
      </c>
      <c r="Q818" s="9" t="s">
        <v>455</v>
      </c>
      <c r="R818" s="9" t="s">
        <v>281</v>
      </c>
      <c r="S818" s="9" t="s">
        <v>472</v>
      </c>
      <c r="T818" s="9" t="s">
        <v>356</v>
      </c>
      <c r="U818" s="9" t="s">
        <v>588</v>
      </c>
      <c r="V818" s="9" t="s">
        <v>473</v>
      </c>
      <c r="W818" s="9" t="s">
        <v>921</v>
      </c>
      <c r="X818" s="9" t="s">
        <v>1570</v>
      </c>
      <c r="Y818" s="9" t="s">
        <v>1360</v>
      </c>
      <c r="Z818" s="9" t="s">
        <v>461</v>
      </c>
      <c r="AA818" s="9" t="s">
        <v>183</v>
      </c>
      <c r="AB818" s="19" t="n">
        <v>170</v>
      </c>
      <c r="AC818" s="9"/>
      <c r="AD818" s="9"/>
      <c r="AE818" s="9" t="s">
        <v>167</v>
      </c>
    </row>
    <row r="819" customFormat="false" ht="21.75" hidden="false" customHeight="true" outlineLevel="0" collapsed="false">
      <c r="B819" s="14" t="n">
        <v>815</v>
      </c>
      <c r="C819" s="7" t="s">
        <v>55</v>
      </c>
      <c r="D819" s="7" t="s">
        <v>27</v>
      </c>
      <c r="E819" s="7" t="s">
        <v>91</v>
      </c>
      <c r="F819" s="7" t="s">
        <v>73</v>
      </c>
      <c r="G819" s="7" t="s">
        <v>1576</v>
      </c>
      <c r="H819" s="7" t="s">
        <v>136</v>
      </c>
      <c r="I819" s="7" t="s">
        <v>137</v>
      </c>
      <c r="J819" s="7" t="s">
        <v>468</v>
      </c>
      <c r="K819" s="7" t="s">
        <v>1419</v>
      </c>
      <c r="L819" s="7" t="s">
        <v>1045</v>
      </c>
      <c r="M819" s="7" t="s">
        <v>281</v>
      </c>
      <c r="N819" s="7" t="s">
        <v>1577</v>
      </c>
      <c r="O819" s="7" t="s">
        <v>1535</v>
      </c>
      <c r="P819" s="7" t="s">
        <v>1536</v>
      </c>
      <c r="Q819" s="7" t="s">
        <v>455</v>
      </c>
      <c r="R819" s="7" t="s">
        <v>281</v>
      </c>
      <c r="S819" s="7" t="s">
        <v>472</v>
      </c>
      <c r="T819" s="7" t="s">
        <v>223</v>
      </c>
      <c r="U819" s="7" t="s">
        <v>588</v>
      </c>
      <c r="V819" s="7" t="s">
        <v>1375</v>
      </c>
      <c r="W819" s="7" t="s">
        <v>921</v>
      </c>
      <c r="X819" s="7" t="s">
        <v>1578</v>
      </c>
      <c r="Y819" s="7" t="s">
        <v>590</v>
      </c>
      <c r="Z819" s="7" t="s">
        <v>461</v>
      </c>
      <c r="AA819" s="7" t="s">
        <v>223</v>
      </c>
      <c r="AB819" s="18" t="n">
        <v>25</v>
      </c>
      <c r="AC819" s="7"/>
      <c r="AD819" s="7"/>
      <c r="AE819" s="7" t="s">
        <v>155</v>
      </c>
    </row>
    <row r="820" customFormat="false" ht="21.75" hidden="false" customHeight="true" outlineLevel="0" collapsed="false">
      <c r="B820" s="15" t="n">
        <v>816</v>
      </c>
      <c r="C820" s="9" t="s">
        <v>55</v>
      </c>
      <c r="D820" s="9" t="s">
        <v>27</v>
      </c>
      <c r="E820" s="9" t="s">
        <v>91</v>
      </c>
      <c r="F820" s="9" t="s">
        <v>73</v>
      </c>
      <c r="G820" s="9" t="s">
        <v>1579</v>
      </c>
      <c r="H820" s="9" t="s">
        <v>157</v>
      </c>
      <c r="I820" s="9" t="s">
        <v>158</v>
      </c>
      <c r="J820" s="9" t="s">
        <v>468</v>
      </c>
      <c r="K820" s="9" t="s">
        <v>1419</v>
      </c>
      <c r="L820" s="9" t="s">
        <v>1045</v>
      </c>
      <c r="M820" s="9" t="s">
        <v>281</v>
      </c>
      <c r="N820" s="9" t="s">
        <v>1577</v>
      </c>
      <c r="O820" s="9" t="s">
        <v>1535</v>
      </c>
      <c r="P820" s="9" t="s">
        <v>1536</v>
      </c>
      <c r="Q820" s="9" t="s">
        <v>455</v>
      </c>
      <c r="R820" s="9" t="s">
        <v>281</v>
      </c>
      <c r="S820" s="9" t="s">
        <v>472</v>
      </c>
      <c r="T820" s="9" t="s">
        <v>223</v>
      </c>
      <c r="U820" s="9" t="s">
        <v>588</v>
      </c>
      <c r="V820" s="9" t="s">
        <v>1375</v>
      </c>
      <c r="W820" s="9" t="s">
        <v>921</v>
      </c>
      <c r="X820" s="9" t="s">
        <v>1578</v>
      </c>
      <c r="Y820" s="9" t="s">
        <v>590</v>
      </c>
      <c r="Z820" s="9" t="s">
        <v>461</v>
      </c>
      <c r="AA820" s="9" t="s">
        <v>223</v>
      </c>
      <c r="AB820" s="19" t="n">
        <v>35</v>
      </c>
      <c r="AC820" s="9"/>
      <c r="AD820" s="9"/>
      <c r="AE820" s="9" t="s">
        <v>159</v>
      </c>
    </row>
    <row r="821" customFormat="false" ht="21.75" hidden="false" customHeight="true" outlineLevel="0" collapsed="false">
      <c r="B821" s="14" t="n">
        <v>817</v>
      </c>
      <c r="C821" s="7" t="s">
        <v>55</v>
      </c>
      <c r="D821" s="7" t="s">
        <v>27</v>
      </c>
      <c r="E821" s="7" t="s">
        <v>91</v>
      </c>
      <c r="F821" s="7" t="s">
        <v>73</v>
      </c>
      <c r="G821" s="7" t="s">
        <v>1580</v>
      </c>
      <c r="H821" s="7" t="s">
        <v>157</v>
      </c>
      <c r="I821" s="7" t="s">
        <v>158</v>
      </c>
      <c r="J821" s="7" t="s">
        <v>468</v>
      </c>
      <c r="K821" s="7" t="s">
        <v>1419</v>
      </c>
      <c r="L821" s="7" t="s">
        <v>1045</v>
      </c>
      <c r="M821" s="7" t="s">
        <v>281</v>
      </c>
      <c r="N821" s="7" t="s">
        <v>1577</v>
      </c>
      <c r="O821" s="7" t="s">
        <v>1535</v>
      </c>
      <c r="P821" s="7" t="s">
        <v>1536</v>
      </c>
      <c r="Q821" s="7" t="s">
        <v>455</v>
      </c>
      <c r="R821" s="7" t="s">
        <v>281</v>
      </c>
      <c r="S821" s="7" t="s">
        <v>472</v>
      </c>
      <c r="T821" s="7" t="s">
        <v>223</v>
      </c>
      <c r="U821" s="7" t="s">
        <v>588</v>
      </c>
      <c r="V821" s="7" t="s">
        <v>1375</v>
      </c>
      <c r="W821" s="7" t="s">
        <v>921</v>
      </c>
      <c r="X821" s="7" t="s">
        <v>1578</v>
      </c>
      <c r="Y821" s="7" t="s">
        <v>590</v>
      </c>
      <c r="Z821" s="7" t="s">
        <v>461</v>
      </c>
      <c r="AA821" s="7" t="s">
        <v>223</v>
      </c>
      <c r="AB821" s="18" t="n">
        <v>45</v>
      </c>
      <c r="AC821" s="7"/>
      <c r="AD821" s="7"/>
      <c r="AE821" s="7" t="s">
        <v>1581</v>
      </c>
    </row>
    <row r="822" customFormat="false" ht="21.75" hidden="false" customHeight="true" outlineLevel="0" collapsed="false">
      <c r="B822" s="15" t="n">
        <v>818</v>
      </c>
      <c r="C822" s="9" t="s">
        <v>55</v>
      </c>
      <c r="D822" s="9" t="s">
        <v>27</v>
      </c>
      <c r="E822" s="9" t="s">
        <v>91</v>
      </c>
      <c r="F822" s="9" t="s">
        <v>73</v>
      </c>
      <c r="G822" s="9" t="s">
        <v>1582</v>
      </c>
      <c r="H822" s="9" t="s">
        <v>163</v>
      </c>
      <c r="I822" s="9" t="s">
        <v>164</v>
      </c>
      <c r="J822" s="9" t="s">
        <v>468</v>
      </c>
      <c r="K822" s="9" t="s">
        <v>1419</v>
      </c>
      <c r="L822" s="9" t="s">
        <v>1045</v>
      </c>
      <c r="M822" s="9" t="s">
        <v>281</v>
      </c>
      <c r="N822" s="9" t="s">
        <v>1577</v>
      </c>
      <c r="O822" s="9" t="s">
        <v>1535</v>
      </c>
      <c r="P822" s="9" t="s">
        <v>1536</v>
      </c>
      <c r="Q822" s="9" t="s">
        <v>455</v>
      </c>
      <c r="R822" s="9" t="s">
        <v>281</v>
      </c>
      <c r="S822" s="9" t="s">
        <v>472</v>
      </c>
      <c r="T822" s="9" t="s">
        <v>223</v>
      </c>
      <c r="U822" s="9" t="s">
        <v>588</v>
      </c>
      <c r="V822" s="9" t="s">
        <v>1375</v>
      </c>
      <c r="W822" s="9" t="s">
        <v>921</v>
      </c>
      <c r="X822" s="9" t="s">
        <v>1578</v>
      </c>
      <c r="Y822" s="9" t="s">
        <v>590</v>
      </c>
      <c r="Z822" s="9" t="s">
        <v>461</v>
      </c>
      <c r="AA822" s="9" t="s">
        <v>223</v>
      </c>
      <c r="AB822" s="19" t="n">
        <v>70</v>
      </c>
      <c r="AC822" s="9"/>
      <c r="AD822" s="9"/>
      <c r="AE822" s="9" t="s">
        <v>165</v>
      </c>
    </row>
    <row r="823" customFormat="false" ht="21.75" hidden="false" customHeight="true" outlineLevel="0" collapsed="false">
      <c r="B823" s="14" t="n">
        <v>819</v>
      </c>
      <c r="C823" s="7" t="s">
        <v>55</v>
      </c>
      <c r="D823" s="7" t="s">
        <v>27</v>
      </c>
      <c r="E823" s="7" t="s">
        <v>91</v>
      </c>
      <c r="F823" s="7" t="s">
        <v>73</v>
      </c>
      <c r="G823" s="7" t="s">
        <v>1583</v>
      </c>
      <c r="H823" s="7" t="s">
        <v>163</v>
      </c>
      <c r="I823" s="7" t="s">
        <v>164</v>
      </c>
      <c r="J823" s="7" t="s">
        <v>468</v>
      </c>
      <c r="K823" s="7" t="s">
        <v>1419</v>
      </c>
      <c r="L823" s="7" t="s">
        <v>1045</v>
      </c>
      <c r="M823" s="7" t="s">
        <v>281</v>
      </c>
      <c r="N823" s="7" t="s">
        <v>1577</v>
      </c>
      <c r="O823" s="7" t="s">
        <v>1535</v>
      </c>
      <c r="P823" s="7" t="s">
        <v>1536</v>
      </c>
      <c r="Q823" s="7" t="s">
        <v>455</v>
      </c>
      <c r="R823" s="7" t="s">
        <v>281</v>
      </c>
      <c r="S823" s="7" t="s">
        <v>472</v>
      </c>
      <c r="T823" s="7" t="s">
        <v>223</v>
      </c>
      <c r="U823" s="7" t="s">
        <v>588</v>
      </c>
      <c r="V823" s="7" t="s">
        <v>1375</v>
      </c>
      <c r="W823" s="7" t="s">
        <v>921</v>
      </c>
      <c r="X823" s="7" t="s">
        <v>1578</v>
      </c>
      <c r="Y823" s="7" t="s">
        <v>590</v>
      </c>
      <c r="Z823" s="7" t="s">
        <v>461</v>
      </c>
      <c r="AA823" s="7" t="s">
        <v>223</v>
      </c>
      <c r="AB823" s="18" t="n">
        <v>100</v>
      </c>
      <c r="AC823" s="7"/>
      <c r="AD823" s="7"/>
      <c r="AE823" s="7" t="s">
        <v>167</v>
      </c>
    </row>
    <row r="824" customFormat="false" ht="21.75" hidden="false" customHeight="true" outlineLevel="0" collapsed="false">
      <c r="B824" s="15" t="n">
        <v>820</v>
      </c>
      <c r="C824" s="9" t="s">
        <v>55</v>
      </c>
      <c r="D824" s="9" t="s">
        <v>27</v>
      </c>
      <c r="E824" s="9" t="s">
        <v>91</v>
      </c>
      <c r="F824" s="9" t="s">
        <v>74</v>
      </c>
      <c r="G824" s="9" t="s">
        <v>1584</v>
      </c>
      <c r="H824" s="9" t="s">
        <v>136</v>
      </c>
      <c r="I824" s="9" t="s">
        <v>137</v>
      </c>
      <c r="J824" s="9" t="s">
        <v>468</v>
      </c>
      <c r="K824" s="9" t="s">
        <v>1419</v>
      </c>
      <c r="L824" s="9" t="s">
        <v>1045</v>
      </c>
      <c r="M824" s="9" t="s">
        <v>281</v>
      </c>
      <c r="N824" s="9" t="s">
        <v>1421</v>
      </c>
      <c r="O824" s="9" t="s">
        <v>1535</v>
      </c>
      <c r="P824" s="9" t="s">
        <v>1536</v>
      </c>
      <c r="Q824" s="9" t="s">
        <v>455</v>
      </c>
      <c r="R824" s="9" t="s">
        <v>281</v>
      </c>
      <c r="S824" s="9" t="s">
        <v>472</v>
      </c>
      <c r="T824" s="9" t="s">
        <v>223</v>
      </c>
      <c r="U824" s="9" t="s">
        <v>588</v>
      </c>
      <c r="V824" s="9" t="s">
        <v>1375</v>
      </c>
      <c r="W824" s="9" t="s">
        <v>921</v>
      </c>
      <c r="X824" s="9" t="s">
        <v>1585</v>
      </c>
      <c r="Y824" s="9" t="s">
        <v>1586</v>
      </c>
      <c r="Z824" s="9" t="s">
        <v>461</v>
      </c>
      <c r="AA824" s="9" t="s">
        <v>223</v>
      </c>
      <c r="AB824" s="19" t="n">
        <v>25</v>
      </c>
      <c r="AC824" s="9"/>
      <c r="AD824" s="9"/>
      <c r="AE824" s="9" t="s">
        <v>155</v>
      </c>
    </row>
    <row r="825" customFormat="false" ht="21.75" hidden="false" customHeight="true" outlineLevel="0" collapsed="false">
      <c r="B825" s="14" t="n">
        <v>821</v>
      </c>
      <c r="C825" s="7" t="s">
        <v>55</v>
      </c>
      <c r="D825" s="7" t="s">
        <v>27</v>
      </c>
      <c r="E825" s="7" t="s">
        <v>91</v>
      </c>
      <c r="F825" s="7" t="s">
        <v>74</v>
      </c>
      <c r="G825" s="7" t="s">
        <v>1587</v>
      </c>
      <c r="H825" s="7" t="s">
        <v>136</v>
      </c>
      <c r="I825" s="7" t="s">
        <v>137</v>
      </c>
      <c r="J825" s="7" t="s">
        <v>468</v>
      </c>
      <c r="K825" s="7" t="s">
        <v>1419</v>
      </c>
      <c r="L825" s="7" t="s">
        <v>1045</v>
      </c>
      <c r="M825" s="7" t="s">
        <v>281</v>
      </c>
      <c r="N825" s="7" t="s">
        <v>1421</v>
      </c>
      <c r="O825" s="7" t="s">
        <v>1535</v>
      </c>
      <c r="P825" s="7" t="s">
        <v>1536</v>
      </c>
      <c r="Q825" s="7" t="s">
        <v>455</v>
      </c>
      <c r="R825" s="7" t="s">
        <v>281</v>
      </c>
      <c r="S825" s="7" t="s">
        <v>472</v>
      </c>
      <c r="T825" s="7" t="s">
        <v>223</v>
      </c>
      <c r="U825" s="7" t="s">
        <v>588</v>
      </c>
      <c r="V825" s="7" t="s">
        <v>1375</v>
      </c>
      <c r="W825" s="7" t="s">
        <v>921</v>
      </c>
      <c r="X825" s="7" t="s">
        <v>1585</v>
      </c>
      <c r="Y825" s="7" t="s">
        <v>1586</v>
      </c>
      <c r="Z825" s="7" t="s">
        <v>461</v>
      </c>
      <c r="AA825" s="7" t="s">
        <v>223</v>
      </c>
      <c r="AB825" s="18" t="n">
        <v>25</v>
      </c>
      <c r="AC825" s="7"/>
      <c r="AD825" s="7"/>
      <c r="AE825" s="7" t="s">
        <v>159</v>
      </c>
    </row>
    <row r="826" customFormat="false" ht="21.75" hidden="false" customHeight="true" outlineLevel="0" collapsed="false">
      <c r="B826" s="15" t="n">
        <v>822</v>
      </c>
      <c r="C826" s="9" t="s">
        <v>55</v>
      </c>
      <c r="D826" s="9" t="s">
        <v>27</v>
      </c>
      <c r="E826" s="9" t="s">
        <v>91</v>
      </c>
      <c r="F826" s="9" t="s">
        <v>74</v>
      </c>
      <c r="G826" s="9" t="s">
        <v>1588</v>
      </c>
      <c r="H826" s="9" t="s">
        <v>157</v>
      </c>
      <c r="I826" s="9" t="s">
        <v>158</v>
      </c>
      <c r="J826" s="9" t="s">
        <v>468</v>
      </c>
      <c r="K826" s="9" t="s">
        <v>1419</v>
      </c>
      <c r="L826" s="9" t="s">
        <v>1045</v>
      </c>
      <c r="M826" s="9" t="s">
        <v>281</v>
      </c>
      <c r="N826" s="9" t="s">
        <v>1421</v>
      </c>
      <c r="O826" s="9" t="s">
        <v>1535</v>
      </c>
      <c r="P826" s="9" t="s">
        <v>1536</v>
      </c>
      <c r="Q826" s="9" t="s">
        <v>455</v>
      </c>
      <c r="R826" s="9" t="s">
        <v>281</v>
      </c>
      <c r="S826" s="9" t="s">
        <v>472</v>
      </c>
      <c r="T826" s="9" t="s">
        <v>223</v>
      </c>
      <c r="U826" s="9" t="s">
        <v>588</v>
      </c>
      <c r="V826" s="9" t="s">
        <v>1375</v>
      </c>
      <c r="W826" s="9" t="s">
        <v>921</v>
      </c>
      <c r="X826" s="9" t="s">
        <v>1585</v>
      </c>
      <c r="Y826" s="9" t="s">
        <v>1586</v>
      </c>
      <c r="Z826" s="9" t="s">
        <v>461</v>
      </c>
      <c r="AA826" s="9" t="s">
        <v>223</v>
      </c>
      <c r="AB826" s="19" t="n">
        <v>35</v>
      </c>
      <c r="AC826" s="9"/>
      <c r="AD826" s="9"/>
      <c r="AE826" s="9" t="s">
        <v>1589</v>
      </c>
    </row>
    <row r="827" customFormat="false" ht="21.75" hidden="false" customHeight="true" outlineLevel="0" collapsed="false">
      <c r="B827" s="14" t="n">
        <v>823</v>
      </c>
      <c r="C827" s="7" t="s">
        <v>55</v>
      </c>
      <c r="D827" s="7" t="s">
        <v>27</v>
      </c>
      <c r="E827" s="7" t="s">
        <v>91</v>
      </c>
      <c r="F827" s="7" t="s">
        <v>74</v>
      </c>
      <c r="G827" s="7" t="s">
        <v>1590</v>
      </c>
      <c r="H827" s="7" t="s">
        <v>157</v>
      </c>
      <c r="I827" s="7" t="s">
        <v>158</v>
      </c>
      <c r="J827" s="7" t="s">
        <v>468</v>
      </c>
      <c r="K827" s="7" t="s">
        <v>1419</v>
      </c>
      <c r="L827" s="7" t="s">
        <v>1045</v>
      </c>
      <c r="M827" s="7" t="s">
        <v>281</v>
      </c>
      <c r="N827" s="7" t="s">
        <v>1421</v>
      </c>
      <c r="O827" s="7" t="s">
        <v>1535</v>
      </c>
      <c r="P827" s="7" t="s">
        <v>1536</v>
      </c>
      <c r="Q827" s="7" t="s">
        <v>455</v>
      </c>
      <c r="R827" s="7" t="s">
        <v>281</v>
      </c>
      <c r="S827" s="7" t="s">
        <v>472</v>
      </c>
      <c r="T827" s="7" t="s">
        <v>223</v>
      </c>
      <c r="U827" s="7" t="s">
        <v>588</v>
      </c>
      <c r="V827" s="7" t="s">
        <v>1375</v>
      </c>
      <c r="W827" s="7" t="s">
        <v>921</v>
      </c>
      <c r="X827" s="7" t="s">
        <v>1585</v>
      </c>
      <c r="Y827" s="7" t="s">
        <v>1586</v>
      </c>
      <c r="Z827" s="7" t="s">
        <v>461</v>
      </c>
      <c r="AA827" s="7" t="s">
        <v>223</v>
      </c>
      <c r="AB827" s="18" t="n">
        <v>50</v>
      </c>
      <c r="AC827" s="7"/>
      <c r="AD827" s="7"/>
      <c r="AE827" s="7" t="s">
        <v>165</v>
      </c>
    </row>
    <row r="828" customFormat="false" ht="21.75" hidden="false" customHeight="true" outlineLevel="0" collapsed="false">
      <c r="B828" s="15" t="n">
        <v>824</v>
      </c>
      <c r="C828" s="9" t="s">
        <v>55</v>
      </c>
      <c r="D828" s="9" t="s">
        <v>27</v>
      </c>
      <c r="E828" s="9" t="s">
        <v>91</v>
      </c>
      <c r="F828" s="9" t="s">
        <v>74</v>
      </c>
      <c r="G828" s="9" t="s">
        <v>1591</v>
      </c>
      <c r="H828" s="9" t="s">
        <v>163</v>
      </c>
      <c r="I828" s="9" t="s">
        <v>164</v>
      </c>
      <c r="J828" s="9" t="s">
        <v>468</v>
      </c>
      <c r="K828" s="9" t="s">
        <v>1419</v>
      </c>
      <c r="L828" s="9" t="s">
        <v>1045</v>
      </c>
      <c r="M828" s="9" t="s">
        <v>281</v>
      </c>
      <c r="N828" s="9" t="s">
        <v>1421</v>
      </c>
      <c r="O828" s="9" t="s">
        <v>1535</v>
      </c>
      <c r="P828" s="9" t="s">
        <v>1536</v>
      </c>
      <c r="Q828" s="9" t="s">
        <v>455</v>
      </c>
      <c r="R828" s="9" t="s">
        <v>281</v>
      </c>
      <c r="S828" s="9" t="s">
        <v>472</v>
      </c>
      <c r="T828" s="9" t="s">
        <v>223</v>
      </c>
      <c r="U828" s="9" t="s">
        <v>588</v>
      </c>
      <c r="V828" s="9" t="s">
        <v>1375</v>
      </c>
      <c r="W828" s="9" t="s">
        <v>921</v>
      </c>
      <c r="X828" s="9" t="s">
        <v>1585</v>
      </c>
      <c r="Y828" s="9" t="s">
        <v>1586</v>
      </c>
      <c r="Z828" s="9" t="s">
        <v>461</v>
      </c>
      <c r="AA828" s="9" t="s">
        <v>223</v>
      </c>
      <c r="AB828" s="19" t="n">
        <v>75</v>
      </c>
      <c r="AC828" s="9"/>
      <c r="AD828" s="9"/>
      <c r="AE828" s="9" t="s">
        <v>167</v>
      </c>
    </row>
    <row r="829" customFormat="false" ht="21.75" hidden="false" customHeight="true" outlineLevel="0" collapsed="false">
      <c r="B829" s="14" t="n">
        <v>825</v>
      </c>
      <c r="C829" s="7" t="s">
        <v>56</v>
      </c>
      <c r="D829" s="7" t="s">
        <v>27</v>
      </c>
      <c r="E829" s="7" t="s">
        <v>91</v>
      </c>
      <c r="F829" s="7" t="s">
        <v>61</v>
      </c>
      <c r="G829" s="7" t="s">
        <v>1592</v>
      </c>
      <c r="H829" s="7" t="s">
        <v>136</v>
      </c>
      <c r="I829" s="7" t="s">
        <v>137</v>
      </c>
      <c r="J829" s="7" t="s">
        <v>468</v>
      </c>
      <c r="K829" s="7" t="s">
        <v>1593</v>
      </c>
      <c r="L829" s="7" t="s">
        <v>451</v>
      </c>
      <c r="M829" s="7" t="s">
        <v>281</v>
      </c>
      <c r="N829" s="7" t="s">
        <v>1297</v>
      </c>
      <c r="O829" s="7" t="s">
        <v>1535</v>
      </c>
      <c r="P829" s="7" t="s">
        <v>1594</v>
      </c>
      <c r="Q829" s="7" t="s">
        <v>455</v>
      </c>
      <c r="R829" s="7" t="s">
        <v>281</v>
      </c>
      <c r="S829" s="7" t="s">
        <v>331</v>
      </c>
      <c r="T829" s="7" t="s">
        <v>223</v>
      </c>
      <c r="U829" s="7" t="s">
        <v>588</v>
      </c>
      <c r="V829" s="7" t="s">
        <v>1595</v>
      </c>
      <c r="W829" s="7" t="s">
        <v>921</v>
      </c>
      <c r="X829" s="7" t="s">
        <v>1596</v>
      </c>
      <c r="Y829" s="7" t="s">
        <v>1597</v>
      </c>
      <c r="Z829" s="7" t="s">
        <v>461</v>
      </c>
      <c r="AA829" s="7" t="s">
        <v>223</v>
      </c>
      <c r="AB829" s="18" t="n">
        <v>25</v>
      </c>
      <c r="AC829" s="7"/>
      <c r="AD829" s="7"/>
      <c r="AE829" s="7" t="s">
        <v>155</v>
      </c>
    </row>
    <row r="830" customFormat="false" ht="21.75" hidden="false" customHeight="true" outlineLevel="0" collapsed="false">
      <c r="B830" s="15" t="n">
        <v>826</v>
      </c>
      <c r="C830" s="9" t="s">
        <v>56</v>
      </c>
      <c r="D830" s="9" t="s">
        <v>27</v>
      </c>
      <c r="E830" s="9" t="s">
        <v>91</v>
      </c>
      <c r="F830" s="9" t="s">
        <v>61</v>
      </c>
      <c r="G830" s="9" t="s">
        <v>1598</v>
      </c>
      <c r="H830" s="9" t="s">
        <v>157</v>
      </c>
      <c r="I830" s="9" t="s">
        <v>158</v>
      </c>
      <c r="J830" s="9" t="s">
        <v>468</v>
      </c>
      <c r="K830" s="9" t="s">
        <v>1593</v>
      </c>
      <c r="L830" s="9" t="s">
        <v>451</v>
      </c>
      <c r="M830" s="9" t="s">
        <v>281</v>
      </c>
      <c r="N830" s="9" t="s">
        <v>1297</v>
      </c>
      <c r="O830" s="9" t="s">
        <v>1535</v>
      </c>
      <c r="P830" s="9" t="s">
        <v>1594</v>
      </c>
      <c r="Q830" s="9" t="s">
        <v>455</v>
      </c>
      <c r="R830" s="9" t="s">
        <v>281</v>
      </c>
      <c r="S830" s="9" t="s">
        <v>331</v>
      </c>
      <c r="T830" s="9" t="s">
        <v>223</v>
      </c>
      <c r="U830" s="9" t="s">
        <v>588</v>
      </c>
      <c r="V830" s="9" t="s">
        <v>1595</v>
      </c>
      <c r="W830" s="9" t="s">
        <v>921</v>
      </c>
      <c r="X830" s="9" t="s">
        <v>1596</v>
      </c>
      <c r="Y830" s="9" t="s">
        <v>1597</v>
      </c>
      <c r="Z830" s="9" t="s">
        <v>461</v>
      </c>
      <c r="AA830" s="9" t="s">
        <v>223</v>
      </c>
      <c r="AB830" s="19" t="n">
        <v>25</v>
      </c>
      <c r="AC830" s="9"/>
      <c r="AD830" s="9"/>
      <c r="AE830" s="9" t="s">
        <v>159</v>
      </c>
    </row>
    <row r="831" customFormat="false" ht="21.75" hidden="false" customHeight="true" outlineLevel="0" collapsed="false">
      <c r="B831" s="14" t="n">
        <v>827</v>
      </c>
      <c r="C831" s="7" t="s">
        <v>56</v>
      </c>
      <c r="D831" s="7" t="s">
        <v>27</v>
      </c>
      <c r="E831" s="7" t="s">
        <v>91</v>
      </c>
      <c r="F831" s="7" t="s">
        <v>61</v>
      </c>
      <c r="G831" s="7" t="s">
        <v>1599</v>
      </c>
      <c r="H831" s="7" t="s">
        <v>157</v>
      </c>
      <c r="I831" s="7" t="s">
        <v>158</v>
      </c>
      <c r="J831" s="7" t="s">
        <v>468</v>
      </c>
      <c r="K831" s="7" t="s">
        <v>1593</v>
      </c>
      <c r="L831" s="7" t="s">
        <v>451</v>
      </c>
      <c r="M831" s="7" t="s">
        <v>281</v>
      </c>
      <c r="N831" s="7" t="s">
        <v>1297</v>
      </c>
      <c r="O831" s="7" t="s">
        <v>1535</v>
      </c>
      <c r="P831" s="7" t="s">
        <v>1594</v>
      </c>
      <c r="Q831" s="7" t="s">
        <v>455</v>
      </c>
      <c r="R831" s="7" t="s">
        <v>281</v>
      </c>
      <c r="S831" s="7" t="s">
        <v>331</v>
      </c>
      <c r="T831" s="7" t="s">
        <v>223</v>
      </c>
      <c r="U831" s="7" t="s">
        <v>588</v>
      </c>
      <c r="V831" s="7" t="s">
        <v>1595</v>
      </c>
      <c r="W831" s="7" t="s">
        <v>921</v>
      </c>
      <c r="X831" s="7" t="s">
        <v>1596</v>
      </c>
      <c r="Y831" s="7" t="s">
        <v>1597</v>
      </c>
      <c r="Z831" s="7" t="s">
        <v>461</v>
      </c>
      <c r="AA831" s="7" t="s">
        <v>223</v>
      </c>
      <c r="AB831" s="18" t="n">
        <v>30</v>
      </c>
      <c r="AC831" s="7"/>
      <c r="AD831" s="7"/>
      <c r="AE831" s="7" t="s">
        <v>1600</v>
      </c>
    </row>
    <row r="832" customFormat="false" ht="21.75" hidden="false" customHeight="true" outlineLevel="0" collapsed="false">
      <c r="B832" s="15" t="n">
        <v>828</v>
      </c>
      <c r="C832" s="9" t="s">
        <v>56</v>
      </c>
      <c r="D832" s="9" t="s">
        <v>27</v>
      </c>
      <c r="E832" s="9" t="s">
        <v>91</v>
      </c>
      <c r="F832" s="9" t="s">
        <v>61</v>
      </c>
      <c r="G832" s="9" t="s">
        <v>1601</v>
      </c>
      <c r="H832" s="9" t="s">
        <v>163</v>
      </c>
      <c r="I832" s="9" t="s">
        <v>164</v>
      </c>
      <c r="J832" s="9" t="s">
        <v>468</v>
      </c>
      <c r="K832" s="9" t="s">
        <v>1593</v>
      </c>
      <c r="L832" s="9" t="s">
        <v>451</v>
      </c>
      <c r="M832" s="9" t="s">
        <v>281</v>
      </c>
      <c r="N832" s="9" t="s">
        <v>1297</v>
      </c>
      <c r="O832" s="9" t="s">
        <v>1535</v>
      </c>
      <c r="P832" s="9" t="s">
        <v>1594</v>
      </c>
      <c r="Q832" s="9" t="s">
        <v>455</v>
      </c>
      <c r="R832" s="9" t="s">
        <v>281</v>
      </c>
      <c r="S832" s="9" t="s">
        <v>331</v>
      </c>
      <c r="T832" s="9" t="s">
        <v>223</v>
      </c>
      <c r="U832" s="9" t="s">
        <v>588</v>
      </c>
      <c r="V832" s="9" t="s">
        <v>1595</v>
      </c>
      <c r="W832" s="9" t="s">
        <v>921</v>
      </c>
      <c r="X832" s="9" t="s">
        <v>1596</v>
      </c>
      <c r="Y832" s="9" t="s">
        <v>1597</v>
      </c>
      <c r="Z832" s="9" t="s">
        <v>461</v>
      </c>
      <c r="AA832" s="9" t="s">
        <v>223</v>
      </c>
      <c r="AB832" s="19" t="n">
        <v>45</v>
      </c>
      <c r="AC832" s="9"/>
      <c r="AD832" s="9"/>
      <c r="AE832" s="9" t="s">
        <v>165</v>
      </c>
    </row>
    <row r="833" customFormat="false" ht="21.75" hidden="false" customHeight="true" outlineLevel="0" collapsed="false">
      <c r="B833" s="14" t="n">
        <v>829</v>
      </c>
      <c r="C833" s="7" t="s">
        <v>56</v>
      </c>
      <c r="D833" s="7" t="s">
        <v>27</v>
      </c>
      <c r="E833" s="7" t="s">
        <v>91</v>
      </c>
      <c r="F833" s="7" t="s">
        <v>61</v>
      </c>
      <c r="G833" s="7" t="s">
        <v>1602</v>
      </c>
      <c r="H833" s="7" t="s">
        <v>163</v>
      </c>
      <c r="I833" s="7" t="s">
        <v>164</v>
      </c>
      <c r="J833" s="7" t="s">
        <v>468</v>
      </c>
      <c r="K833" s="7" t="s">
        <v>1593</v>
      </c>
      <c r="L833" s="7" t="s">
        <v>451</v>
      </c>
      <c r="M833" s="7" t="s">
        <v>281</v>
      </c>
      <c r="N833" s="7" t="s">
        <v>1297</v>
      </c>
      <c r="O833" s="7" t="s">
        <v>1535</v>
      </c>
      <c r="P833" s="7" t="s">
        <v>1594</v>
      </c>
      <c r="Q833" s="7" t="s">
        <v>455</v>
      </c>
      <c r="R833" s="7" t="s">
        <v>281</v>
      </c>
      <c r="S833" s="7" t="s">
        <v>331</v>
      </c>
      <c r="T833" s="7" t="s">
        <v>223</v>
      </c>
      <c r="U833" s="7" t="s">
        <v>588</v>
      </c>
      <c r="V833" s="7" t="s">
        <v>1595</v>
      </c>
      <c r="W833" s="7" t="s">
        <v>921</v>
      </c>
      <c r="X833" s="7" t="s">
        <v>1596</v>
      </c>
      <c r="Y833" s="7" t="s">
        <v>1597</v>
      </c>
      <c r="Z833" s="7" t="s">
        <v>461</v>
      </c>
      <c r="AA833" s="7" t="s">
        <v>223</v>
      </c>
      <c r="AB833" s="18" t="n">
        <v>65</v>
      </c>
      <c r="AC833" s="7"/>
      <c r="AD833" s="7"/>
      <c r="AE833" s="7" t="s">
        <v>167</v>
      </c>
    </row>
    <row r="834" customFormat="false" ht="21.75" hidden="false" customHeight="true" outlineLevel="0" collapsed="false">
      <c r="B834" s="15" t="n">
        <v>830</v>
      </c>
      <c r="C834" s="9" t="s">
        <v>56</v>
      </c>
      <c r="D834" s="9" t="s">
        <v>27</v>
      </c>
      <c r="E834" s="9" t="s">
        <v>91</v>
      </c>
      <c r="F834" s="9" t="s">
        <v>62</v>
      </c>
      <c r="G834" s="9" t="s">
        <v>321</v>
      </c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9"/>
      <c r="AC834" s="9"/>
      <c r="AD834" s="9"/>
      <c r="AE834" s="9" t="s">
        <v>1603</v>
      </c>
    </row>
    <row r="835" customFormat="false" ht="21.75" hidden="false" customHeight="true" outlineLevel="0" collapsed="false">
      <c r="B835" s="14" t="n">
        <v>831</v>
      </c>
      <c r="C835" s="7" t="s">
        <v>56</v>
      </c>
      <c r="D835" s="7" t="s">
        <v>27</v>
      </c>
      <c r="E835" s="7" t="s">
        <v>91</v>
      </c>
      <c r="F835" s="7" t="s">
        <v>63</v>
      </c>
      <c r="G835" s="7" t="s">
        <v>1604</v>
      </c>
      <c r="H835" s="7" t="s">
        <v>136</v>
      </c>
      <c r="I835" s="7" t="s">
        <v>137</v>
      </c>
      <c r="J835" s="7" t="s">
        <v>468</v>
      </c>
      <c r="K835" s="7" t="s">
        <v>1130</v>
      </c>
      <c r="L835" s="7" t="s">
        <v>528</v>
      </c>
      <c r="M835" s="7" t="s">
        <v>281</v>
      </c>
      <c r="N835" s="7" t="s">
        <v>1605</v>
      </c>
      <c r="O835" s="7" t="s">
        <v>1535</v>
      </c>
      <c r="P835" s="7" t="s">
        <v>1594</v>
      </c>
      <c r="Q835" s="7" t="s">
        <v>455</v>
      </c>
      <c r="R835" s="7" t="s">
        <v>281</v>
      </c>
      <c r="S835" s="7" t="s">
        <v>331</v>
      </c>
      <c r="T835" s="7" t="s">
        <v>1606</v>
      </c>
      <c r="U835" s="7" t="s">
        <v>588</v>
      </c>
      <c r="V835" s="7" t="s">
        <v>1253</v>
      </c>
      <c r="W835" s="7" t="s">
        <v>921</v>
      </c>
      <c r="X835" s="7" t="s">
        <v>1607</v>
      </c>
      <c r="Y835" s="7" t="s">
        <v>1608</v>
      </c>
      <c r="Z835" s="7" t="s">
        <v>461</v>
      </c>
      <c r="AA835" s="7" t="s">
        <v>183</v>
      </c>
      <c r="AB835" s="18" t="n">
        <v>25</v>
      </c>
      <c r="AC835" s="7"/>
      <c r="AD835" s="7"/>
      <c r="AE835" s="7" t="s">
        <v>155</v>
      </c>
    </row>
    <row r="836" customFormat="false" ht="21.75" hidden="false" customHeight="true" outlineLevel="0" collapsed="false">
      <c r="B836" s="15" t="n">
        <v>832</v>
      </c>
      <c r="C836" s="9" t="s">
        <v>56</v>
      </c>
      <c r="D836" s="9" t="s">
        <v>27</v>
      </c>
      <c r="E836" s="9" t="s">
        <v>91</v>
      </c>
      <c r="F836" s="9" t="s">
        <v>63</v>
      </c>
      <c r="G836" s="9" t="s">
        <v>1609</v>
      </c>
      <c r="H836" s="9" t="s">
        <v>157</v>
      </c>
      <c r="I836" s="9" t="s">
        <v>158</v>
      </c>
      <c r="J836" s="9" t="s">
        <v>468</v>
      </c>
      <c r="K836" s="9" t="s">
        <v>1130</v>
      </c>
      <c r="L836" s="9" t="s">
        <v>528</v>
      </c>
      <c r="M836" s="9" t="s">
        <v>281</v>
      </c>
      <c r="N836" s="9" t="s">
        <v>1605</v>
      </c>
      <c r="O836" s="9" t="s">
        <v>1535</v>
      </c>
      <c r="P836" s="9" t="s">
        <v>1594</v>
      </c>
      <c r="Q836" s="9" t="s">
        <v>455</v>
      </c>
      <c r="R836" s="9" t="s">
        <v>281</v>
      </c>
      <c r="S836" s="9" t="s">
        <v>331</v>
      </c>
      <c r="T836" s="9" t="s">
        <v>1606</v>
      </c>
      <c r="U836" s="9" t="s">
        <v>588</v>
      </c>
      <c r="V836" s="9" t="s">
        <v>1253</v>
      </c>
      <c r="W836" s="9" t="s">
        <v>921</v>
      </c>
      <c r="X836" s="9" t="s">
        <v>1607</v>
      </c>
      <c r="Y836" s="9" t="s">
        <v>1608</v>
      </c>
      <c r="Z836" s="9" t="s">
        <v>461</v>
      </c>
      <c r="AA836" s="9" t="s">
        <v>183</v>
      </c>
      <c r="AB836" s="19" t="n">
        <v>30</v>
      </c>
      <c r="AC836" s="9"/>
      <c r="AD836" s="9"/>
      <c r="AE836" s="9" t="s">
        <v>159</v>
      </c>
    </row>
    <row r="837" customFormat="false" ht="21.75" hidden="false" customHeight="true" outlineLevel="0" collapsed="false">
      <c r="B837" s="14" t="n">
        <v>833</v>
      </c>
      <c r="C837" s="7" t="s">
        <v>56</v>
      </c>
      <c r="D837" s="7" t="s">
        <v>27</v>
      </c>
      <c r="E837" s="7" t="s">
        <v>91</v>
      </c>
      <c r="F837" s="7" t="s">
        <v>63</v>
      </c>
      <c r="G837" s="7" t="s">
        <v>1610</v>
      </c>
      <c r="H837" s="7" t="s">
        <v>157</v>
      </c>
      <c r="I837" s="7" t="s">
        <v>158</v>
      </c>
      <c r="J837" s="7" t="s">
        <v>468</v>
      </c>
      <c r="K837" s="7" t="s">
        <v>1130</v>
      </c>
      <c r="L837" s="7" t="s">
        <v>528</v>
      </c>
      <c r="M837" s="7" t="s">
        <v>281</v>
      </c>
      <c r="N837" s="7" t="s">
        <v>1605</v>
      </c>
      <c r="O837" s="7" t="s">
        <v>1535</v>
      </c>
      <c r="P837" s="7" t="s">
        <v>1594</v>
      </c>
      <c r="Q837" s="7" t="s">
        <v>455</v>
      </c>
      <c r="R837" s="7" t="s">
        <v>281</v>
      </c>
      <c r="S837" s="7" t="s">
        <v>331</v>
      </c>
      <c r="T837" s="7" t="s">
        <v>1606</v>
      </c>
      <c r="U837" s="7" t="s">
        <v>588</v>
      </c>
      <c r="V837" s="7" t="s">
        <v>1253</v>
      </c>
      <c r="W837" s="7" t="s">
        <v>921</v>
      </c>
      <c r="X837" s="7" t="s">
        <v>1607</v>
      </c>
      <c r="Y837" s="7" t="s">
        <v>1608</v>
      </c>
      <c r="Z837" s="7" t="s">
        <v>461</v>
      </c>
      <c r="AA837" s="7" t="s">
        <v>183</v>
      </c>
      <c r="AB837" s="18" t="n">
        <v>40</v>
      </c>
      <c r="AC837" s="7"/>
      <c r="AD837" s="7"/>
      <c r="AE837" s="7" t="s">
        <v>1611</v>
      </c>
    </row>
    <row r="838" customFormat="false" ht="21.75" hidden="false" customHeight="true" outlineLevel="0" collapsed="false">
      <c r="B838" s="15" t="n">
        <v>834</v>
      </c>
      <c r="C838" s="9" t="s">
        <v>56</v>
      </c>
      <c r="D838" s="9" t="s">
        <v>27</v>
      </c>
      <c r="E838" s="9" t="s">
        <v>91</v>
      </c>
      <c r="F838" s="9" t="s">
        <v>63</v>
      </c>
      <c r="G838" s="9" t="s">
        <v>1612</v>
      </c>
      <c r="H838" s="9" t="s">
        <v>163</v>
      </c>
      <c r="I838" s="9" t="s">
        <v>164</v>
      </c>
      <c r="J838" s="9" t="s">
        <v>468</v>
      </c>
      <c r="K838" s="9" t="s">
        <v>1130</v>
      </c>
      <c r="L838" s="9" t="s">
        <v>528</v>
      </c>
      <c r="M838" s="9" t="s">
        <v>281</v>
      </c>
      <c r="N838" s="9" t="s">
        <v>1605</v>
      </c>
      <c r="O838" s="9" t="s">
        <v>1535</v>
      </c>
      <c r="P838" s="9" t="s">
        <v>1594</v>
      </c>
      <c r="Q838" s="9" t="s">
        <v>455</v>
      </c>
      <c r="R838" s="9" t="s">
        <v>281</v>
      </c>
      <c r="S838" s="9" t="s">
        <v>331</v>
      </c>
      <c r="T838" s="9" t="s">
        <v>1606</v>
      </c>
      <c r="U838" s="9" t="s">
        <v>588</v>
      </c>
      <c r="V838" s="9" t="s">
        <v>1253</v>
      </c>
      <c r="W838" s="9" t="s">
        <v>921</v>
      </c>
      <c r="X838" s="9" t="s">
        <v>1607</v>
      </c>
      <c r="Y838" s="9" t="s">
        <v>1608</v>
      </c>
      <c r="Z838" s="9" t="s">
        <v>461</v>
      </c>
      <c r="AA838" s="9" t="s">
        <v>183</v>
      </c>
      <c r="AB838" s="19" t="n">
        <v>55</v>
      </c>
      <c r="AC838" s="9"/>
      <c r="AD838" s="9"/>
      <c r="AE838" s="9" t="s">
        <v>165</v>
      </c>
    </row>
    <row r="839" customFormat="false" ht="21.75" hidden="false" customHeight="true" outlineLevel="0" collapsed="false">
      <c r="B839" s="14" t="n">
        <v>835</v>
      </c>
      <c r="C839" s="7" t="s">
        <v>56</v>
      </c>
      <c r="D839" s="7" t="s">
        <v>27</v>
      </c>
      <c r="E839" s="7" t="s">
        <v>91</v>
      </c>
      <c r="F839" s="7" t="s">
        <v>63</v>
      </c>
      <c r="G839" s="7" t="s">
        <v>1613</v>
      </c>
      <c r="H839" s="7" t="s">
        <v>163</v>
      </c>
      <c r="I839" s="7" t="s">
        <v>164</v>
      </c>
      <c r="J839" s="7" t="s">
        <v>468</v>
      </c>
      <c r="K839" s="7" t="s">
        <v>1130</v>
      </c>
      <c r="L839" s="7" t="s">
        <v>528</v>
      </c>
      <c r="M839" s="7" t="s">
        <v>281</v>
      </c>
      <c r="N839" s="7" t="s">
        <v>1605</v>
      </c>
      <c r="O839" s="7" t="s">
        <v>1535</v>
      </c>
      <c r="P839" s="7" t="s">
        <v>1594</v>
      </c>
      <c r="Q839" s="7" t="s">
        <v>455</v>
      </c>
      <c r="R839" s="7" t="s">
        <v>281</v>
      </c>
      <c r="S839" s="7" t="s">
        <v>331</v>
      </c>
      <c r="T839" s="7" t="s">
        <v>1606</v>
      </c>
      <c r="U839" s="7" t="s">
        <v>588</v>
      </c>
      <c r="V839" s="7" t="s">
        <v>1253</v>
      </c>
      <c r="W839" s="7" t="s">
        <v>921</v>
      </c>
      <c r="X839" s="7" t="s">
        <v>1607</v>
      </c>
      <c r="Y839" s="7" t="s">
        <v>1608</v>
      </c>
      <c r="Z839" s="7" t="s">
        <v>461</v>
      </c>
      <c r="AA839" s="7" t="s">
        <v>183</v>
      </c>
      <c r="AB839" s="18" t="n">
        <v>85</v>
      </c>
      <c r="AC839" s="7"/>
      <c r="AD839" s="7"/>
      <c r="AE839" s="7" t="s">
        <v>167</v>
      </c>
    </row>
    <row r="840" customFormat="false" ht="21.75" hidden="false" customHeight="true" outlineLevel="0" collapsed="false">
      <c r="B840" s="15" t="n">
        <v>836</v>
      </c>
      <c r="C840" s="9" t="s">
        <v>56</v>
      </c>
      <c r="D840" s="9" t="s">
        <v>27</v>
      </c>
      <c r="E840" s="9" t="s">
        <v>91</v>
      </c>
      <c r="F840" s="9" t="s">
        <v>64</v>
      </c>
      <c r="G840" s="9" t="s">
        <v>1614</v>
      </c>
      <c r="H840" s="9" t="s">
        <v>136</v>
      </c>
      <c r="I840" s="9" t="s">
        <v>137</v>
      </c>
      <c r="J840" s="9" t="s">
        <v>468</v>
      </c>
      <c r="K840" s="9" t="s">
        <v>1615</v>
      </c>
      <c r="L840" s="9" t="s">
        <v>205</v>
      </c>
      <c r="M840" s="9" t="s">
        <v>281</v>
      </c>
      <c r="N840" s="9" t="s">
        <v>1616</v>
      </c>
      <c r="O840" s="9" t="s">
        <v>1535</v>
      </c>
      <c r="P840" s="9" t="s">
        <v>1594</v>
      </c>
      <c r="Q840" s="9" t="s">
        <v>455</v>
      </c>
      <c r="R840" s="9" t="s">
        <v>281</v>
      </c>
      <c r="S840" s="9" t="s">
        <v>331</v>
      </c>
      <c r="T840" s="9" t="s">
        <v>356</v>
      </c>
      <c r="U840" s="9" t="s">
        <v>588</v>
      </c>
      <c r="V840" s="9" t="s">
        <v>387</v>
      </c>
      <c r="W840" s="9" t="s">
        <v>921</v>
      </c>
      <c r="X840" s="9" t="s">
        <v>1570</v>
      </c>
      <c r="Y840" s="9" t="s">
        <v>1360</v>
      </c>
      <c r="Z840" s="9" t="s">
        <v>461</v>
      </c>
      <c r="AA840" s="9" t="s">
        <v>183</v>
      </c>
      <c r="AB840" s="19" t="n">
        <v>30</v>
      </c>
      <c r="AC840" s="9"/>
      <c r="AD840" s="9"/>
      <c r="AE840" s="9" t="s">
        <v>155</v>
      </c>
    </row>
    <row r="841" customFormat="false" ht="21.75" hidden="false" customHeight="true" outlineLevel="0" collapsed="false">
      <c r="B841" s="14" t="n">
        <v>837</v>
      </c>
      <c r="C841" s="7" t="s">
        <v>56</v>
      </c>
      <c r="D841" s="7" t="s">
        <v>27</v>
      </c>
      <c r="E841" s="7" t="s">
        <v>91</v>
      </c>
      <c r="F841" s="7" t="s">
        <v>64</v>
      </c>
      <c r="G841" s="7" t="s">
        <v>1617</v>
      </c>
      <c r="H841" s="7" t="s">
        <v>136</v>
      </c>
      <c r="I841" s="7" t="s">
        <v>137</v>
      </c>
      <c r="J841" s="7" t="s">
        <v>468</v>
      </c>
      <c r="K841" s="7" t="s">
        <v>1615</v>
      </c>
      <c r="L841" s="7" t="s">
        <v>205</v>
      </c>
      <c r="M841" s="7" t="s">
        <v>281</v>
      </c>
      <c r="N841" s="7" t="s">
        <v>1616</v>
      </c>
      <c r="O841" s="7" t="s">
        <v>1535</v>
      </c>
      <c r="P841" s="7" t="s">
        <v>1594</v>
      </c>
      <c r="Q841" s="7" t="s">
        <v>455</v>
      </c>
      <c r="R841" s="7" t="s">
        <v>281</v>
      </c>
      <c r="S841" s="7" t="s">
        <v>331</v>
      </c>
      <c r="T841" s="7" t="s">
        <v>356</v>
      </c>
      <c r="U841" s="7" t="s">
        <v>588</v>
      </c>
      <c r="V841" s="7" t="s">
        <v>387</v>
      </c>
      <c r="W841" s="7" t="s">
        <v>921</v>
      </c>
      <c r="X841" s="7" t="s">
        <v>1570</v>
      </c>
      <c r="Y841" s="7" t="s">
        <v>1360</v>
      </c>
      <c r="Z841" s="7" t="s">
        <v>461</v>
      </c>
      <c r="AA841" s="7" t="s">
        <v>183</v>
      </c>
      <c r="AB841" s="18" t="n">
        <v>40</v>
      </c>
      <c r="AC841" s="7"/>
      <c r="AD841" s="7"/>
      <c r="AE841" s="7" t="s">
        <v>159</v>
      </c>
    </row>
    <row r="842" customFormat="false" ht="21.75" hidden="false" customHeight="true" outlineLevel="0" collapsed="false">
      <c r="B842" s="15" t="n">
        <v>838</v>
      </c>
      <c r="C842" s="9" t="s">
        <v>56</v>
      </c>
      <c r="D842" s="9" t="s">
        <v>27</v>
      </c>
      <c r="E842" s="9" t="s">
        <v>91</v>
      </c>
      <c r="F842" s="9" t="s">
        <v>64</v>
      </c>
      <c r="G842" s="9" t="s">
        <v>1618</v>
      </c>
      <c r="H842" s="9" t="s">
        <v>157</v>
      </c>
      <c r="I842" s="9" t="s">
        <v>158</v>
      </c>
      <c r="J842" s="9" t="s">
        <v>468</v>
      </c>
      <c r="K842" s="9" t="s">
        <v>1615</v>
      </c>
      <c r="L842" s="9" t="s">
        <v>205</v>
      </c>
      <c r="M842" s="9" t="s">
        <v>281</v>
      </c>
      <c r="N842" s="9" t="s">
        <v>1616</v>
      </c>
      <c r="O842" s="9" t="s">
        <v>1535</v>
      </c>
      <c r="P842" s="9" t="s">
        <v>1594</v>
      </c>
      <c r="Q842" s="9" t="s">
        <v>455</v>
      </c>
      <c r="R842" s="9" t="s">
        <v>281</v>
      </c>
      <c r="S842" s="9" t="s">
        <v>331</v>
      </c>
      <c r="T842" s="9" t="s">
        <v>356</v>
      </c>
      <c r="U842" s="9" t="s">
        <v>588</v>
      </c>
      <c r="V842" s="9" t="s">
        <v>387</v>
      </c>
      <c r="W842" s="9" t="s">
        <v>921</v>
      </c>
      <c r="X842" s="9" t="s">
        <v>1570</v>
      </c>
      <c r="Y842" s="9" t="s">
        <v>1360</v>
      </c>
      <c r="Z842" s="9" t="s">
        <v>461</v>
      </c>
      <c r="AA842" s="9" t="s">
        <v>183</v>
      </c>
      <c r="AB842" s="19" t="n">
        <v>55</v>
      </c>
      <c r="AC842" s="9"/>
      <c r="AD842" s="9"/>
      <c r="AE842" s="9" t="s">
        <v>1558</v>
      </c>
    </row>
    <row r="843" customFormat="false" ht="21.75" hidden="false" customHeight="true" outlineLevel="0" collapsed="false">
      <c r="B843" s="14" t="n">
        <v>839</v>
      </c>
      <c r="C843" s="7" t="s">
        <v>56</v>
      </c>
      <c r="D843" s="7" t="s">
        <v>27</v>
      </c>
      <c r="E843" s="7" t="s">
        <v>91</v>
      </c>
      <c r="F843" s="7" t="s">
        <v>64</v>
      </c>
      <c r="G843" s="7" t="s">
        <v>1619</v>
      </c>
      <c r="H843" s="7" t="s">
        <v>157</v>
      </c>
      <c r="I843" s="7" t="s">
        <v>158</v>
      </c>
      <c r="J843" s="7" t="s">
        <v>468</v>
      </c>
      <c r="K843" s="7" t="s">
        <v>1615</v>
      </c>
      <c r="L843" s="7" t="s">
        <v>205</v>
      </c>
      <c r="M843" s="7" t="s">
        <v>281</v>
      </c>
      <c r="N843" s="7" t="s">
        <v>1616</v>
      </c>
      <c r="O843" s="7" t="s">
        <v>1535</v>
      </c>
      <c r="P843" s="7" t="s">
        <v>1594</v>
      </c>
      <c r="Q843" s="7" t="s">
        <v>455</v>
      </c>
      <c r="R843" s="7" t="s">
        <v>281</v>
      </c>
      <c r="S843" s="7" t="s">
        <v>331</v>
      </c>
      <c r="T843" s="7" t="s">
        <v>356</v>
      </c>
      <c r="U843" s="7" t="s">
        <v>588</v>
      </c>
      <c r="V843" s="7" t="s">
        <v>387</v>
      </c>
      <c r="W843" s="7" t="s">
        <v>921</v>
      </c>
      <c r="X843" s="7" t="s">
        <v>1570</v>
      </c>
      <c r="Y843" s="7" t="s">
        <v>1360</v>
      </c>
      <c r="Z843" s="7" t="s">
        <v>461</v>
      </c>
      <c r="AA843" s="7" t="s">
        <v>183</v>
      </c>
      <c r="AB843" s="18" t="n">
        <v>80</v>
      </c>
      <c r="AC843" s="7"/>
      <c r="AD843" s="7"/>
      <c r="AE843" s="7" t="s">
        <v>165</v>
      </c>
    </row>
    <row r="844" customFormat="false" ht="21.75" hidden="false" customHeight="true" outlineLevel="0" collapsed="false">
      <c r="B844" s="15" t="n">
        <v>840</v>
      </c>
      <c r="C844" s="9" t="s">
        <v>56</v>
      </c>
      <c r="D844" s="9" t="s">
        <v>27</v>
      </c>
      <c r="E844" s="9" t="s">
        <v>91</v>
      </c>
      <c r="F844" s="9" t="s">
        <v>64</v>
      </c>
      <c r="G844" s="9" t="s">
        <v>1620</v>
      </c>
      <c r="H844" s="9" t="s">
        <v>163</v>
      </c>
      <c r="I844" s="9" t="s">
        <v>164</v>
      </c>
      <c r="J844" s="9" t="s">
        <v>468</v>
      </c>
      <c r="K844" s="9" t="s">
        <v>1615</v>
      </c>
      <c r="L844" s="9" t="s">
        <v>205</v>
      </c>
      <c r="M844" s="9" t="s">
        <v>281</v>
      </c>
      <c r="N844" s="9" t="s">
        <v>1616</v>
      </c>
      <c r="O844" s="9" t="s">
        <v>1535</v>
      </c>
      <c r="P844" s="9" t="s">
        <v>1594</v>
      </c>
      <c r="Q844" s="9" t="s">
        <v>455</v>
      </c>
      <c r="R844" s="9" t="s">
        <v>281</v>
      </c>
      <c r="S844" s="9" t="s">
        <v>331</v>
      </c>
      <c r="T844" s="9" t="s">
        <v>356</v>
      </c>
      <c r="U844" s="9" t="s">
        <v>588</v>
      </c>
      <c r="V844" s="9" t="s">
        <v>387</v>
      </c>
      <c r="W844" s="9" t="s">
        <v>921</v>
      </c>
      <c r="X844" s="9" t="s">
        <v>1570</v>
      </c>
      <c r="Y844" s="9" t="s">
        <v>1360</v>
      </c>
      <c r="Z844" s="9" t="s">
        <v>461</v>
      </c>
      <c r="AA844" s="9" t="s">
        <v>183</v>
      </c>
      <c r="AB844" s="19" t="n">
        <v>120</v>
      </c>
      <c r="AC844" s="9"/>
      <c r="AD844" s="9"/>
      <c r="AE844" s="9" t="s">
        <v>167</v>
      </c>
    </row>
    <row r="845" customFormat="false" ht="21.75" hidden="false" customHeight="true" outlineLevel="0" collapsed="false">
      <c r="B845" s="14" t="n">
        <v>841</v>
      </c>
      <c r="C845" s="7" t="s">
        <v>56</v>
      </c>
      <c r="D845" s="7" t="s">
        <v>27</v>
      </c>
      <c r="E845" s="7" t="s">
        <v>91</v>
      </c>
      <c r="F845" s="7" t="s">
        <v>65</v>
      </c>
      <c r="G845" s="7" t="s">
        <v>321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18"/>
      <c r="AC845" s="7"/>
      <c r="AD845" s="7"/>
      <c r="AE845" s="7" t="s">
        <v>1621</v>
      </c>
    </row>
    <row r="846" customFormat="false" ht="21.75" hidden="false" customHeight="true" outlineLevel="0" collapsed="false">
      <c r="B846" s="15" t="n">
        <v>842</v>
      </c>
      <c r="C846" s="9" t="s">
        <v>56</v>
      </c>
      <c r="D846" s="9" t="s">
        <v>27</v>
      </c>
      <c r="E846" s="9" t="s">
        <v>91</v>
      </c>
      <c r="F846" s="9" t="s">
        <v>66</v>
      </c>
      <c r="G846" s="9" t="s">
        <v>321</v>
      </c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19"/>
      <c r="AC846" s="9"/>
      <c r="AD846" s="9"/>
      <c r="AE846" s="9" t="s">
        <v>1523</v>
      </c>
    </row>
    <row r="847" customFormat="false" ht="21.75" hidden="false" customHeight="true" outlineLevel="0" collapsed="false">
      <c r="B847" s="14" t="n">
        <v>843</v>
      </c>
      <c r="C847" s="7" t="s">
        <v>56</v>
      </c>
      <c r="D847" s="7" t="s">
        <v>27</v>
      </c>
      <c r="E847" s="7" t="s">
        <v>91</v>
      </c>
      <c r="F847" s="7" t="s">
        <v>67</v>
      </c>
      <c r="G847" s="7" t="s">
        <v>321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18"/>
      <c r="AC847" s="7"/>
      <c r="AD847" s="7"/>
      <c r="AE847" s="7" t="s">
        <v>1524</v>
      </c>
    </row>
    <row r="848" customFormat="false" ht="21.75" hidden="false" customHeight="true" outlineLevel="0" collapsed="false">
      <c r="B848" s="15" t="n">
        <v>844</v>
      </c>
      <c r="C848" s="9" t="s">
        <v>56</v>
      </c>
      <c r="D848" s="9" t="s">
        <v>27</v>
      </c>
      <c r="E848" s="9" t="s">
        <v>91</v>
      </c>
      <c r="F848" s="9" t="s">
        <v>68</v>
      </c>
      <c r="G848" s="9" t="s">
        <v>321</v>
      </c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9"/>
      <c r="AC848" s="9"/>
      <c r="AD848" s="9"/>
      <c r="AE848" s="9" t="s">
        <v>1525</v>
      </c>
    </row>
    <row r="849" customFormat="false" ht="21.75" hidden="false" customHeight="true" outlineLevel="0" collapsed="false">
      <c r="B849" s="14" t="n">
        <v>845</v>
      </c>
      <c r="C849" s="7" t="s">
        <v>56</v>
      </c>
      <c r="D849" s="7" t="s">
        <v>27</v>
      </c>
      <c r="E849" s="7" t="s">
        <v>91</v>
      </c>
      <c r="F849" s="7" t="s">
        <v>69</v>
      </c>
      <c r="G849" s="7" t="s">
        <v>321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18"/>
      <c r="AC849" s="7"/>
      <c r="AD849" s="7"/>
      <c r="AE849" s="7" t="s">
        <v>1526</v>
      </c>
    </row>
    <row r="850" customFormat="false" ht="21.75" hidden="false" customHeight="true" outlineLevel="0" collapsed="false">
      <c r="B850" s="15" t="n">
        <v>846</v>
      </c>
      <c r="C850" s="9" t="s">
        <v>56</v>
      </c>
      <c r="D850" s="9" t="s">
        <v>27</v>
      </c>
      <c r="E850" s="9" t="s">
        <v>91</v>
      </c>
      <c r="F850" s="9" t="s">
        <v>70</v>
      </c>
      <c r="G850" s="9" t="s">
        <v>321</v>
      </c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9"/>
      <c r="AC850" s="9"/>
      <c r="AD850" s="9"/>
      <c r="AE850" s="9" t="s">
        <v>1527</v>
      </c>
    </row>
    <row r="851" customFormat="false" ht="21.75" hidden="false" customHeight="true" outlineLevel="0" collapsed="false">
      <c r="B851" s="14" t="n">
        <v>847</v>
      </c>
      <c r="C851" s="7" t="s">
        <v>56</v>
      </c>
      <c r="D851" s="7" t="s">
        <v>27</v>
      </c>
      <c r="E851" s="7" t="s">
        <v>91</v>
      </c>
      <c r="F851" s="7" t="s">
        <v>71</v>
      </c>
      <c r="G851" s="7" t="s">
        <v>321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18"/>
      <c r="AC851" s="7"/>
      <c r="AD851" s="7"/>
      <c r="AE851" s="7" t="s">
        <v>1528</v>
      </c>
    </row>
    <row r="852" customFormat="false" ht="21.75" hidden="false" customHeight="true" outlineLevel="0" collapsed="false">
      <c r="B852" s="15" t="n">
        <v>848</v>
      </c>
      <c r="C852" s="9" t="s">
        <v>56</v>
      </c>
      <c r="D852" s="9" t="s">
        <v>27</v>
      </c>
      <c r="E852" s="9" t="s">
        <v>91</v>
      </c>
      <c r="F852" s="9" t="s">
        <v>72</v>
      </c>
      <c r="G852" s="9" t="s">
        <v>1622</v>
      </c>
      <c r="H852" s="9" t="s">
        <v>301</v>
      </c>
      <c r="I852" s="9" t="s">
        <v>302</v>
      </c>
      <c r="J852" s="9" t="s">
        <v>866</v>
      </c>
      <c r="K852" s="9" t="s">
        <v>1401</v>
      </c>
      <c r="L852" s="9" t="s">
        <v>205</v>
      </c>
      <c r="M852" s="9" t="s">
        <v>281</v>
      </c>
      <c r="N852" s="9" t="s">
        <v>1623</v>
      </c>
      <c r="O852" s="9" t="s">
        <v>1535</v>
      </c>
      <c r="P852" s="9" t="s">
        <v>1594</v>
      </c>
      <c r="Q852" s="9" t="s">
        <v>455</v>
      </c>
      <c r="R852" s="9" t="s">
        <v>281</v>
      </c>
      <c r="S852" s="9" t="s">
        <v>331</v>
      </c>
      <c r="T852" s="9" t="s">
        <v>356</v>
      </c>
      <c r="U852" s="9" t="s">
        <v>588</v>
      </c>
      <c r="V852" s="9" t="s">
        <v>473</v>
      </c>
      <c r="W852" s="9" t="s">
        <v>921</v>
      </c>
      <c r="X852" s="9" t="s">
        <v>1624</v>
      </c>
      <c r="Y852" s="9" t="s">
        <v>1446</v>
      </c>
      <c r="Z852" s="9" t="s">
        <v>461</v>
      </c>
      <c r="AA852" s="9" t="s">
        <v>183</v>
      </c>
      <c r="AB852" s="19" t="n">
        <v>45</v>
      </c>
      <c r="AC852" s="9"/>
      <c r="AD852" s="9"/>
      <c r="AE852" s="9" t="s">
        <v>155</v>
      </c>
    </row>
    <row r="853" customFormat="false" ht="21.75" hidden="false" customHeight="true" outlineLevel="0" collapsed="false">
      <c r="B853" s="14" t="n">
        <v>849</v>
      </c>
      <c r="C853" s="7" t="s">
        <v>56</v>
      </c>
      <c r="D853" s="7" t="s">
        <v>27</v>
      </c>
      <c r="E853" s="7" t="s">
        <v>91</v>
      </c>
      <c r="F853" s="7" t="s">
        <v>72</v>
      </c>
      <c r="G853" s="7" t="s">
        <v>1625</v>
      </c>
      <c r="H853" s="7" t="s">
        <v>309</v>
      </c>
      <c r="I853" s="7" t="s">
        <v>310</v>
      </c>
      <c r="J853" s="7" t="s">
        <v>866</v>
      </c>
      <c r="K853" s="7" t="s">
        <v>1401</v>
      </c>
      <c r="L853" s="7" t="s">
        <v>205</v>
      </c>
      <c r="M853" s="7" t="s">
        <v>281</v>
      </c>
      <c r="N853" s="7" t="s">
        <v>1623</v>
      </c>
      <c r="O853" s="7" t="s">
        <v>1535</v>
      </c>
      <c r="P853" s="7" t="s">
        <v>1594</v>
      </c>
      <c r="Q853" s="7" t="s">
        <v>455</v>
      </c>
      <c r="R853" s="7" t="s">
        <v>281</v>
      </c>
      <c r="S853" s="7" t="s">
        <v>331</v>
      </c>
      <c r="T853" s="7" t="s">
        <v>356</v>
      </c>
      <c r="U853" s="7" t="s">
        <v>588</v>
      </c>
      <c r="V853" s="7" t="s">
        <v>473</v>
      </c>
      <c r="W853" s="7" t="s">
        <v>921</v>
      </c>
      <c r="X853" s="7" t="s">
        <v>1624</v>
      </c>
      <c r="Y853" s="7" t="s">
        <v>1446</v>
      </c>
      <c r="Z853" s="7" t="s">
        <v>461</v>
      </c>
      <c r="AA853" s="7" t="s">
        <v>183</v>
      </c>
      <c r="AB853" s="18" t="n">
        <v>65</v>
      </c>
      <c r="AC853" s="7"/>
      <c r="AD853" s="7"/>
      <c r="AE853" s="7" t="s">
        <v>159</v>
      </c>
    </row>
    <row r="854" customFormat="false" ht="21.75" hidden="false" customHeight="true" outlineLevel="0" collapsed="false">
      <c r="B854" s="15" t="n">
        <v>850</v>
      </c>
      <c r="C854" s="9" t="s">
        <v>56</v>
      </c>
      <c r="D854" s="9" t="s">
        <v>27</v>
      </c>
      <c r="E854" s="9" t="s">
        <v>91</v>
      </c>
      <c r="F854" s="9" t="s">
        <v>72</v>
      </c>
      <c r="G854" s="9" t="s">
        <v>1626</v>
      </c>
      <c r="H854" s="9" t="s">
        <v>309</v>
      </c>
      <c r="I854" s="9" t="s">
        <v>310</v>
      </c>
      <c r="J854" s="9" t="s">
        <v>866</v>
      </c>
      <c r="K854" s="9" t="s">
        <v>1401</v>
      </c>
      <c r="L854" s="9" t="s">
        <v>205</v>
      </c>
      <c r="M854" s="9" t="s">
        <v>281</v>
      </c>
      <c r="N854" s="9" t="s">
        <v>1623</v>
      </c>
      <c r="O854" s="9" t="s">
        <v>1535</v>
      </c>
      <c r="P854" s="9" t="s">
        <v>1594</v>
      </c>
      <c r="Q854" s="9" t="s">
        <v>455</v>
      </c>
      <c r="R854" s="9" t="s">
        <v>281</v>
      </c>
      <c r="S854" s="9" t="s">
        <v>331</v>
      </c>
      <c r="T854" s="9" t="s">
        <v>356</v>
      </c>
      <c r="U854" s="9" t="s">
        <v>588</v>
      </c>
      <c r="V854" s="9" t="s">
        <v>473</v>
      </c>
      <c r="W854" s="9" t="s">
        <v>921</v>
      </c>
      <c r="X854" s="9" t="s">
        <v>1624</v>
      </c>
      <c r="Y854" s="9" t="s">
        <v>1446</v>
      </c>
      <c r="Z854" s="9" t="s">
        <v>461</v>
      </c>
      <c r="AA854" s="9" t="s">
        <v>183</v>
      </c>
      <c r="AB854" s="19" t="n">
        <v>90</v>
      </c>
      <c r="AC854" s="9"/>
      <c r="AD854" s="9"/>
      <c r="AE854" s="9" t="s">
        <v>1573</v>
      </c>
    </row>
    <row r="855" customFormat="false" ht="21.75" hidden="false" customHeight="true" outlineLevel="0" collapsed="false">
      <c r="B855" s="14" t="n">
        <v>851</v>
      </c>
      <c r="C855" s="7" t="s">
        <v>56</v>
      </c>
      <c r="D855" s="7" t="s">
        <v>27</v>
      </c>
      <c r="E855" s="7" t="s">
        <v>91</v>
      </c>
      <c r="F855" s="7" t="s">
        <v>72</v>
      </c>
      <c r="G855" s="7" t="s">
        <v>1627</v>
      </c>
      <c r="H855" s="7" t="s">
        <v>309</v>
      </c>
      <c r="I855" s="7" t="s">
        <v>310</v>
      </c>
      <c r="J855" s="7" t="s">
        <v>866</v>
      </c>
      <c r="K855" s="7" t="s">
        <v>1401</v>
      </c>
      <c r="L855" s="7" t="s">
        <v>205</v>
      </c>
      <c r="M855" s="7" t="s">
        <v>281</v>
      </c>
      <c r="N855" s="7" t="s">
        <v>1623</v>
      </c>
      <c r="O855" s="7" t="s">
        <v>1535</v>
      </c>
      <c r="P855" s="7" t="s">
        <v>1594</v>
      </c>
      <c r="Q855" s="7" t="s">
        <v>455</v>
      </c>
      <c r="R855" s="7" t="s">
        <v>281</v>
      </c>
      <c r="S855" s="7" t="s">
        <v>331</v>
      </c>
      <c r="T855" s="7" t="s">
        <v>356</v>
      </c>
      <c r="U855" s="7" t="s">
        <v>588</v>
      </c>
      <c r="V855" s="7" t="s">
        <v>473</v>
      </c>
      <c r="W855" s="7" t="s">
        <v>921</v>
      </c>
      <c r="X855" s="7" t="s">
        <v>1624</v>
      </c>
      <c r="Y855" s="7" t="s">
        <v>1446</v>
      </c>
      <c r="Z855" s="7" t="s">
        <v>461</v>
      </c>
      <c r="AA855" s="7" t="s">
        <v>183</v>
      </c>
      <c r="AB855" s="18" t="n">
        <v>135</v>
      </c>
      <c r="AC855" s="7"/>
      <c r="AD855" s="7"/>
      <c r="AE855" s="7" t="s">
        <v>165</v>
      </c>
    </row>
    <row r="856" customFormat="false" ht="21.75" hidden="false" customHeight="true" outlineLevel="0" collapsed="false">
      <c r="B856" s="15" t="n">
        <v>852</v>
      </c>
      <c r="C856" s="9" t="s">
        <v>56</v>
      </c>
      <c r="D856" s="9" t="s">
        <v>27</v>
      </c>
      <c r="E856" s="9" t="s">
        <v>91</v>
      </c>
      <c r="F856" s="9" t="s">
        <v>72</v>
      </c>
      <c r="G856" s="9" t="s">
        <v>1628</v>
      </c>
      <c r="H856" s="9" t="s">
        <v>315</v>
      </c>
      <c r="I856" s="9" t="s">
        <v>316</v>
      </c>
      <c r="J856" s="9" t="s">
        <v>866</v>
      </c>
      <c r="K856" s="9" t="s">
        <v>1401</v>
      </c>
      <c r="L856" s="9" t="s">
        <v>205</v>
      </c>
      <c r="M856" s="9" t="s">
        <v>281</v>
      </c>
      <c r="N856" s="9" t="s">
        <v>1623</v>
      </c>
      <c r="O856" s="9" t="s">
        <v>1535</v>
      </c>
      <c r="P856" s="9" t="s">
        <v>1594</v>
      </c>
      <c r="Q856" s="9" t="s">
        <v>455</v>
      </c>
      <c r="R856" s="9" t="s">
        <v>281</v>
      </c>
      <c r="S856" s="9" t="s">
        <v>331</v>
      </c>
      <c r="T856" s="9" t="s">
        <v>356</v>
      </c>
      <c r="U856" s="9" t="s">
        <v>588</v>
      </c>
      <c r="V856" s="9" t="s">
        <v>473</v>
      </c>
      <c r="W856" s="9" t="s">
        <v>921</v>
      </c>
      <c r="X856" s="9" t="s">
        <v>1624</v>
      </c>
      <c r="Y856" s="9" t="s">
        <v>1446</v>
      </c>
      <c r="Z856" s="9" t="s">
        <v>461</v>
      </c>
      <c r="AA856" s="9" t="s">
        <v>183</v>
      </c>
      <c r="AB856" s="19" t="n">
        <v>195</v>
      </c>
      <c r="AC856" s="9"/>
      <c r="AD856" s="9"/>
      <c r="AE856" s="9" t="s">
        <v>167</v>
      </c>
    </row>
    <row r="857" customFormat="false" ht="21.75" hidden="false" customHeight="true" outlineLevel="0" collapsed="false">
      <c r="B857" s="14" t="n">
        <v>853</v>
      </c>
      <c r="C857" s="7" t="s">
        <v>56</v>
      </c>
      <c r="D857" s="7" t="s">
        <v>27</v>
      </c>
      <c r="E857" s="7" t="s">
        <v>91</v>
      </c>
      <c r="F857" s="7" t="s">
        <v>73</v>
      </c>
      <c r="G857" s="7" t="s">
        <v>1613</v>
      </c>
      <c r="H857" s="7" t="s">
        <v>136</v>
      </c>
      <c r="I857" s="7" t="s">
        <v>137</v>
      </c>
      <c r="J857" s="7" t="s">
        <v>468</v>
      </c>
      <c r="K857" s="7" t="s">
        <v>1615</v>
      </c>
      <c r="L857" s="7" t="s">
        <v>205</v>
      </c>
      <c r="M857" s="7" t="s">
        <v>281</v>
      </c>
      <c r="N857" s="7" t="s">
        <v>1629</v>
      </c>
      <c r="O857" s="7" t="s">
        <v>1535</v>
      </c>
      <c r="P857" s="7" t="s">
        <v>1594</v>
      </c>
      <c r="Q857" s="7" t="s">
        <v>455</v>
      </c>
      <c r="R857" s="7" t="s">
        <v>281</v>
      </c>
      <c r="S857" s="7" t="s">
        <v>331</v>
      </c>
      <c r="T857" s="7" t="s">
        <v>356</v>
      </c>
      <c r="U857" s="7" t="s">
        <v>588</v>
      </c>
      <c r="V857" s="7" t="s">
        <v>387</v>
      </c>
      <c r="W857" s="7" t="s">
        <v>921</v>
      </c>
      <c r="X857" s="7" t="s">
        <v>1570</v>
      </c>
      <c r="Y857" s="7" t="s">
        <v>1630</v>
      </c>
      <c r="Z857" s="7" t="s">
        <v>461</v>
      </c>
      <c r="AA857" s="7" t="s">
        <v>183</v>
      </c>
      <c r="AB857" s="18" t="n">
        <v>30</v>
      </c>
      <c r="AC857" s="7"/>
      <c r="AD857" s="7"/>
      <c r="AE857" s="7" t="s">
        <v>155</v>
      </c>
    </row>
    <row r="858" customFormat="false" ht="21.75" hidden="false" customHeight="true" outlineLevel="0" collapsed="false">
      <c r="B858" s="15" t="n">
        <v>854</v>
      </c>
      <c r="C858" s="9" t="s">
        <v>56</v>
      </c>
      <c r="D858" s="9" t="s">
        <v>27</v>
      </c>
      <c r="E858" s="9" t="s">
        <v>91</v>
      </c>
      <c r="F858" s="9" t="s">
        <v>73</v>
      </c>
      <c r="G858" s="9" t="s">
        <v>1631</v>
      </c>
      <c r="H858" s="9" t="s">
        <v>157</v>
      </c>
      <c r="I858" s="9" t="s">
        <v>158</v>
      </c>
      <c r="J858" s="9" t="s">
        <v>468</v>
      </c>
      <c r="K858" s="9" t="s">
        <v>1615</v>
      </c>
      <c r="L858" s="9" t="s">
        <v>205</v>
      </c>
      <c r="M858" s="9" t="s">
        <v>281</v>
      </c>
      <c r="N858" s="9" t="s">
        <v>1629</v>
      </c>
      <c r="O858" s="9" t="s">
        <v>1535</v>
      </c>
      <c r="P858" s="9" t="s">
        <v>1594</v>
      </c>
      <c r="Q858" s="9" t="s">
        <v>455</v>
      </c>
      <c r="R858" s="9" t="s">
        <v>281</v>
      </c>
      <c r="S858" s="9" t="s">
        <v>331</v>
      </c>
      <c r="T858" s="9" t="s">
        <v>356</v>
      </c>
      <c r="U858" s="9" t="s">
        <v>588</v>
      </c>
      <c r="V858" s="9" t="s">
        <v>387</v>
      </c>
      <c r="W858" s="9" t="s">
        <v>921</v>
      </c>
      <c r="X858" s="9" t="s">
        <v>1570</v>
      </c>
      <c r="Y858" s="9" t="s">
        <v>1630</v>
      </c>
      <c r="Z858" s="9" t="s">
        <v>461</v>
      </c>
      <c r="AA858" s="9" t="s">
        <v>183</v>
      </c>
      <c r="AB858" s="19" t="n">
        <v>45</v>
      </c>
      <c r="AC858" s="9"/>
      <c r="AD858" s="9"/>
      <c r="AE858" s="9" t="s">
        <v>159</v>
      </c>
    </row>
    <row r="859" customFormat="false" ht="21.75" hidden="false" customHeight="true" outlineLevel="0" collapsed="false">
      <c r="B859" s="14" t="n">
        <v>855</v>
      </c>
      <c r="C859" s="7" t="s">
        <v>56</v>
      </c>
      <c r="D859" s="7" t="s">
        <v>27</v>
      </c>
      <c r="E859" s="7" t="s">
        <v>91</v>
      </c>
      <c r="F859" s="7" t="s">
        <v>73</v>
      </c>
      <c r="G859" s="7" t="s">
        <v>1619</v>
      </c>
      <c r="H859" s="7" t="s">
        <v>157</v>
      </c>
      <c r="I859" s="7" t="s">
        <v>158</v>
      </c>
      <c r="J859" s="7" t="s">
        <v>468</v>
      </c>
      <c r="K859" s="7" t="s">
        <v>1615</v>
      </c>
      <c r="L859" s="7" t="s">
        <v>205</v>
      </c>
      <c r="M859" s="7" t="s">
        <v>281</v>
      </c>
      <c r="N859" s="7" t="s">
        <v>1629</v>
      </c>
      <c r="O859" s="7" t="s">
        <v>1535</v>
      </c>
      <c r="P859" s="7" t="s">
        <v>1594</v>
      </c>
      <c r="Q859" s="7" t="s">
        <v>455</v>
      </c>
      <c r="R859" s="7" t="s">
        <v>281</v>
      </c>
      <c r="S859" s="7" t="s">
        <v>331</v>
      </c>
      <c r="T859" s="7" t="s">
        <v>356</v>
      </c>
      <c r="U859" s="7" t="s">
        <v>588</v>
      </c>
      <c r="V859" s="7" t="s">
        <v>387</v>
      </c>
      <c r="W859" s="7" t="s">
        <v>921</v>
      </c>
      <c r="X859" s="7" t="s">
        <v>1570</v>
      </c>
      <c r="Y859" s="7" t="s">
        <v>1630</v>
      </c>
      <c r="Z859" s="7" t="s">
        <v>461</v>
      </c>
      <c r="AA859" s="7" t="s">
        <v>183</v>
      </c>
      <c r="AB859" s="18" t="n">
        <v>60</v>
      </c>
      <c r="AC859" s="7"/>
      <c r="AD859" s="7"/>
      <c r="AE859" s="7" t="s">
        <v>1632</v>
      </c>
    </row>
    <row r="860" customFormat="false" ht="21.75" hidden="false" customHeight="true" outlineLevel="0" collapsed="false">
      <c r="B860" s="15" t="n">
        <v>856</v>
      </c>
      <c r="C860" s="9" t="s">
        <v>56</v>
      </c>
      <c r="D860" s="9" t="s">
        <v>27</v>
      </c>
      <c r="E860" s="9" t="s">
        <v>91</v>
      </c>
      <c r="F860" s="9" t="s">
        <v>73</v>
      </c>
      <c r="G860" s="9" t="s">
        <v>1620</v>
      </c>
      <c r="H860" s="9" t="s">
        <v>163</v>
      </c>
      <c r="I860" s="9" t="s">
        <v>164</v>
      </c>
      <c r="J860" s="9" t="s">
        <v>468</v>
      </c>
      <c r="K860" s="9" t="s">
        <v>1615</v>
      </c>
      <c r="L860" s="9" t="s">
        <v>205</v>
      </c>
      <c r="M860" s="9" t="s">
        <v>281</v>
      </c>
      <c r="N860" s="9" t="s">
        <v>1629</v>
      </c>
      <c r="O860" s="9" t="s">
        <v>1535</v>
      </c>
      <c r="P860" s="9" t="s">
        <v>1594</v>
      </c>
      <c r="Q860" s="9" t="s">
        <v>455</v>
      </c>
      <c r="R860" s="9" t="s">
        <v>281</v>
      </c>
      <c r="S860" s="9" t="s">
        <v>331</v>
      </c>
      <c r="T860" s="9" t="s">
        <v>356</v>
      </c>
      <c r="U860" s="9" t="s">
        <v>588</v>
      </c>
      <c r="V860" s="9" t="s">
        <v>387</v>
      </c>
      <c r="W860" s="9" t="s">
        <v>921</v>
      </c>
      <c r="X860" s="9" t="s">
        <v>1570</v>
      </c>
      <c r="Y860" s="9" t="s">
        <v>1630</v>
      </c>
      <c r="Z860" s="9" t="s">
        <v>461</v>
      </c>
      <c r="AA860" s="9" t="s">
        <v>183</v>
      </c>
      <c r="AB860" s="19" t="n">
        <v>95</v>
      </c>
      <c r="AC860" s="9"/>
      <c r="AD860" s="9"/>
      <c r="AE860" s="9" t="s">
        <v>165</v>
      </c>
    </row>
    <row r="861" customFormat="false" ht="21.75" hidden="false" customHeight="true" outlineLevel="0" collapsed="false">
      <c r="B861" s="14" t="n">
        <v>857</v>
      </c>
      <c r="C861" s="7" t="s">
        <v>56</v>
      </c>
      <c r="D861" s="7" t="s">
        <v>27</v>
      </c>
      <c r="E861" s="7" t="s">
        <v>91</v>
      </c>
      <c r="F861" s="7" t="s">
        <v>73</v>
      </c>
      <c r="G861" s="7" t="s">
        <v>1626</v>
      </c>
      <c r="H861" s="7" t="s">
        <v>163</v>
      </c>
      <c r="I861" s="7" t="s">
        <v>164</v>
      </c>
      <c r="J861" s="7" t="s">
        <v>468</v>
      </c>
      <c r="K861" s="7" t="s">
        <v>1615</v>
      </c>
      <c r="L861" s="7" t="s">
        <v>205</v>
      </c>
      <c r="M861" s="7" t="s">
        <v>281</v>
      </c>
      <c r="N861" s="7" t="s">
        <v>1629</v>
      </c>
      <c r="O861" s="7" t="s">
        <v>1535</v>
      </c>
      <c r="P861" s="7" t="s">
        <v>1594</v>
      </c>
      <c r="Q861" s="7" t="s">
        <v>455</v>
      </c>
      <c r="R861" s="7" t="s">
        <v>281</v>
      </c>
      <c r="S861" s="7" t="s">
        <v>331</v>
      </c>
      <c r="T861" s="7" t="s">
        <v>356</v>
      </c>
      <c r="U861" s="7" t="s">
        <v>588</v>
      </c>
      <c r="V861" s="7" t="s">
        <v>387</v>
      </c>
      <c r="W861" s="7" t="s">
        <v>921</v>
      </c>
      <c r="X861" s="7" t="s">
        <v>1570</v>
      </c>
      <c r="Y861" s="7" t="s">
        <v>1630</v>
      </c>
      <c r="Z861" s="7" t="s">
        <v>461</v>
      </c>
      <c r="AA861" s="7" t="s">
        <v>183</v>
      </c>
      <c r="AB861" s="18" t="n">
        <v>135</v>
      </c>
      <c r="AC861" s="7"/>
      <c r="AD861" s="7"/>
      <c r="AE861" s="7" t="s">
        <v>167</v>
      </c>
    </row>
    <row r="862" customFormat="false" ht="21.75" hidden="false" customHeight="true" outlineLevel="0" collapsed="false">
      <c r="B862" s="15" t="n">
        <v>858</v>
      </c>
      <c r="C862" s="9" t="s">
        <v>56</v>
      </c>
      <c r="D862" s="9" t="s">
        <v>27</v>
      </c>
      <c r="E862" s="9" t="s">
        <v>91</v>
      </c>
      <c r="F862" s="9" t="s">
        <v>74</v>
      </c>
      <c r="G862" s="9" t="s">
        <v>1633</v>
      </c>
      <c r="H862" s="9" t="s">
        <v>136</v>
      </c>
      <c r="I862" s="9" t="s">
        <v>137</v>
      </c>
      <c r="J862" s="9" t="s">
        <v>468</v>
      </c>
      <c r="K862" s="9" t="s">
        <v>1634</v>
      </c>
      <c r="L862" s="9" t="s">
        <v>1045</v>
      </c>
      <c r="M862" s="9" t="s">
        <v>281</v>
      </c>
      <c r="N862" s="9" t="s">
        <v>1421</v>
      </c>
      <c r="O862" s="9" t="s">
        <v>1535</v>
      </c>
      <c r="P862" s="9" t="s">
        <v>1594</v>
      </c>
      <c r="Q862" s="9" t="s">
        <v>455</v>
      </c>
      <c r="R862" s="9" t="s">
        <v>281</v>
      </c>
      <c r="S862" s="9" t="s">
        <v>331</v>
      </c>
      <c r="T862" s="9" t="s">
        <v>223</v>
      </c>
      <c r="U862" s="9" t="s">
        <v>588</v>
      </c>
      <c r="V862" s="9" t="s">
        <v>1375</v>
      </c>
      <c r="W862" s="9" t="s">
        <v>921</v>
      </c>
      <c r="X862" s="9" t="s">
        <v>1635</v>
      </c>
      <c r="Y862" s="9" t="s">
        <v>1586</v>
      </c>
      <c r="Z862" s="9" t="s">
        <v>461</v>
      </c>
      <c r="AA862" s="9" t="s">
        <v>223</v>
      </c>
      <c r="AB862" s="19" t="n">
        <v>25</v>
      </c>
      <c r="AC862" s="9"/>
      <c r="AD862" s="9"/>
      <c r="AE862" s="9" t="s">
        <v>155</v>
      </c>
    </row>
    <row r="863" customFormat="false" ht="21.75" hidden="false" customHeight="true" outlineLevel="0" collapsed="false">
      <c r="B863" s="14" t="n">
        <v>859</v>
      </c>
      <c r="C863" s="7" t="s">
        <v>56</v>
      </c>
      <c r="D863" s="7" t="s">
        <v>27</v>
      </c>
      <c r="E863" s="7" t="s">
        <v>91</v>
      </c>
      <c r="F863" s="7" t="s">
        <v>74</v>
      </c>
      <c r="G863" s="7" t="s">
        <v>1636</v>
      </c>
      <c r="H863" s="7" t="s">
        <v>136</v>
      </c>
      <c r="I863" s="7" t="s">
        <v>137</v>
      </c>
      <c r="J863" s="7" t="s">
        <v>468</v>
      </c>
      <c r="K863" s="7" t="s">
        <v>1634</v>
      </c>
      <c r="L863" s="7" t="s">
        <v>1045</v>
      </c>
      <c r="M863" s="7" t="s">
        <v>281</v>
      </c>
      <c r="N863" s="7" t="s">
        <v>1421</v>
      </c>
      <c r="O863" s="7" t="s">
        <v>1535</v>
      </c>
      <c r="P863" s="7" t="s">
        <v>1594</v>
      </c>
      <c r="Q863" s="7" t="s">
        <v>455</v>
      </c>
      <c r="R863" s="7" t="s">
        <v>281</v>
      </c>
      <c r="S863" s="7" t="s">
        <v>331</v>
      </c>
      <c r="T863" s="7" t="s">
        <v>223</v>
      </c>
      <c r="U863" s="7" t="s">
        <v>588</v>
      </c>
      <c r="V863" s="7" t="s">
        <v>1375</v>
      </c>
      <c r="W863" s="7" t="s">
        <v>921</v>
      </c>
      <c r="X863" s="7" t="s">
        <v>1635</v>
      </c>
      <c r="Y863" s="7" t="s">
        <v>1586</v>
      </c>
      <c r="Z863" s="7" t="s">
        <v>461</v>
      </c>
      <c r="AA863" s="7" t="s">
        <v>223</v>
      </c>
      <c r="AB863" s="18" t="n">
        <v>25</v>
      </c>
      <c r="AC863" s="7"/>
      <c r="AD863" s="7"/>
      <c r="AE863" s="7" t="s">
        <v>159</v>
      </c>
    </row>
    <row r="864" customFormat="false" ht="21.75" hidden="false" customHeight="true" outlineLevel="0" collapsed="false">
      <c r="B864" s="15" t="n">
        <v>860</v>
      </c>
      <c r="C864" s="9" t="s">
        <v>56</v>
      </c>
      <c r="D864" s="9" t="s">
        <v>27</v>
      </c>
      <c r="E864" s="9" t="s">
        <v>91</v>
      </c>
      <c r="F864" s="9" t="s">
        <v>74</v>
      </c>
      <c r="G864" s="9" t="s">
        <v>1592</v>
      </c>
      <c r="H864" s="9" t="s">
        <v>157</v>
      </c>
      <c r="I864" s="9" t="s">
        <v>158</v>
      </c>
      <c r="J864" s="9" t="s">
        <v>468</v>
      </c>
      <c r="K864" s="9" t="s">
        <v>1634</v>
      </c>
      <c r="L864" s="9" t="s">
        <v>1045</v>
      </c>
      <c r="M864" s="9" t="s">
        <v>281</v>
      </c>
      <c r="N864" s="9" t="s">
        <v>1421</v>
      </c>
      <c r="O864" s="9" t="s">
        <v>1535</v>
      </c>
      <c r="P864" s="9" t="s">
        <v>1594</v>
      </c>
      <c r="Q864" s="9" t="s">
        <v>455</v>
      </c>
      <c r="R864" s="9" t="s">
        <v>281</v>
      </c>
      <c r="S864" s="9" t="s">
        <v>331</v>
      </c>
      <c r="T864" s="9" t="s">
        <v>223</v>
      </c>
      <c r="U864" s="9" t="s">
        <v>588</v>
      </c>
      <c r="V864" s="9" t="s">
        <v>1375</v>
      </c>
      <c r="W864" s="9" t="s">
        <v>921</v>
      </c>
      <c r="X864" s="9" t="s">
        <v>1635</v>
      </c>
      <c r="Y864" s="9" t="s">
        <v>1586</v>
      </c>
      <c r="Z864" s="9" t="s">
        <v>461</v>
      </c>
      <c r="AA864" s="9" t="s">
        <v>223</v>
      </c>
      <c r="AB864" s="19" t="n">
        <v>35</v>
      </c>
      <c r="AC864" s="9"/>
      <c r="AD864" s="9"/>
      <c r="AE864" s="9" t="s">
        <v>1637</v>
      </c>
    </row>
    <row r="865" customFormat="false" ht="21.75" hidden="false" customHeight="true" outlineLevel="0" collapsed="false">
      <c r="B865" s="14" t="n">
        <v>861</v>
      </c>
      <c r="C865" s="7" t="s">
        <v>56</v>
      </c>
      <c r="D865" s="7" t="s">
        <v>27</v>
      </c>
      <c r="E865" s="7" t="s">
        <v>91</v>
      </c>
      <c r="F865" s="7" t="s">
        <v>74</v>
      </c>
      <c r="G865" s="7" t="s">
        <v>1638</v>
      </c>
      <c r="H865" s="7" t="s">
        <v>157</v>
      </c>
      <c r="I865" s="7" t="s">
        <v>158</v>
      </c>
      <c r="J865" s="7" t="s">
        <v>468</v>
      </c>
      <c r="K865" s="7" t="s">
        <v>1634</v>
      </c>
      <c r="L865" s="7" t="s">
        <v>1045</v>
      </c>
      <c r="M865" s="7" t="s">
        <v>281</v>
      </c>
      <c r="N865" s="7" t="s">
        <v>1421</v>
      </c>
      <c r="O865" s="7" t="s">
        <v>1535</v>
      </c>
      <c r="P865" s="7" t="s">
        <v>1594</v>
      </c>
      <c r="Q865" s="7" t="s">
        <v>455</v>
      </c>
      <c r="R865" s="7" t="s">
        <v>281</v>
      </c>
      <c r="S865" s="7" t="s">
        <v>331</v>
      </c>
      <c r="T865" s="7" t="s">
        <v>223</v>
      </c>
      <c r="U865" s="7" t="s">
        <v>588</v>
      </c>
      <c r="V865" s="7" t="s">
        <v>1375</v>
      </c>
      <c r="W865" s="7" t="s">
        <v>921</v>
      </c>
      <c r="X865" s="7" t="s">
        <v>1635</v>
      </c>
      <c r="Y865" s="7" t="s">
        <v>1586</v>
      </c>
      <c r="Z865" s="7" t="s">
        <v>461</v>
      </c>
      <c r="AA865" s="7" t="s">
        <v>223</v>
      </c>
      <c r="AB865" s="18" t="n">
        <v>50</v>
      </c>
      <c r="AC865" s="7"/>
      <c r="AD865" s="7"/>
      <c r="AE865" s="7" t="s">
        <v>165</v>
      </c>
    </row>
    <row r="866" customFormat="false" ht="21.75" hidden="false" customHeight="true" outlineLevel="0" collapsed="false">
      <c r="B866" s="15" t="n">
        <v>862</v>
      </c>
      <c r="C866" s="9" t="s">
        <v>56</v>
      </c>
      <c r="D866" s="9" t="s">
        <v>27</v>
      </c>
      <c r="E866" s="9" t="s">
        <v>91</v>
      </c>
      <c r="F866" s="9" t="s">
        <v>74</v>
      </c>
      <c r="G866" s="9" t="s">
        <v>1639</v>
      </c>
      <c r="H866" s="9" t="s">
        <v>163</v>
      </c>
      <c r="I866" s="9" t="s">
        <v>164</v>
      </c>
      <c r="J866" s="9" t="s">
        <v>468</v>
      </c>
      <c r="K866" s="9" t="s">
        <v>1634</v>
      </c>
      <c r="L866" s="9" t="s">
        <v>1045</v>
      </c>
      <c r="M866" s="9" t="s">
        <v>281</v>
      </c>
      <c r="N866" s="9" t="s">
        <v>1421</v>
      </c>
      <c r="O866" s="9" t="s">
        <v>1535</v>
      </c>
      <c r="P866" s="9" t="s">
        <v>1594</v>
      </c>
      <c r="Q866" s="9" t="s">
        <v>455</v>
      </c>
      <c r="R866" s="9" t="s">
        <v>281</v>
      </c>
      <c r="S866" s="9" t="s">
        <v>331</v>
      </c>
      <c r="T866" s="9" t="s">
        <v>223</v>
      </c>
      <c r="U866" s="9" t="s">
        <v>588</v>
      </c>
      <c r="V866" s="9" t="s">
        <v>1375</v>
      </c>
      <c r="W866" s="9" t="s">
        <v>921</v>
      </c>
      <c r="X866" s="9" t="s">
        <v>1635</v>
      </c>
      <c r="Y866" s="9" t="s">
        <v>1586</v>
      </c>
      <c r="Z866" s="9" t="s">
        <v>461</v>
      </c>
      <c r="AA866" s="9" t="s">
        <v>223</v>
      </c>
      <c r="AB866" s="19" t="n">
        <v>75</v>
      </c>
      <c r="AC866" s="9"/>
      <c r="AD866" s="9"/>
      <c r="AE866" s="9" t="s">
        <v>167</v>
      </c>
    </row>
    <row r="867" customFormat="false" ht="21.75" hidden="false" customHeight="true" outlineLevel="0" collapsed="false">
      <c r="B867" s="14" t="n">
        <v>863</v>
      </c>
      <c r="C867" s="7" t="s">
        <v>57</v>
      </c>
      <c r="D867" s="7" t="s">
        <v>27</v>
      </c>
      <c r="E867" s="7" t="s">
        <v>91</v>
      </c>
      <c r="F867" s="7" t="s">
        <v>61</v>
      </c>
      <c r="G867" s="7" t="s">
        <v>1640</v>
      </c>
      <c r="H867" s="7" t="s">
        <v>136</v>
      </c>
      <c r="I867" s="7" t="s">
        <v>137</v>
      </c>
      <c r="J867" s="7" t="s">
        <v>203</v>
      </c>
      <c r="K867" s="7" t="s">
        <v>1130</v>
      </c>
      <c r="L867" s="7" t="s">
        <v>205</v>
      </c>
      <c r="M867" s="7" t="s">
        <v>116</v>
      </c>
      <c r="N867" s="7" t="s">
        <v>1641</v>
      </c>
      <c r="O867" s="7" t="s">
        <v>1535</v>
      </c>
      <c r="P867" s="7" t="s">
        <v>1642</v>
      </c>
      <c r="Q867" s="7" t="s">
        <v>1135</v>
      </c>
      <c r="R867" s="7" t="s">
        <v>281</v>
      </c>
      <c r="S867" s="7" t="s">
        <v>472</v>
      </c>
      <c r="T867" s="7" t="s">
        <v>356</v>
      </c>
      <c r="U867" s="7" t="s">
        <v>148</v>
      </c>
      <c r="V867" s="7" t="s">
        <v>236</v>
      </c>
      <c r="W867" s="7" t="s">
        <v>1643</v>
      </c>
      <c r="X867" s="7" t="s">
        <v>1644</v>
      </c>
      <c r="Y867" s="7" t="s">
        <v>1446</v>
      </c>
      <c r="Z867" s="7" t="s">
        <v>461</v>
      </c>
      <c r="AA867" s="7" t="s">
        <v>154</v>
      </c>
      <c r="AB867" s="18" t="n">
        <v>50</v>
      </c>
      <c r="AC867" s="7"/>
      <c r="AD867" s="7"/>
      <c r="AE867" s="7" t="s">
        <v>155</v>
      </c>
    </row>
    <row r="868" customFormat="false" ht="21.75" hidden="false" customHeight="true" outlineLevel="0" collapsed="false">
      <c r="B868" s="15" t="n">
        <v>864</v>
      </c>
      <c r="C868" s="9" t="s">
        <v>57</v>
      </c>
      <c r="D868" s="9" t="s">
        <v>27</v>
      </c>
      <c r="E868" s="9" t="s">
        <v>91</v>
      </c>
      <c r="F868" s="9" t="s">
        <v>61</v>
      </c>
      <c r="G868" s="9" t="s">
        <v>1645</v>
      </c>
      <c r="H868" s="9" t="s">
        <v>157</v>
      </c>
      <c r="I868" s="9" t="s">
        <v>158</v>
      </c>
      <c r="J868" s="9" t="s">
        <v>203</v>
      </c>
      <c r="K868" s="9" t="s">
        <v>1130</v>
      </c>
      <c r="L868" s="9" t="s">
        <v>205</v>
      </c>
      <c r="M868" s="9" t="s">
        <v>116</v>
      </c>
      <c r="N868" s="9" t="s">
        <v>1641</v>
      </c>
      <c r="O868" s="9" t="s">
        <v>1535</v>
      </c>
      <c r="P868" s="9" t="s">
        <v>1642</v>
      </c>
      <c r="Q868" s="9" t="s">
        <v>1135</v>
      </c>
      <c r="R868" s="9" t="s">
        <v>281</v>
      </c>
      <c r="S868" s="9" t="s">
        <v>472</v>
      </c>
      <c r="T868" s="9" t="s">
        <v>356</v>
      </c>
      <c r="U868" s="9" t="s">
        <v>148</v>
      </c>
      <c r="V868" s="9" t="s">
        <v>236</v>
      </c>
      <c r="W868" s="9" t="s">
        <v>1643</v>
      </c>
      <c r="X868" s="9" t="s">
        <v>1644</v>
      </c>
      <c r="Y868" s="9" t="s">
        <v>1446</v>
      </c>
      <c r="Z868" s="9" t="s">
        <v>461</v>
      </c>
      <c r="AA868" s="9" t="s">
        <v>154</v>
      </c>
      <c r="AB868" s="19" t="n">
        <v>80</v>
      </c>
      <c r="AC868" s="9"/>
      <c r="AD868" s="9"/>
      <c r="AE868" s="9" t="s">
        <v>159</v>
      </c>
    </row>
    <row r="869" customFormat="false" ht="21.75" hidden="false" customHeight="true" outlineLevel="0" collapsed="false">
      <c r="B869" s="14" t="n">
        <v>865</v>
      </c>
      <c r="C869" s="7" t="s">
        <v>57</v>
      </c>
      <c r="D869" s="7" t="s">
        <v>27</v>
      </c>
      <c r="E869" s="7" t="s">
        <v>91</v>
      </c>
      <c r="F869" s="7" t="s">
        <v>61</v>
      </c>
      <c r="G869" s="7" t="s">
        <v>1646</v>
      </c>
      <c r="H869" s="7" t="s">
        <v>157</v>
      </c>
      <c r="I869" s="7" t="s">
        <v>158</v>
      </c>
      <c r="J869" s="7" t="s">
        <v>203</v>
      </c>
      <c r="K869" s="7" t="s">
        <v>1130</v>
      </c>
      <c r="L869" s="7" t="s">
        <v>205</v>
      </c>
      <c r="M869" s="7" t="s">
        <v>116</v>
      </c>
      <c r="N869" s="7" t="s">
        <v>1641</v>
      </c>
      <c r="O869" s="7" t="s">
        <v>1535</v>
      </c>
      <c r="P869" s="7" t="s">
        <v>1642</v>
      </c>
      <c r="Q869" s="7" t="s">
        <v>1135</v>
      </c>
      <c r="R869" s="7" t="s">
        <v>281</v>
      </c>
      <c r="S869" s="7" t="s">
        <v>472</v>
      </c>
      <c r="T869" s="7" t="s">
        <v>356</v>
      </c>
      <c r="U869" s="7" t="s">
        <v>148</v>
      </c>
      <c r="V869" s="7" t="s">
        <v>236</v>
      </c>
      <c r="W869" s="7" t="s">
        <v>1643</v>
      </c>
      <c r="X869" s="7" t="s">
        <v>1644</v>
      </c>
      <c r="Y869" s="7" t="s">
        <v>1446</v>
      </c>
      <c r="Z869" s="7" t="s">
        <v>461</v>
      </c>
      <c r="AA869" s="7" t="s">
        <v>154</v>
      </c>
      <c r="AB869" s="18" t="n">
        <v>105</v>
      </c>
      <c r="AC869" s="7"/>
      <c r="AD869" s="7"/>
      <c r="AE869" s="7" t="s">
        <v>1647</v>
      </c>
    </row>
    <row r="870" customFormat="false" ht="21.75" hidden="false" customHeight="true" outlineLevel="0" collapsed="false">
      <c r="B870" s="15" t="n">
        <v>866</v>
      </c>
      <c r="C870" s="9" t="s">
        <v>57</v>
      </c>
      <c r="D870" s="9" t="s">
        <v>27</v>
      </c>
      <c r="E870" s="9" t="s">
        <v>91</v>
      </c>
      <c r="F870" s="9" t="s">
        <v>61</v>
      </c>
      <c r="G870" s="9" t="s">
        <v>1648</v>
      </c>
      <c r="H870" s="9" t="s">
        <v>163</v>
      </c>
      <c r="I870" s="9" t="s">
        <v>164</v>
      </c>
      <c r="J870" s="9" t="s">
        <v>203</v>
      </c>
      <c r="K870" s="9" t="s">
        <v>1130</v>
      </c>
      <c r="L870" s="9" t="s">
        <v>205</v>
      </c>
      <c r="M870" s="9" t="s">
        <v>116</v>
      </c>
      <c r="N870" s="9" t="s">
        <v>1641</v>
      </c>
      <c r="O870" s="9" t="s">
        <v>1535</v>
      </c>
      <c r="P870" s="9" t="s">
        <v>1642</v>
      </c>
      <c r="Q870" s="9" t="s">
        <v>1135</v>
      </c>
      <c r="R870" s="9" t="s">
        <v>281</v>
      </c>
      <c r="S870" s="9" t="s">
        <v>472</v>
      </c>
      <c r="T870" s="9" t="s">
        <v>356</v>
      </c>
      <c r="U870" s="9" t="s">
        <v>148</v>
      </c>
      <c r="V870" s="9" t="s">
        <v>236</v>
      </c>
      <c r="W870" s="9" t="s">
        <v>1643</v>
      </c>
      <c r="X870" s="9" t="s">
        <v>1644</v>
      </c>
      <c r="Y870" s="9" t="s">
        <v>1446</v>
      </c>
      <c r="Z870" s="9" t="s">
        <v>461</v>
      </c>
      <c r="AA870" s="9" t="s">
        <v>154</v>
      </c>
      <c r="AB870" s="19" t="n">
        <v>160</v>
      </c>
      <c r="AC870" s="9"/>
      <c r="AD870" s="9"/>
      <c r="AE870" s="9" t="s">
        <v>165</v>
      </c>
    </row>
    <row r="871" customFormat="false" ht="21.75" hidden="false" customHeight="true" outlineLevel="0" collapsed="false">
      <c r="B871" s="14" t="n">
        <v>867</v>
      </c>
      <c r="C871" s="7" t="s">
        <v>57</v>
      </c>
      <c r="D871" s="7" t="s">
        <v>27</v>
      </c>
      <c r="E871" s="7" t="s">
        <v>91</v>
      </c>
      <c r="F871" s="7" t="s">
        <v>61</v>
      </c>
      <c r="G871" s="7" t="s">
        <v>1649</v>
      </c>
      <c r="H871" s="7" t="s">
        <v>163</v>
      </c>
      <c r="I871" s="7" t="s">
        <v>164</v>
      </c>
      <c r="J871" s="7" t="s">
        <v>203</v>
      </c>
      <c r="K871" s="7" t="s">
        <v>1130</v>
      </c>
      <c r="L871" s="7" t="s">
        <v>205</v>
      </c>
      <c r="M871" s="7" t="s">
        <v>116</v>
      </c>
      <c r="N871" s="7" t="s">
        <v>1641</v>
      </c>
      <c r="O871" s="7" t="s">
        <v>1535</v>
      </c>
      <c r="P871" s="7" t="s">
        <v>1642</v>
      </c>
      <c r="Q871" s="7" t="s">
        <v>1135</v>
      </c>
      <c r="R871" s="7" t="s">
        <v>281</v>
      </c>
      <c r="S871" s="7" t="s">
        <v>472</v>
      </c>
      <c r="T871" s="7" t="s">
        <v>356</v>
      </c>
      <c r="U871" s="7" t="s">
        <v>148</v>
      </c>
      <c r="V871" s="7" t="s">
        <v>236</v>
      </c>
      <c r="W871" s="7" t="s">
        <v>1643</v>
      </c>
      <c r="X871" s="7" t="s">
        <v>1644</v>
      </c>
      <c r="Y871" s="7" t="s">
        <v>1446</v>
      </c>
      <c r="Z871" s="7" t="s">
        <v>461</v>
      </c>
      <c r="AA871" s="7" t="s">
        <v>154</v>
      </c>
      <c r="AB871" s="18" t="n">
        <v>230</v>
      </c>
      <c r="AC871" s="7"/>
      <c r="AD871" s="7"/>
      <c r="AE871" s="7" t="s">
        <v>167</v>
      </c>
    </row>
    <row r="872" customFormat="false" ht="21.75" hidden="false" customHeight="true" outlineLevel="0" collapsed="false">
      <c r="B872" s="15" t="n">
        <v>868</v>
      </c>
      <c r="C872" s="9" t="s">
        <v>57</v>
      </c>
      <c r="D872" s="9" t="s">
        <v>27</v>
      </c>
      <c r="E872" s="9" t="s">
        <v>91</v>
      </c>
      <c r="F872" s="9" t="s">
        <v>62</v>
      </c>
      <c r="G872" s="9" t="s">
        <v>321</v>
      </c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9"/>
      <c r="AC872" s="9"/>
      <c r="AD872" s="9"/>
      <c r="AE872" s="9" t="s">
        <v>1650</v>
      </c>
    </row>
    <row r="873" customFormat="false" ht="21.75" hidden="false" customHeight="true" outlineLevel="0" collapsed="false">
      <c r="B873" s="14" t="n">
        <v>869</v>
      </c>
      <c r="C873" s="7" t="s">
        <v>57</v>
      </c>
      <c r="D873" s="7" t="s">
        <v>27</v>
      </c>
      <c r="E873" s="7" t="s">
        <v>91</v>
      </c>
      <c r="F873" s="7" t="s">
        <v>63</v>
      </c>
      <c r="G873" s="7" t="s">
        <v>1651</v>
      </c>
      <c r="H873" s="7" t="s">
        <v>136</v>
      </c>
      <c r="I873" s="7" t="s">
        <v>137</v>
      </c>
      <c r="J873" s="7" t="s">
        <v>203</v>
      </c>
      <c r="K873" s="7" t="s">
        <v>1593</v>
      </c>
      <c r="L873" s="7" t="s">
        <v>205</v>
      </c>
      <c r="M873" s="7" t="s">
        <v>116</v>
      </c>
      <c r="N873" s="7" t="s">
        <v>1641</v>
      </c>
      <c r="O873" s="7" t="s">
        <v>1535</v>
      </c>
      <c r="P873" s="7" t="s">
        <v>1642</v>
      </c>
      <c r="Q873" s="7" t="s">
        <v>1135</v>
      </c>
      <c r="R873" s="7" t="s">
        <v>281</v>
      </c>
      <c r="S873" s="7" t="s">
        <v>472</v>
      </c>
      <c r="T873" s="7" t="s">
        <v>356</v>
      </c>
      <c r="U873" s="7" t="s">
        <v>148</v>
      </c>
      <c r="V873" s="7" t="s">
        <v>344</v>
      </c>
      <c r="W873" s="7" t="s">
        <v>1643</v>
      </c>
      <c r="X873" s="7" t="s">
        <v>1652</v>
      </c>
      <c r="Y873" s="7" t="s">
        <v>850</v>
      </c>
      <c r="Z873" s="7" t="s">
        <v>461</v>
      </c>
      <c r="AA873" s="7" t="s">
        <v>183</v>
      </c>
      <c r="AB873" s="18" t="n">
        <v>35</v>
      </c>
      <c r="AC873" s="7"/>
      <c r="AD873" s="7"/>
      <c r="AE873" s="7" t="s">
        <v>155</v>
      </c>
    </row>
    <row r="874" customFormat="false" ht="21.75" hidden="false" customHeight="true" outlineLevel="0" collapsed="false">
      <c r="B874" s="15" t="n">
        <v>870</v>
      </c>
      <c r="C874" s="9" t="s">
        <v>57</v>
      </c>
      <c r="D874" s="9" t="s">
        <v>27</v>
      </c>
      <c r="E874" s="9" t="s">
        <v>91</v>
      </c>
      <c r="F874" s="9" t="s">
        <v>63</v>
      </c>
      <c r="G874" s="9" t="s">
        <v>1653</v>
      </c>
      <c r="H874" s="9" t="s">
        <v>157</v>
      </c>
      <c r="I874" s="9" t="s">
        <v>158</v>
      </c>
      <c r="J874" s="9" t="s">
        <v>203</v>
      </c>
      <c r="K874" s="9" t="s">
        <v>1593</v>
      </c>
      <c r="L874" s="9" t="s">
        <v>205</v>
      </c>
      <c r="M874" s="9" t="s">
        <v>116</v>
      </c>
      <c r="N874" s="9" t="s">
        <v>1641</v>
      </c>
      <c r="O874" s="9" t="s">
        <v>1535</v>
      </c>
      <c r="P874" s="9" t="s">
        <v>1642</v>
      </c>
      <c r="Q874" s="9" t="s">
        <v>1135</v>
      </c>
      <c r="R874" s="9" t="s">
        <v>281</v>
      </c>
      <c r="S874" s="9" t="s">
        <v>472</v>
      </c>
      <c r="T874" s="9" t="s">
        <v>356</v>
      </c>
      <c r="U874" s="9" t="s">
        <v>148</v>
      </c>
      <c r="V874" s="9" t="s">
        <v>344</v>
      </c>
      <c r="W874" s="9" t="s">
        <v>1643</v>
      </c>
      <c r="X874" s="9" t="s">
        <v>1652</v>
      </c>
      <c r="Y874" s="9" t="s">
        <v>850</v>
      </c>
      <c r="Z874" s="9" t="s">
        <v>461</v>
      </c>
      <c r="AA874" s="9" t="s">
        <v>183</v>
      </c>
      <c r="AB874" s="19" t="n">
        <v>50</v>
      </c>
      <c r="AC874" s="9"/>
      <c r="AD874" s="9"/>
      <c r="AE874" s="9" t="s">
        <v>159</v>
      </c>
    </row>
    <row r="875" customFormat="false" ht="21.75" hidden="false" customHeight="true" outlineLevel="0" collapsed="false">
      <c r="B875" s="14" t="n">
        <v>871</v>
      </c>
      <c r="C875" s="7" t="s">
        <v>57</v>
      </c>
      <c r="D875" s="7" t="s">
        <v>27</v>
      </c>
      <c r="E875" s="7" t="s">
        <v>91</v>
      </c>
      <c r="F875" s="7" t="s">
        <v>63</v>
      </c>
      <c r="G875" s="7" t="s">
        <v>1654</v>
      </c>
      <c r="H875" s="7" t="s">
        <v>157</v>
      </c>
      <c r="I875" s="7" t="s">
        <v>158</v>
      </c>
      <c r="J875" s="7" t="s">
        <v>203</v>
      </c>
      <c r="K875" s="7" t="s">
        <v>1593</v>
      </c>
      <c r="L875" s="7" t="s">
        <v>205</v>
      </c>
      <c r="M875" s="7" t="s">
        <v>116</v>
      </c>
      <c r="N875" s="7" t="s">
        <v>1641</v>
      </c>
      <c r="O875" s="7" t="s">
        <v>1535</v>
      </c>
      <c r="P875" s="7" t="s">
        <v>1642</v>
      </c>
      <c r="Q875" s="7" t="s">
        <v>1135</v>
      </c>
      <c r="R875" s="7" t="s">
        <v>281</v>
      </c>
      <c r="S875" s="7" t="s">
        <v>472</v>
      </c>
      <c r="T875" s="7" t="s">
        <v>356</v>
      </c>
      <c r="U875" s="7" t="s">
        <v>148</v>
      </c>
      <c r="V875" s="7" t="s">
        <v>344</v>
      </c>
      <c r="W875" s="7" t="s">
        <v>1643</v>
      </c>
      <c r="X875" s="7" t="s">
        <v>1652</v>
      </c>
      <c r="Y875" s="7" t="s">
        <v>850</v>
      </c>
      <c r="Z875" s="7" t="s">
        <v>461</v>
      </c>
      <c r="AA875" s="7" t="s">
        <v>183</v>
      </c>
      <c r="AB875" s="18" t="n">
        <v>70</v>
      </c>
      <c r="AC875" s="7"/>
      <c r="AD875" s="7"/>
      <c r="AE875" s="7" t="s">
        <v>1655</v>
      </c>
    </row>
    <row r="876" customFormat="false" ht="21.75" hidden="false" customHeight="true" outlineLevel="0" collapsed="false">
      <c r="B876" s="15" t="n">
        <v>872</v>
      </c>
      <c r="C876" s="9" t="s">
        <v>57</v>
      </c>
      <c r="D876" s="9" t="s">
        <v>27</v>
      </c>
      <c r="E876" s="9" t="s">
        <v>91</v>
      </c>
      <c r="F876" s="9" t="s">
        <v>63</v>
      </c>
      <c r="G876" s="9" t="s">
        <v>1656</v>
      </c>
      <c r="H876" s="9" t="s">
        <v>163</v>
      </c>
      <c r="I876" s="9" t="s">
        <v>164</v>
      </c>
      <c r="J876" s="9" t="s">
        <v>203</v>
      </c>
      <c r="K876" s="9" t="s">
        <v>1593</v>
      </c>
      <c r="L876" s="9" t="s">
        <v>205</v>
      </c>
      <c r="M876" s="9" t="s">
        <v>116</v>
      </c>
      <c r="N876" s="9" t="s">
        <v>1641</v>
      </c>
      <c r="O876" s="9" t="s">
        <v>1535</v>
      </c>
      <c r="P876" s="9" t="s">
        <v>1642</v>
      </c>
      <c r="Q876" s="9" t="s">
        <v>1135</v>
      </c>
      <c r="R876" s="9" t="s">
        <v>281</v>
      </c>
      <c r="S876" s="9" t="s">
        <v>472</v>
      </c>
      <c r="T876" s="9" t="s">
        <v>356</v>
      </c>
      <c r="U876" s="9" t="s">
        <v>148</v>
      </c>
      <c r="V876" s="9" t="s">
        <v>344</v>
      </c>
      <c r="W876" s="9" t="s">
        <v>1643</v>
      </c>
      <c r="X876" s="9" t="s">
        <v>1652</v>
      </c>
      <c r="Y876" s="9" t="s">
        <v>850</v>
      </c>
      <c r="Z876" s="9" t="s">
        <v>461</v>
      </c>
      <c r="AA876" s="9" t="s">
        <v>183</v>
      </c>
      <c r="AB876" s="19" t="n">
        <v>105</v>
      </c>
      <c r="AC876" s="9"/>
      <c r="AD876" s="9"/>
      <c r="AE876" s="9" t="s">
        <v>165</v>
      </c>
    </row>
    <row r="877" customFormat="false" ht="21.75" hidden="false" customHeight="true" outlineLevel="0" collapsed="false">
      <c r="B877" s="14" t="n">
        <v>873</v>
      </c>
      <c r="C877" s="7" t="s">
        <v>57</v>
      </c>
      <c r="D877" s="7" t="s">
        <v>27</v>
      </c>
      <c r="E877" s="7" t="s">
        <v>91</v>
      </c>
      <c r="F877" s="7" t="s">
        <v>63</v>
      </c>
      <c r="G877" s="7" t="s">
        <v>1657</v>
      </c>
      <c r="H877" s="7" t="s">
        <v>163</v>
      </c>
      <c r="I877" s="7" t="s">
        <v>164</v>
      </c>
      <c r="J877" s="7" t="s">
        <v>203</v>
      </c>
      <c r="K877" s="7" t="s">
        <v>1593</v>
      </c>
      <c r="L877" s="7" t="s">
        <v>205</v>
      </c>
      <c r="M877" s="7" t="s">
        <v>116</v>
      </c>
      <c r="N877" s="7" t="s">
        <v>1641</v>
      </c>
      <c r="O877" s="7" t="s">
        <v>1535</v>
      </c>
      <c r="P877" s="7" t="s">
        <v>1642</v>
      </c>
      <c r="Q877" s="7" t="s">
        <v>1135</v>
      </c>
      <c r="R877" s="7" t="s">
        <v>281</v>
      </c>
      <c r="S877" s="7" t="s">
        <v>472</v>
      </c>
      <c r="T877" s="7" t="s">
        <v>356</v>
      </c>
      <c r="U877" s="7" t="s">
        <v>148</v>
      </c>
      <c r="V877" s="7" t="s">
        <v>344</v>
      </c>
      <c r="W877" s="7" t="s">
        <v>1643</v>
      </c>
      <c r="X877" s="7" t="s">
        <v>1652</v>
      </c>
      <c r="Y877" s="7" t="s">
        <v>850</v>
      </c>
      <c r="Z877" s="7" t="s">
        <v>461</v>
      </c>
      <c r="AA877" s="7" t="s">
        <v>183</v>
      </c>
      <c r="AB877" s="18" t="n">
        <v>155</v>
      </c>
      <c r="AC877" s="7"/>
      <c r="AD877" s="7"/>
      <c r="AE877" s="7" t="s">
        <v>167</v>
      </c>
    </row>
    <row r="878" customFormat="false" ht="21.75" hidden="false" customHeight="true" outlineLevel="0" collapsed="false">
      <c r="B878" s="15" t="n">
        <v>874</v>
      </c>
      <c r="C878" s="9" t="s">
        <v>57</v>
      </c>
      <c r="D878" s="9" t="s">
        <v>27</v>
      </c>
      <c r="E878" s="9" t="s">
        <v>91</v>
      </c>
      <c r="F878" s="9" t="s">
        <v>64</v>
      </c>
      <c r="G878" s="9" t="s">
        <v>1658</v>
      </c>
      <c r="H878" s="9" t="s">
        <v>136</v>
      </c>
      <c r="I878" s="9" t="s">
        <v>137</v>
      </c>
      <c r="J878" s="9" t="s">
        <v>203</v>
      </c>
      <c r="K878" s="9" t="s">
        <v>1659</v>
      </c>
      <c r="L878" s="9" t="s">
        <v>1326</v>
      </c>
      <c r="M878" s="9" t="s">
        <v>116</v>
      </c>
      <c r="N878" s="9" t="s">
        <v>1660</v>
      </c>
      <c r="O878" s="9" t="s">
        <v>1535</v>
      </c>
      <c r="P878" s="9" t="s">
        <v>1642</v>
      </c>
      <c r="Q878" s="9" t="s">
        <v>1135</v>
      </c>
      <c r="R878" s="9" t="s">
        <v>281</v>
      </c>
      <c r="S878" s="9" t="s">
        <v>472</v>
      </c>
      <c r="T878" s="9" t="s">
        <v>356</v>
      </c>
      <c r="U878" s="9" t="s">
        <v>194</v>
      </c>
      <c r="V878" s="9" t="s">
        <v>368</v>
      </c>
      <c r="W878" s="9" t="s">
        <v>1643</v>
      </c>
      <c r="X878" s="9" t="s">
        <v>1661</v>
      </c>
      <c r="Y878" s="9" t="s">
        <v>358</v>
      </c>
      <c r="Z878" s="9" t="s">
        <v>461</v>
      </c>
      <c r="AA878" s="9" t="s">
        <v>183</v>
      </c>
      <c r="AB878" s="19" t="n">
        <v>95</v>
      </c>
      <c r="AC878" s="9"/>
      <c r="AD878" s="9"/>
      <c r="AE878" s="9" t="s">
        <v>155</v>
      </c>
    </row>
    <row r="879" customFormat="false" ht="21.75" hidden="false" customHeight="true" outlineLevel="0" collapsed="false">
      <c r="B879" s="14" t="n">
        <v>875</v>
      </c>
      <c r="C879" s="7" t="s">
        <v>57</v>
      </c>
      <c r="D879" s="7" t="s">
        <v>27</v>
      </c>
      <c r="E879" s="7" t="s">
        <v>91</v>
      </c>
      <c r="F879" s="7" t="s">
        <v>64</v>
      </c>
      <c r="G879" s="7" t="s">
        <v>1662</v>
      </c>
      <c r="H879" s="7" t="s">
        <v>136</v>
      </c>
      <c r="I879" s="7" t="s">
        <v>137</v>
      </c>
      <c r="J879" s="7" t="s">
        <v>203</v>
      </c>
      <c r="K879" s="7" t="s">
        <v>1659</v>
      </c>
      <c r="L879" s="7" t="s">
        <v>1326</v>
      </c>
      <c r="M879" s="7" t="s">
        <v>116</v>
      </c>
      <c r="N879" s="7" t="s">
        <v>1660</v>
      </c>
      <c r="O879" s="7" t="s">
        <v>1535</v>
      </c>
      <c r="P879" s="7" t="s">
        <v>1642</v>
      </c>
      <c r="Q879" s="7" t="s">
        <v>1135</v>
      </c>
      <c r="R879" s="7" t="s">
        <v>281</v>
      </c>
      <c r="S879" s="7" t="s">
        <v>472</v>
      </c>
      <c r="T879" s="7" t="s">
        <v>356</v>
      </c>
      <c r="U879" s="7" t="s">
        <v>194</v>
      </c>
      <c r="V879" s="7" t="s">
        <v>368</v>
      </c>
      <c r="W879" s="7" t="s">
        <v>1643</v>
      </c>
      <c r="X879" s="7" t="s">
        <v>1661</v>
      </c>
      <c r="Y879" s="7" t="s">
        <v>358</v>
      </c>
      <c r="Z879" s="7" t="s">
        <v>461</v>
      </c>
      <c r="AA879" s="7" t="s">
        <v>183</v>
      </c>
      <c r="AB879" s="18" t="n">
        <v>140</v>
      </c>
      <c r="AC879" s="7"/>
      <c r="AD879" s="7"/>
      <c r="AE879" s="7" t="s">
        <v>159</v>
      </c>
    </row>
    <row r="880" customFormat="false" ht="21.75" hidden="false" customHeight="true" outlineLevel="0" collapsed="false">
      <c r="B880" s="15" t="n">
        <v>876</v>
      </c>
      <c r="C880" s="9" t="s">
        <v>57</v>
      </c>
      <c r="D880" s="9" t="s">
        <v>27</v>
      </c>
      <c r="E880" s="9" t="s">
        <v>91</v>
      </c>
      <c r="F880" s="9" t="s">
        <v>64</v>
      </c>
      <c r="G880" s="9" t="s">
        <v>1663</v>
      </c>
      <c r="H880" s="9" t="s">
        <v>157</v>
      </c>
      <c r="I880" s="9" t="s">
        <v>158</v>
      </c>
      <c r="J880" s="9" t="s">
        <v>203</v>
      </c>
      <c r="K880" s="9" t="s">
        <v>1659</v>
      </c>
      <c r="L880" s="9" t="s">
        <v>1326</v>
      </c>
      <c r="M880" s="9" t="s">
        <v>116</v>
      </c>
      <c r="N880" s="9" t="s">
        <v>1660</v>
      </c>
      <c r="O880" s="9" t="s">
        <v>1535</v>
      </c>
      <c r="P880" s="9" t="s">
        <v>1642</v>
      </c>
      <c r="Q880" s="9" t="s">
        <v>1135</v>
      </c>
      <c r="R880" s="9" t="s">
        <v>281</v>
      </c>
      <c r="S880" s="9" t="s">
        <v>472</v>
      </c>
      <c r="T880" s="9" t="s">
        <v>356</v>
      </c>
      <c r="U880" s="9" t="s">
        <v>194</v>
      </c>
      <c r="V880" s="9" t="s">
        <v>368</v>
      </c>
      <c r="W880" s="9" t="s">
        <v>1643</v>
      </c>
      <c r="X880" s="9" t="s">
        <v>1661</v>
      </c>
      <c r="Y880" s="9" t="s">
        <v>358</v>
      </c>
      <c r="Z880" s="9" t="s">
        <v>461</v>
      </c>
      <c r="AA880" s="9" t="s">
        <v>183</v>
      </c>
      <c r="AB880" s="19" t="n">
        <v>190</v>
      </c>
      <c r="AC880" s="9"/>
      <c r="AD880" s="9"/>
      <c r="AE880" s="9" t="s">
        <v>1664</v>
      </c>
    </row>
    <row r="881" customFormat="false" ht="21.75" hidden="false" customHeight="true" outlineLevel="0" collapsed="false">
      <c r="B881" s="14" t="n">
        <v>877</v>
      </c>
      <c r="C881" s="7" t="s">
        <v>57</v>
      </c>
      <c r="D881" s="7" t="s">
        <v>27</v>
      </c>
      <c r="E881" s="7" t="s">
        <v>91</v>
      </c>
      <c r="F881" s="7" t="s">
        <v>64</v>
      </c>
      <c r="G881" s="7" t="s">
        <v>1665</v>
      </c>
      <c r="H881" s="7" t="s">
        <v>157</v>
      </c>
      <c r="I881" s="7" t="s">
        <v>158</v>
      </c>
      <c r="J881" s="7" t="s">
        <v>203</v>
      </c>
      <c r="K881" s="7" t="s">
        <v>1659</v>
      </c>
      <c r="L881" s="7" t="s">
        <v>1326</v>
      </c>
      <c r="M881" s="7" t="s">
        <v>116</v>
      </c>
      <c r="N881" s="7" t="s">
        <v>1660</v>
      </c>
      <c r="O881" s="7" t="s">
        <v>1535</v>
      </c>
      <c r="P881" s="7" t="s">
        <v>1642</v>
      </c>
      <c r="Q881" s="7" t="s">
        <v>1135</v>
      </c>
      <c r="R881" s="7" t="s">
        <v>281</v>
      </c>
      <c r="S881" s="7" t="s">
        <v>472</v>
      </c>
      <c r="T881" s="7" t="s">
        <v>356</v>
      </c>
      <c r="U881" s="7" t="s">
        <v>194</v>
      </c>
      <c r="V881" s="7" t="s">
        <v>368</v>
      </c>
      <c r="W881" s="7" t="s">
        <v>1643</v>
      </c>
      <c r="X881" s="7" t="s">
        <v>1661</v>
      </c>
      <c r="Y881" s="7" t="s">
        <v>358</v>
      </c>
      <c r="Z881" s="7" t="s">
        <v>461</v>
      </c>
      <c r="AA881" s="7" t="s">
        <v>183</v>
      </c>
      <c r="AB881" s="18" t="n">
        <v>285</v>
      </c>
      <c r="AC881" s="7"/>
      <c r="AD881" s="7"/>
      <c r="AE881" s="7" t="s">
        <v>165</v>
      </c>
    </row>
    <row r="882" customFormat="false" ht="21.75" hidden="false" customHeight="true" outlineLevel="0" collapsed="false">
      <c r="B882" s="15" t="n">
        <v>878</v>
      </c>
      <c r="C882" s="9" t="s">
        <v>57</v>
      </c>
      <c r="D882" s="9" t="s">
        <v>27</v>
      </c>
      <c r="E882" s="9" t="s">
        <v>91</v>
      </c>
      <c r="F882" s="9" t="s">
        <v>64</v>
      </c>
      <c r="G882" s="9" t="s">
        <v>1666</v>
      </c>
      <c r="H882" s="9" t="s">
        <v>163</v>
      </c>
      <c r="I882" s="9" t="s">
        <v>164</v>
      </c>
      <c r="J882" s="9" t="s">
        <v>203</v>
      </c>
      <c r="K882" s="9" t="s">
        <v>1659</v>
      </c>
      <c r="L882" s="9" t="s">
        <v>1326</v>
      </c>
      <c r="M882" s="9" t="s">
        <v>116</v>
      </c>
      <c r="N882" s="9" t="s">
        <v>1660</v>
      </c>
      <c r="O882" s="9" t="s">
        <v>1535</v>
      </c>
      <c r="P882" s="9" t="s">
        <v>1642</v>
      </c>
      <c r="Q882" s="9" t="s">
        <v>1135</v>
      </c>
      <c r="R882" s="9" t="s">
        <v>281</v>
      </c>
      <c r="S882" s="9" t="s">
        <v>472</v>
      </c>
      <c r="T882" s="9" t="s">
        <v>356</v>
      </c>
      <c r="U882" s="9" t="s">
        <v>194</v>
      </c>
      <c r="V882" s="9" t="s">
        <v>368</v>
      </c>
      <c r="W882" s="9" t="s">
        <v>1643</v>
      </c>
      <c r="X882" s="9" t="s">
        <v>1661</v>
      </c>
      <c r="Y882" s="9" t="s">
        <v>358</v>
      </c>
      <c r="Z882" s="9" t="s">
        <v>461</v>
      </c>
      <c r="AA882" s="9" t="s">
        <v>183</v>
      </c>
      <c r="AB882" s="19" t="n">
        <v>420</v>
      </c>
      <c r="AC882" s="9"/>
      <c r="AD882" s="9"/>
      <c r="AE882" s="9" t="s">
        <v>167</v>
      </c>
    </row>
    <row r="883" customFormat="false" ht="21.75" hidden="false" customHeight="true" outlineLevel="0" collapsed="false">
      <c r="B883" s="14" t="n">
        <v>879</v>
      </c>
      <c r="C883" s="7" t="s">
        <v>57</v>
      </c>
      <c r="D883" s="7" t="s">
        <v>27</v>
      </c>
      <c r="E883" s="7" t="s">
        <v>91</v>
      </c>
      <c r="F883" s="7" t="s">
        <v>65</v>
      </c>
      <c r="G883" s="7" t="s">
        <v>321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18"/>
      <c r="AC883" s="7"/>
      <c r="AD883" s="7"/>
      <c r="AE883" s="7" t="s">
        <v>1667</v>
      </c>
    </row>
    <row r="884" customFormat="false" ht="21.75" hidden="false" customHeight="true" outlineLevel="0" collapsed="false">
      <c r="B884" s="15" t="n">
        <v>880</v>
      </c>
      <c r="C884" s="9" t="s">
        <v>57</v>
      </c>
      <c r="D884" s="9" t="s">
        <v>27</v>
      </c>
      <c r="E884" s="9" t="s">
        <v>91</v>
      </c>
      <c r="F884" s="9" t="s">
        <v>66</v>
      </c>
      <c r="G884" s="9" t="s">
        <v>321</v>
      </c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9"/>
      <c r="AC884" s="9"/>
      <c r="AD884" s="9"/>
      <c r="AE884" s="9" t="s">
        <v>1668</v>
      </c>
    </row>
    <row r="885" customFormat="false" ht="21.75" hidden="false" customHeight="true" outlineLevel="0" collapsed="false">
      <c r="B885" s="14" t="n">
        <v>881</v>
      </c>
      <c r="C885" s="7" t="s">
        <v>57</v>
      </c>
      <c r="D885" s="7" t="s">
        <v>27</v>
      </c>
      <c r="E885" s="7" t="s">
        <v>91</v>
      </c>
      <c r="F885" s="7" t="s">
        <v>67</v>
      </c>
      <c r="G885" s="7" t="s">
        <v>321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18"/>
      <c r="AC885" s="7"/>
      <c r="AD885" s="7"/>
      <c r="AE885" s="7" t="s">
        <v>1669</v>
      </c>
    </row>
    <row r="886" customFormat="false" ht="21.75" hidden="false" customHeight="true" outlineLevel="0" collapsed="false">
      <c r="B886" s="15" t="n">
        <v>882</v>
      </c>
      <c r="C886" s="9" t="s">
        <v>57</v>
      </c>
      <c r="D886" s="9" t="s">
        <v>27</v>
      </c>
      <c r="E886" s="9" t="s">
        <v>91</v>
      </c>
      <c r="F886" s="9" t="s">
        <v>68</v>
      </c>
      <c r="G886" s="9" t="s">
        <v>321</v>
      </c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9"/>
      <c r="AC886" s="9"/>
      <c r="AD886" s="9"/>
      <c r="AE886" s="9" t="s">
        <v>1670</v>
      </c>
    </row>
    <row r="887" customFormat="false" ht="21.75" hidden="false" customHeight="true" outlineLevel="0" collapsed="false">
      <c r="B887" s="14" t="n">
        <v>883</v>
      </c>
      <c r="C887" s="7" t="s">
        <v>57</v>
      </c>
      <c r="D887" s="7" t="s">
        <v>27</v>
      </c>
      <c r="E887" s="7" t="s">
        <v>91</v>
      </c>
      <c r="F887" s="7" t="s">
        <v>69</v>
      </c>
      <c r="G887" s="7" t="s">
        <v>321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18"/>
      <c r="AC887" s="7"/>
      <c r="AD887" s="7"/>
      <c r="AE887" s="7" t="s">
        <v>1671</v>
      </c>
    </row>
    <row r="888" customFormat="false" ht="21.75" hidden="false" customHeight="true" outlineLevel="0" collapsed="false">
      <c r="B888" s="15" t="n">
        <v>884</v>
      </c>
      <c r="C888" s="9" t="s">
        <v>57</v>
      </c>
      <c r="D888" s="9" t="s">
        <v>27</v>
      </c>
      <c r="E888" s="9" t="s">
        <v>91</v>
      </c>
      <c r="F888" s="9" t="s">
        <v>70</v>
      </c>
      <c r="G888" s="9" t="s">
        <v>321</v>
      </c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19"/>
      <c r="AC888" s="9"/>
      <c r="AD888" s="9"/>
      <c r="AE888" s="9" t="s">
        <v>1672</v>
      </c>
    </row>
    <row r="889" customFormat="false" ht="21.75" hidden="false" customHeight="true" outlineLevel="0" collapsed="false">
      <c r="B889" s="14" t="n">
        <v>885</v>
      </c>
      <c r="C889" s="7" t="s">
        <v>57</v>
      </c>
      <c r="D889" s="7" t="s">
        <v>27</v>
      </c>
      <c r="E889" s="7" t="s">
        <v>91</v>
      </c>
      <c r="F889" s="7" t="s">
        <v>71</v>
      </c>
      <c r="G889" s="7" t="s">
        <v>321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18"/>
      <c r="AC889" s="7"/>
      <c r="AD889" s="7"/>
      <c r="AE889" s="7" t="s">
        <v>1673</v>
      </c>
    </row>
    <row r="890" customFormat="false" ht="21.75" hidden="false" customHeight="true" outlineLevel="0" collapsed="false">
      <c r="B890" s="15" t="n">
        <v>886</v>
      </c>
      <c r="C890" s="9" t="s">
        <v>57</v>
      </c>
      <c r="D890" s="9" t="s">
        <v>27</v>
      </c>
      <c r="E890" s="9" t="s">
        <v>91</v>
      </c>
      <c r="F890" s="9" t="s">
        <v>72</v>
      </c>
      <c r="G890" s="9" t="s">
        <v>1674</v>
      </c>
      <c r="H890" s="9" t="s">
        <v>301</v>
      </c>
      <c r="I890" s="9" t="s">
        <v>302</v>
      </c>
      <c r="J890" s="9" t="s">
        <v>567</v>
      </c>
      <c r="K890" s="9" t="s">
        <v>1675</v>
      </c>
      <c r="L890" s="9" t="s">
        <v>528</v>
      </c>
      <c r="M890" s="9" t="s">
        <v>116</v>
      </c>
      <c r="N890" s="9" t="s">
        <v>1676</v>
      </c>
      <c r="O890" s="9" t="s">
        <v>1535</v>
      </c>
      <c r="P890" s="9" t="s">
        <v>1642</v>
      </c>
      <c r="Q890" s="9" t="s">
        <v>1135</v>
      </c>
      <c r="R890" s="9" t="s">
        <v>281</v>
      </c>
      <c r="S890" s="9" t="s">
        <v>472</v>
      </c>
      <c r="T890" s="9" t="s">
        <v>356</v>
      </c>
      <c r="U890" s="9" t="s">
        <v>148</v>
      </c>
      <c r="V890" s="9" t="s">
        <v>380</v>
      </c>
      <c r="W890" s="9" t="s">
        <v>1643</v>
      </c>
      <c r="X890" s="9" t="s">
        <v>1677</v>
      </c>
      <c r="Y890" s="9" t="s">
        <v>336</v>
      </c>
      <c r="Z890" s="9" t="s">
        <v>461</v>
      </c>
      <c r="AA890" s="9" t="s">
        <v>154</v>
      </c>
      <c r="AB890" s="19" t="n">
        <v>65</v>
      </c>
      <c r="AC890" s="9"/>
      <c r="AD890" s="9"/>
      <c r="AE890" s="9" t="s">
        <v>155</v>
      </c>
    </row>
    <row r="891" customFormat="false" ht="21.75" hidden="false" customHeight="true" outlineLevel="0" collapsed="false">
      <c r="B891" s="14" t="n">
        <v>887</v>
      </c>
      <c r="C891" s="7" t="s">
        <v>57</v>
      </c>
      <c r="D891" s="7" t="s">
        <v>27</v>
      </c>
      <c r="E891" s="7" t="s">
        <v>91</v>
      </c>
      <c r="F891" s="7" t="s">
        <v>72</v>
      </c>
      <c r="G891" s="7" t="s">
        <v>1678</v>
      </c>
      <c r="H891" s="7" t="s">
        <v>309</v>
      </c>
      <c r="I891" s="7" t="s">
        <v>310</v>
      </c>
      <c r="J891" s="7" t="s">
        <v>567</v>
      </c>
      <c r="K891" s="7" t="s">
        <v>1675</v>
      </c>
      <c r="L891" s="7" t="s">
        <v>528</v>
      </c>
      <c r="M891" s="7" t="s">
        <v>116</v>
      </c>
      <c r="N891" s="7" t="s">
        <v>1676</v>
      </c>
      <c r="O891" s="7" t="s">
        <v>1535</v>
      </c>
      <c r="P891" s="7" t="s">
        <v>1642</v>
      </c>
      <c r="Q891" s="7" t="s">
        <v>1135</v>
      </c>
      <c r="R891" s="7" t="s">
        <v>281</v>
      </c>
      <c r="S891" s="7" t="s">
        <v>472</v>
      </c>
      <c r="T891" s="7" t="s">
        <v>356</v>
      </c>
      <c r="U891" s="7" t="s">
        <v>148</v>
      </c>
      <c r="V891" s="7" t="s">
        <v>380</v>
      </c>
      <c r="W891" s="7" t="s">
        <v>1643</v>
      </c>
      <c r="X891" s="7" t="s">
        <v>1677</v>
      </c>
      <c r="Y891" s="7" t="s">
        <v>336</v>
      </c>
      <c r="Z891" s="7" t="s">
        <v>461</v>
      </c>
      <c r="AA891" s="7" t="s">
        <v>154</v>
      </c>
      <c r="AB891" s="18" t="n">
        <v>100</v>
      </c>
      <c r="AC891" s="7"/>
      <c r="AD891" s="7"/>
      <c r="AE891" s="7" t="s">
        <v>159</v>
      </c>
    </row>
    <row r="892" customFormat="false" ht="21.75" hidden="false" customHeight="true" outlineLevel="0" collapsed="false">
      <c r="B892" s="15" t="n">
        <v>888</v>
      </c>
      <c r="C892" s="9" t="s">
        <v>57</v>
      </c>
      <c r="D892" s="9" t="s">
        <v>27</v>
      </c>
      <c r="E892" s="9" t="s">
        <v>91</v>
      </c>
      <c r="F892" s="9" t="s">
        <v>72</v>
      </c>
      <c r="G892" s="9" t="s">
        <v>1679</v>
      </c>
      <c r="H892" s="9" t="s">
        <v>309</v>
      </c>
      <c r="I892" s="9" t="s">
        <v>310</v>
      </c>
      <c r="J892" s="9" t="s">
        <v>567</v>
      </c>
      <c r="K892" s="9" t="s">
        <v>1675</v>
      </c>
      <c r="L892" s="9" t="s">
        <v>528</v>
      </c>
      <c r="M892" s="9" t="s">
        <v>116</v>
      </c>
      <c r="N892" s="9" t="s">
        <v>1676</v>
      </c>
      <c r="O892" s="9" t="s">
        <v>1535</v>
      </c>
      <c r="P892" s="9" t="s">
        <v>1642</v>
      </c>
      <c r="Q892" s="9" t="s">
        <v>1135</v>
      </c>
      <c r="R892" s="9" t="s">
        <v>281</v>
      </c>
      <c r="S892" s="9" t="s">
        <v>472</v>
      </c>
      <c r="T892" s="9" t="s">
        <v>356</v>
      </c>
      <c r="U892" s="9" t="s">
        <v>148</v>
      </c>
      <c r="V892" s="9" t="s">
        <v>380</v>
      </c>
      <c r="W892" s="9" t="s">
        <v>1643</v>
      </c>
      <c r="X892" s="9" t="s">
        <v>1677</v>
      </c>
      <c r="Y892" s="9" t="s">
        <v>336</v>
      </c>
      <c r="Z892" s="9" t="s">
        <v>461</v>
      </c>
      <c r="AA892" s="9" t="s">
        <v>154</v>
      </c>
      <c r="AB892" s="19" t="n">
        <v>130</v>
      </c>
      <c r="AC892" s="9"/>
      <c r="AD892" s="9"/>
      <c r="AE892" s="9" t="s">
        <v>1680</v>
      </c>
    </row>
    <row r="893" customFormat="false" ht="21.75" hidden="false" customHeight="true" outlineLevel="0" collapsed="false">
      <c r="B893" s="14" t="n">
        <v>889</v>
      </c>
      <c r="C893" s="7" t="s">
        <v>57</v>
      </c>
      <c r="D893" s="7" t="s">
        <v>27</v>
      </c>
      <c r="E893" s="7" t="s">
        <v>91</v>
      </c>
      <c r="F893" s="7" t="s">
        <v>72</v>
      </c>
      <c r="G893" s="7" t="s">
        <v>1681</v>
      </c>
      <c r="H893" s="7" t="s">
        <v>309</v>
      </c>
      <c r="I893" s="7" t="s">
        <v>310</v>
      </c>
      <c r="J893" s="7" t="s">
        <v>567</v>
      </c>
      <c r="K893" s="7" t="s">
        <v>1675</v>
      </c>
      <c r="L893" s="7" t="s">
        <v>528</v>
      </c>
      <c r="M893" s="7" t="s">
        <v>116</v>
      </c>
      <c r="N893" s="7" t="s">
        <v>1676</v>
      </c>
      <c r="O893" s="7" t="s">
        <v>1535</v>
      </c>
      <c r="P893" s="7" t="s">
        <v>1642</v>
      </c>
      <c r="Q893" s="7" t="s">
        <v>1135</v>
      </c>
      <c r="R893" s="7" t="s">
        <v>281</v>
      </c>
      <c r="S893" s="7" t="s">
        <v>472</v>
      </c>
      <c r="T893" s="7" t="s">
        <v>356</v>
      </c>
      <c r="U893" s="7" t="s">
        <v>148</v>
      </c>
      <c r="V893" s="7" t="s">
        <v>380</v>
      </c>
      <c r="W893" s="7" t="s">
        <v>1643</v>
      </c>
      <c r="X893" s="7" t="s">
        <v>1677</v>
      </c>
      <c r="Y893" s="7" t="s">
        <v>336</v>
      </c>
      <c r="Z893" s="7" t="s">
        <v>461</v>
      </c>
      <c r="AA893" s="7" t="s">
        <v>154</v>
      </c>
      <c r="AB893" s="18" t="n">
        <v>195</v>
      </c>
      <c r="AC893" s="7"/>
      <c r="AD893" s="7"/>
      <c r="AE893" s="7" t="s">
        <v>165</v>
      </c>
    </row>
    <row r="894" customFormat="false" ht="21.75" hidden="false" customHeight="true" outlineLevel="0" collapsed="false">
      <c r="B894" s="15" t="n">
        <v>890</v>
      </c>
      <c r="C894" s="9" t="s">
        <v>57</v>
      </c>
      <c r="D894" s="9" t="s">
        <v>27</v>
      </c>
      <c r="E894" s="9" t="s">
        <v>91</v>
      </c>
      <c r="F894" s="9" t="s">
        <v>72</v>
      </c>
      <c r="G894" s="9" t="s">
        <v>1682</v>
      </c>
      <c r="H894" s="9" t="s">
        <v>315</v>
      </c>
      <c r="I894" s="9" t="s">
        <v>316</v>
      </c>
      <c r="J894" s="9" t="s">
        <v>567</v>
      </c>
      <c r="K894" s="9" t="s">
        <v>1675</v>
      </c>
      <c r="L894" s="9" t="s">
        <v>528</v>
      </c>
      <c r="M894" s="9" t="s">
        <v>116</v>
      </c>
      <c r="N894" s="9" t="s">
        <v>1676</v>
      </c>
      <c r="O894" s="9" t="s">
        <v>1535</v>
      </c>
      <c r="P894" s="9" t="s">
        <v>1642</v>
      </c>
      <c r="Q894" s="9" t="s">
        <v>1135</v>
      </c>
      <c r="R894" s="9" t="s">
        <v>281</v>
      </c>
      <c r="S894" s="9" t="s">
        <v>472</v>
      </c>
      <c r="T894" s="9" t="s">
        <v>356</v>
      </c>
      <c r="U894" s="9" t="s">
        <v>148</v>
      </c>
      <c r="V894" s="9" t="s">
        <v>380</v>
      </c>
      <c r="W894" s="9" t="s">
        <v>1643</v>
      </c>
      <c r="X894" s="9" t="s">
        <v>1677</v>
      </c>
      <c r="Y894" s="9" t="s">
        <v>336</v>
      </c>
      <c r="Z894" s="9" t="s">
        <v>461</v>
      </c>
      <c r="AA894" s="9" t="s">
        <v>154</v>
      </c>
      <c r="AB894" s="19" t="n">
        <v>285</v>
      </c>
      <c r="AC894" s="9"/>
      <c r="AD894" s="9"/>
      <c r="AE894" s="9" t="s">
        <v>167</v>
      </c>
    </row>
    <row r="895" customFormat="false" ht="21.75" hidden="false" customHeight="true" outlineLevel="0" collapsed="false">
      <c r="B895" s="14" t="n">
        <v>891</v>
      </c>
      <c r="C895" s="7" t="s">
        <v>57</v>
      </c>
      <c r="D895" s="7" t="s">
        <v>27</v>
      </c>
      <c r="E895" s="7" t="s">
        <v>91</v>
      </c>
      <c r="F895" s="7" t="s">
        <v>73</v>
      </c>
      <c r="G895" s="7" t="s">
        <v>1651</v>
      </c>
      <c r="H895" s="7" t="s">
        <v>136</v>
      </c>
      <c r="I895" s="7" t="s">
        <v>137</v>
      </c>
      <c r="J895" s="7" t="s">
        <v>203</v>
      </c>
      <c r="K895" s="7" t="s">
        <v>1683</v>
      </c>
      <c r="L895" s="7" t="s">
        <v>205</v>
      </c>
      <c r="M895" s="7" t="s">
        <v>116</v>
      </c>
      <c r="N895" s="7" t="s">
        <v>1177</v>
      </c>
      <c r="O895" s="7" t="s">
        <v>1535</v>
      </c>
      <c r="P895" s="7" t="s">
        <v>1642</v>
      </c>
      <c r="Q895" s="7" t="s">
        <v>1135</v>
      </c>
      <c r="R895" s="7" t="s">
        <v>281</v>
      </c>
      <c r="S895" s="7" t="s">
        <v>472</v>
      </c>
      <c r="T895" s="7" t="s">
        <v>356</v>
      </c>
      <c r="U895" s="7" t="s">
        <v>148</v>
      </c>
      <c r="V895" s="7" t="s">
        <v>380</v>
      </c>
      <c r="W895" s="7" t="s">
        <v>1643</v>
      </c>
      <c r="X895" s="7" t="s">
        <v>1684</v>
      </c>
      <c r="Y895" s="7" t="s">
        <v>475</v>
      </c>
      <c r="Z895" s="7" t="s">
        <v>461</v>
      </c>
      <c r="AA895" s="7" t="s">
        <v>183</v>
      </c>
      <c r="AB895" s="18" t="n">
        <v>50</v>
      </c>
      <c r="AC895" s="7"/>
      <c r="AD895" s="7"/>
      <c r="AE895" s="7" t="s">
        <v>155</v>
      </c>
    </row>
    <row r="896" customFormat="false" ht="21.75" hidden="false" customHeight="true" outlineLevel="0" collapsed="false">
      <c r="B896" s="15" t="n">
        <v>892</v>
      </c>
      <c r="C896" s="9" t="s">
        <v>57</v>
      </c>
      <c r="D896" s="9" t="s">
        <v>27</v>
      </c>
      <c r="E896" s="9" t="s">
        <v>91</v>
      </c>
      <c r="F896" s="9" t="s">
        <v>73</v>
      </c>
      <c r="G896" s="9" t="s">
        <v>1653</v>
      </c>
      <c r="H896" s="9" t="s">
        <v>157</v>
      </c>
      <c r="I896" s="9" t="s">
        <v>158</v>
      </c>
      <c r="J896" s="9" t="s">
        <v>203</v>
      </c>
      <c r="K896" s="9" t="s">
        <v>1683</v>
      </c>
      <c r="L896" s="9" t="s">
        <v>205</v>
      </c>
      <c r="M896" s="9" t="s">
        <v>116</v>
      </c>
      <c r="N896" s="9" t="s">
        <v>1177</v>
      </c>
      <c r="O896" s="9" t="s">
        <v>1535</v>
      </c>
      <c r="P896" s="9" t="s">
        <v>1642</v>
      </c>
      <c r="Q896" s="9" t="s">
        <v>1135</v>
      </c>
      <c r="R896" s="9" t="s">
        <v>281</v>
      </c>
      <c r="S896" s="9" t="s">
        <v>472</v>
      </c>
      <c r="T896" s="9" t="s">
        <v>356</v>
      </c>
      <c r="U896" s="9" t="s">
        <v>148</v>
      </c>
      <c r="V896" s="9" t="s">
        <v>380</v>
      </c>
      <c r="W896" s="9" t="s">
        <v>1643</v>
      </c>
      <c r="X896" s="9" t="s">
        <v>1684</v>
      </c>
      <c r="Y896" s="9" t="s">
        <v>475</v>
      </c>
      <c r="Z896" s="9" t="s">
        <v>461</v>
      </c>
      <c r="AA896" s="9" t="s">
        <v>183</v>
      </c>
      <c r="AB896" s="19" t="n">
        <v>70</v>
      </c>
      <c r="AC896" s="9"/>
      <c r="AD896" s="9"/>
      <c r="AE896" s="9" t="s">
        <v>159</v>
      </c>
    </row>
    <row r="897" customFormat="false" ht="21.75" hidden="false" customHeight="true" outlineLevel="0" collapsed="false">
      <c r="B897" s="14" t="n">
        <v>893</v>
      </c>
      <c r="C897" s="7" t="s">
        <v>57</v>
      </c>
      <c r="D897" s="7" t="s">
        <v>27</v>
      </c>
      <c r="E897" s="7" t="s">
        <v>91</v>
      </c>
      <c r="F897" s="7" t="s">
        <v>73</v>
      </c>
      <c r="G897" s="7" t="s">
        <v>1656</v>
      </c>
      <c r="H897" s="7" t="s">
        <v>157</v>
      </c>
      <c r="I897" s="7" t="s">
        <v>158</v>
      </c>
      <c r="J897" s="7" t="s">
        <v>203</v>
      </c>
      <c r="K897" s="7" t="s">
        <v>1683</v>
      </c>
      <c r="L897" s="7" t="s">
        <v>205</v>
      </c>
      <c r="M897" s="7" t="s">
        <v>116</v>
      </c>
      <c r="N897" s="7" t="s">
        <v>1177</v>
      </c>
      <c r="O897" s="7" t="s">
        <v>1535</v>
      </c>
      <c r="P897" s="7" t="s">
        <v>1642</v>
      </c>
      <c r="Q897" s="7" t="s">
        <v>1135</v>
      </c>
      <c r="R897" s="7" t="s">
        <v>281</v>
      </c>
      <c r="S897" s="7" t="s">
        <v>472</v>
      </c>
      <c r="T897" s="7" t="s">
        <v>356</v>
      </c>
      <c r="U897" s="7" t="s">
        <v>148</v>
      </c>
      <c r="V897" s="7" t="s">
        <v>380</v>
      </c>
      <c r="W897" s="7" t="s">
        <v>1643</v>
      </c>
      <c r="X897" s="7" t="s">
        <v>1684</v>
      </c>
      <c r="Y897" s="7" t="s">
        <v>475</v>
      </c>
      <c r="Z897" s="7" t="s">
        <v>461</v>
      </c>
      <c r="AA897" s="7" t="s">
        <v>183</v>
      </c>
      <c r="AB897" s="18" t="n">
        <v>95</v>
      </c>
      <c r="AC897" s="7"/>
      <c r="AD897" s="7"/>
      <c r="AE897" s="7" t="s">
        <v>1685</v>
      </c>
    </row>
    <row r="898" customFormat="false" ht="21.75" hidden="false" customHeight="true" outlineLevel="0" collapsed="false">
      <c r="B898" s="15" t="n">
        <v>894</v>
      </c>
      <c r="C898" s="9" t="s">
        <v>57</v>
      </c>
      <c r="D898" s="9" t="s">
        <v>27</v>
      </c>
      <c r="E898" s="9" t="s">
        <v>91</v>
      </c>
      <c r="F898" s="9" t="s">
        <v>73</v>
      </c>
      <c r="G898" s="9" t="s">
        <v>1657</v>
      </c>
      <c r="H898" s="9" t="s">
        <v>163</v>
      </c>
      <c r="I898" s="9" t="s">
        <v>164</v>
      </c>
      <c r="J898" s="9" t="s">
        <v>203</v>
      </c>
      <c r="K898" s="9" t="s">
        <v>1683</v>
      </c>
      <c r="L898" s="9" t="s">
        <v>205</v>
      </c>
      <c r="M898" s="9" t="s">
        <v>116</v>
      </c>
      <c r="N898" s="9" t="s">
        <v>1177</v>
      </c>
      <c r="O898" s="9" t="s">
        <v>1535</v>
      </c>
      <c r="P898" s="9" t="s">
        <v>1642</v>
      </c>
      <c r="Q898" s="9" t="s">
        <v>1135</v>
      </c>
      <c r="R898" s="9" t="s">
        <v>281</v>
      </c>
      <c r="S898" s="9" t="s">
        <v>472</v>
      </c>
      <c r="T898" s="9" t="s">
        <v>356</v>
      </c>
      <c r="U898" s="9" t="s">
        <v>148</v>
      </c>
      <c r="V898" s="9" t="s">
        <v>380</v>
      </c>
      <c r="W898" s="9" t="s">
        <v>1643</v>
      </c>
      <c r="X898" s="9" t="s">
        <v>1684</v>
      </c>
      <c r="Y898" s="9" t="s">
        <v>475</v>
      </c>
      <c r="Z898" s="9" t="s">
        <v>461</v>
      </c>
      <c r="AA898" s="9" t="s">
        <v>183</v>
      </c>
      <c r="AB898" s="19" t="n">
        <v>140</v>
      </c>
      <c r="AC898" s="9"/>
      <c r="AD898" s="9"/>
      <c r="AE898" s="9" t="s">
        <v>165</v>
      </c>
    </row>
    <row r="899" customFormat="false" ht="21.75" hidden="false" customHeight="true" outlineLevel="0" collapsed="false">
      <c r="B899" s="14" t="n">
        <v>895</v>
      </c>
      <c r="C899" s="7" t="s">
        <v>57</v>
      </c>
      <c r="D899" s="7" t="s">
        <v>27</v>
      </c>
      <c r="E899" s="7" t="s">
        <v>91</v>
      </c>
      <c r="F899" s="7" t="s">
        <v>73</v>
      </c>
      <c r="G899" s="7" t="s">
        <v>1663</v>
      </c>
      <c r="H899" s="7" t="s">
        <v>163</v>
      </c>
      <c r="I899" s="7" t="s">
        <v>164</v>
      </c>
      <c r="J899" s="7" t="s">
        <v>203</v>
      </c>
      <c r="K899" s="7" t="s">
        <v>1683</v>
      </c>
      <c r="L899" s="7" t="s">
        <v>205</v>
      </c>
      <c r="M899" s="7" t="s">
        <v>116</v>
      </c>
      <c r="N899" s="7" t="s">
        <v>1177</v>
      </c>
      <c r="O899" s="7" t="s">
        <v>1535</v>
      </c>
      <c r="P899" s="7" t="s">
        <v>1642</v>
      </c>
      <c r="Q899" s="7" t="s">
        <v>1135</v>
      </c>
      <c r="R899" s="7" t="s">
        <v>281</v>
      </c>
      <c r="S899" s="7" t="s">
        <v>472</v>
      </c>
      <c r="T899" s="7" t="s">
        <v>356</v>
      </c>
      <c r="U899" s="7" t="s">
        <v>148</v>
      </c>
      <c r="V899" s="7" t="s">
        <v>380</v>
      </c>
      <c r="W899" s="7" t="s">
        <v>1643</v>
      </c>
      <c r="X899" s="7" t="s">
        <v>1684</v>
      </c>
      <c r="Y899" s="7" t="s">
        <v>475</v>
      </c>
      <c r="Z899" s="7" t="s">
        <v>461</v>
      </c>
      <c r="AA899" s="7" t="s">
        <v>183</v>
      </c>
      <c r="AB899" s="18" t="n">
        <v>210</v>
      </c>
      <c r="AC899" s="7"/>
      <c r="AD899" s="7"/>
      <c r="AE899" s="7" t="s">
        <v>167</v>
      </c>
    </row>
    <row r="900" customFormat="false" ht="21.75" hidden="false" customHeight="true" outlineLevel="0" collapsed="false">
      <c r="B900" s="15" t="n">
        <v>896</v>
      </c>
      <c r="C900" s="9" t="s">
        <v>57</v>
      </c>
      <c r="D900" s="9" t="s">
        <v>27</v>
      </c>
      <c r="E900" s="9" t="s">
        <v>91</v>
      </c>
      <c r="F900" s="9" t="s">
        <v>74</v>
      </c>
      <c r="G900" s="9" t="s">
        <v>1686</v>
      </c>
      <c r="H900" s="9" t="s">
        <v>136</v>
      </c>
      <c r="I900" s="9" t="s">
        <v>137</v>
      </c>
      <c r="J900" s="9" t="s">
        <v>468</v>
      </c>
      <c r="K900" s="9" t="s">
        <v>1687</v>
      </c>
      <c r="L900" s="9" t="s">
        <v>1045</v>
      </c>
      <c r="M900" s="9" t="s">
        <v>281</v>
      </c>
      <c r="N900" s="9" t="s">
        <v>1688</v>
      </c>
      <c r="O900" s="9" t="s">
        <v>1535</v>
      </c>
      <c r="P900" s="9" t="s">
        <v>1642</v>
      </c>
      <c r="Q900" s="9" t="s">
        <v>1135</v>
      </c>
      <c r="R900" s="9" t="s">
        <v>281</v>
      </c>
      <c r="S900" s="9" t="s">
        <v>472</v>
      </c>
      <c r="T900" s="9" t="s">
        <v>223</v>
      </c>
      <c r="U900" s="9" t="s">
        <v>457</v>
      </c>
      <c r="V900" s="9" t="s">
        <v>1253</v>
      </c>
      <c r="W900" s="9" t="s">
        <v>1643</v>
      </c>
      <c r="X900" s="9" t="s">
        <v>1689</v>
      </c>
      <c r="Y900" s="9" t="s">
        <v>590</v>
      </c>
      <c r="Z900" s="9" t="s">
        <v>461</v>
      </c>
      <c r="AA900" s="9" t="s">
        <v>223</v>
      </c>
      <c r="AB900" s="19" t="n">
        <v>25</v>
      </c>
      <c r="AC900" s="9"/>
      <c r="AD900" s="9"/>
      <c r="AE900" s="9" t="s">
        <v>155</v>
      </c>
    </row>
    <row r="901" customFormat="false" ht="21.75" hidden="false" customHeight="true" outlineLevel="0" collapsed="false">
      <c r="B901" s="14" t="n">
        <v>897</v>
      </c>
      <c r="C901" s="7" t="s">
        <v>57</v>
      </c>
      <c r="D901" s="7" t="s">
        <v>27</v>
      </c>
      <c r="E901" s="7" t="s">
        <v>91</v>
      </c>
      <c r="F901" s="7" t="s">
        <v>74</v>
      </c>
      <c r="G901" s="7" t="s">
        <v>1690</v>
      </c>
      <c r="H901" s="7" t="s">
        <v>136</v>
      </c>
      <c r="I901" s="7" t="s">
        <v>137</v>
      </c>
      <c r="J901" s="7" t="s">
        <v>468</v>
      </c>
      <c r="K901" s="7" t="s">
        <v>1687</v>
      </c>
      <c r="L901" s="7" t="s">
        <v>1045</v>
      </c>
      <c r="M901" s="7" t="s">
        <v>281</v>
      </c>
      <c r="N901" s="7" t="s">
        <v>1688</v>
      </c>
      <c r="O901" s="7" t="s">
        <v>1535</v>
      </c>
      <c r="P901" s="7" t="s">
        <v>1642</v>
      </c>
      <c r="Q901" s="7" t="s">
        <v>1135</v>
      </c>
      <c r="R901" s="7" t="s">
        <v>281</v>
      </c>
      <c r="S901" s="7" t="s">
        <v>472</v>
      </c>
      <c r="T901" s="7" t="s">
        <v>223</v>
      </c>
      <c r="U901" s="7" t="s">
        <v>457</v>
      </c>
      <c r="V901" s="7" t="s">
        <v>1253</v>
      </c>
      <c r="W901" s="7" t="s">
        <v>1643</v>
      </c>
      <c r="X901" s="7" t="s">
        <v>1689</v>
      </c>
      <c r="Y901" s="7" t="s">
        <v>590</v>
      </c>
      <c r="Z901" s="7" t="s">
        <v>461</v>
      </c>
      <c r="AA901" s="7" t="s">
        <v>223</v>
      </c>
      <c r="AB901" s="18" t="n">
        <v>40</v>
      </c>
      <c r="AC901" s="7"/>
      <c r="AD901" s="7"/>
      <c r="AE901" s="7" t="s">
        <v>159</v>
      </c>
    </row>
    <row r="902" customFormat="false" ht="21.75" hidden="false" customHeight="true" outlineLevel="0" collapsed="false">
      <c r="B902" s="15" t="n">
        <v>898</v>
      </c>
      <c r="C902" s="9" t="s">
        <v>57</v>
      </c>
      <c r="D902" s="9" t="s">
        <v>27</v>
      </c>
      <c r="E902" s="9" t="s">
        <v>91</v>
      </c>
      <c r="F902" s="9" t="s">
        <v>74</v>
      </c>
      <c r="G902" s="9" t="s">
        <v>1691</v>
      </c>
      <c r="H902" s="9" t="s">
        <v>157</v>
      </c>
      <c r="I902" s="9" t="s">
        <v>158</v>
      </c>
      <c r="J902" s="9" t="s">
        <v>468</v>
      </c>
      <c r="K902" s="9" t="s">
        <v>1687</v>
      </c>
      <c r="L902" s="9" t="s">
        <v>1045</v>
      </c>
      <c r="M902" s="9" t="s">
        <v>281</v>
      </c>
      <c r="N902" s="9" t="s">
        <v>1688</v>
      </c>
      <c r="O902" s="9" t="s">
        <v>1535</v>
      </c>
      <c r="P902" s="9" t="s">
        <v>1642</v>
      </c>
      <c r="Q902" s="9" t="s">
        <v>1135</v>
      </c>
      <c r="R902" s="9" t="s">
        <v>281</v>
      </c>
      <c r="S902" s="9" t="s">
        <v>472</v>
      </c>
      <c r="T902" s="9" t="s">
        <v>223</v>
      </c>
      <c r="U902" s="9" t="s">
        <v>457</v>
      </c>
      <c r="V902" s="9" t="s">
        <v>1253</v>
      </c>
      <c r="W902" s="9" t="s">
        <v>1643</v>
      </c>
      <c r="X902" s="9" t="s">
        <v>1689</v>
      </c>
      <c r="Y902" s="9" t="s">
        <v>590</v>
      </c>
      <c r="Z902" s="9" t="s">
        <v>461</v>
      </c>
      <c r="AA902" s="9" t="s">
        <v>223</v>
      </c>
      <c r="AB902" s="19" t="n">
        <v>50</v>
      </c>
      <c r="AC902" s="9"/>
      <c r="AD902" s="9"/>
      <c r="AE902" s="9" t="s">
        <v>1692</v>
      </c>
    </row>
    <row r="903" customFormat="false" ht="21.75" hidden="false" customHeight="true" outlineLevel="0" collapsed="false">
      <c r="B903" s="14" t="n">
        <v>899</v>
      </c>
      <c r="C903" s="7" t="s">
        <v>57</v>
      </c>
      <c r="D903" s="7" t="s">
        <v>27</v>
      </c>
      <c r="E903" s="7" t="s">
        <v>91</v>
      </c>
      <c r="F903" s="7" t="s">
        <v>74</v>
      </c>
      <c r="G903" s="7" t="s">
        <v>1693</v>
      </c>
      <c r="H903" s="7" t="s">
        <v>157</v>
      </c>
      <c r="I903" s="7" t="s">
        <v>158</v>
      </c>
      <c r="J903" s="7" t="s">
        <v>468</v>
      </c>
      <c r="K903" s="7" t="s">
        <v>1687</v>
      </c>
      <c r="L903" s="7" t="s">
        <v>1045</v>
      </c>
      <c r="M903" s="7" t="s">
        <v>281</v>
      </c>
      <c r="N903" s="7" t="s">
        <v>1688</v>
      </c>
      <c r="O903" s="7" t="s">
        <v>1535</v>
      </c>
      <c r="P903" s="7" t="s">
        <v>1642</v>
      </c>
      <c r="Q903" s="7" t="s">
        <v>1135</v>
      </c>
      <c r="R903" s="7" t="s">
        <v>281</v>
      </c>
      <c r="S903" s="7" t="s">
        <v>472</v>
      </c>
      <c r="T903" s="7" t="s">
        <v>223</v>
      </c>
      <c r="U903" s="7" t="s">
        <v>457</v>
      </c>
      <c r="V903" s="7" t="s">
        <v>1253</v>
      </c>
      <c r="W903" s="7" t="s">
        <v>1643</v>
      </c>
      <c r="X903" s="7" t="s">
        <v>1689</v>
      </c>
      <c r="Y903" s="7" t="s">
        <v>590</v>
      </c>
      <c r="Z903" s="7" t="s">
        <v>461</v>
      </c>
      <c r="AA903" s="7" t="s">
        <v>223</v>
      </c>
      <c r="AB903" s="18" t="n">
        <v>75</v>
      </c>
      <c r="AC903" s="7"/>
      <c r="AD903" s="7"/>
      <c r="AE903" s="7" t="s">
        <v>165</v>
      </c>
    </row>
    <row r="904" customFormat="false" ht="21.75" hidden="false" customHeight="true" outlineLevel="0" collapsed="false">
      <c r="B904" s="15" t="n">
        <v>900</v>
      </c>
      <c r="C904" s="9" t="s">
        <v>57</v>
      </c>
      <c r="D904" s="9" t="s">
        <v>27</v>
      </c>
      <c r="E904" s="9" t="s">
        <v>91</v>
      </c>
      <c r="F904" s="9" t="s">
        <v>74</v>
      </c>
      <c r="G904" s="9" t="s">
        <v>1694</v>
      </c>
      <c r="H904" s="9" t="s">
        <v>163</v>
      </c>
      <c r="I904" s="9" t="s">
        <v>164</v>
      </c>
      <c r="J904" s="9" t="s">
        <v>468</v>
      </c>
      <c r="K904" s="9" t="s">
        <v>1687</v>
      </c>
      <c r="L904" s="9" t="s">
        <v>1045</v>
      </c>
      <c r="M904" s="9" t="s">
        <v>281</v>
      </c>
      <c r="N904" s="9" t="s">
        <v>1688</v>
      </c>
      <c r="O904" s="9" t="s">
        <v>1535</v>
      </c>
      <c r="P904" s="9" t="s">
        <v>1642</v>
      </c>
      <c r="Q904" s="9" t="s">
        <v>1135</v>
      </c>
      <c r="R904" s="9" t="s">
        <v>281</v>
      </c>
      <c r="S904" s="9" t="s">
        <v>472</v>
      </c>
      <c r="T904" s="9" t="s">
        <v>223</v>
      </c>
      <c r="U904" s="9" t="s">
        <v>457</v>
      </c>
      <c r="V904" s="9" t="s">
        <v>1253</v>
      </c>
      <c r="W904" s="9" t="s">
        <v>1643</v>
      </c>
      <c r="X904" s="9" t="s">
        <v>1689</v>
      </c>
      <c r="Y904" s="9" t="s">
        <v>590</v>
      </c>
      <c r="Z904" s="9" t="s">
        <v>461</v>
      </c>
      <c r="AA904" s="9" t="s">
        <v>223</v>
      </c>
      <c r="AB904" s="19" t="n">
        <v>110</v>
      </c>
      <c r="AC904" s="9"/>
      <c r="AD904" s="9"/>
      <c r="AE904" s="9" t="s">
        <v>167</v>
      </c>
    </row>
    <row r="905" customFormat="false" ht="21.75" hidden="false" customHeight="true" outlineLevel="0" collapsed="false">
      <c r="B905" s="14" t="n">
        <v>901</v>
      </c>
      <c r="C905" s="7" t="s">
        <v>58</v>
      </c>
      <c r="D905" s="7" t="s">
        <v>27</v>
      </c>
      <c r="E905" s="7" t="s">
        <v>91</v>
      </c>
      <c r="F905" s="7" t="s">
        <v>61</v>
      </c>
      <c r="G905" s="7" t="s">
        <v>1695</v>
      </c>
      <c r="H905" s="7" t="s">
        <v>136</v>
      </c>
      <c r="I905" s="7" t="s">
        <v>137</v>
      </c>
      <c r="J905" s="7" t="s">
        <v>1011</v>
      </c>
      <c r="K905" s="7" t="s">
        <v>1593</v>
      </c>
      <c r="L905" s="7" t="s">
        <v>205</v>
      </c>
      <c r="M905" s="7" t="s">
        <v>116</v>
      </c>
      <c r="N905" s="7" t="s">
        <v>1641</v>
      </c>
      <c r="O905" s="7" t="s">
        <v>1502</v>
      </c>
      <c r="P905" s="7" t="s">
        <v>144</v>
      </c>
      <c r="Q905" s="7" t="s">
        <v>455</v>
      </c>
      <c r="R905" s="7" t="s">
        <v>281</v>
      </c>
      <c r="S905" s="7" t="s">
        <v>331</v>
      </c>
      <c r="T905" s="7" t="s">
        <v>147</v>
      </c>
      <c r="U905" s="7" t="s">
        <v>148</v>
      </c>
      <c r="V905" s="7" t="s">
        <v>333</v>
      </c>
      <c r="W905" s="7" t="s">
        <v>921</v>
      </c>
      <c r="X905" s="7" t="s">
        <v>474</v>
      </c>
      <c r="Y905" s="7" t="s">
        <v>850</v>
      </c>
      <c r="Z905" s="7" t="s">
        <v>461</v>
      </c>
      <c r="AA905" s="7" t="s">
        <v>154</v>
      </c>
      <c r="AB905" s="18" t="n">
        <v>30</v>
      </c>
      <c r="AC905" s="7"/>
      <c r="AD905" s="7"/>
      <c r="AE905" s="7" t="s">
        <v>155</v>
      </c>
    </row>
    <row r="906" customFormat="false" ht="21.75" hidden="false" customHeight="true" outlineLevel="0" collapsed="false">
      <c r="B906" s="15" t="n">
        <v>902</v>
      </c>
      <c r="C906" s="9" t="s">
        <v>58</v>
      </c>
      <c r="D906" s="9" t="s">
        <v>27</v>
      </c>
      <c r="E906" s="9" t="s">
        <v>91</v>
      </c>
      <c r="F906" s="9" t="s">
        <v>61</v>
      </c>
      <c r="G906" s="9" t="s">
        <v>1696</v>
      </c>
      <c r="H906" s="9" t="s">
        <v>157</v>
      </c>
      <c r="I906" s="9" t="s">
        <v>158</v>
      </c>
      <c r="J906" s="9" t="s">
        <v>1011</v>
      </c>
      <c r="K906" s="9" t="s">
        <v>1593</v>
      </c>
      <c r="L906" s="9" t="s">
        <v>205</v>
      </c>
      <c r="M906" s="9" t="s">
        <v>116</v>
      </c>
      <c r="N906" s="9" t="s">
        <v>1641</v>
      </c>
      <c r="O906" s="9" t="s">
        <v>1502</v>
      </c>
      <c r="P906" s="9" t="s">
        <v>144</v>
      </c>
      <c r="Q906" s="9" t="s">
        <v>455</v>
      </c>
      <c r="R906" s="9" t="s">
        <v>281</v>
      </c>
      <c r="S906" s="9" t="s">
        <v>331</v>
      </c>
      <c r="T906" s="9" t="s">
        <v>147</v>
      </c>
      <c r="U906" s="9" t="s">
        <v>148</v>
      </c>
      <c r="V906" s="9" t="s">
        <v>333</v>
      </c>
      <c r="W906" s="9" t="s">
        <v>921</v>
      </c>
      <c r="X906" s="9" t="s">
        <v>474</v>
      </c>
      <c r="Y906" s="9" t="s">
        <v>850</v>
      </c>
      <c r="Z906" s="9" t="s">
        <v>461</v>
      </c>
      <c r="AA906" s="9" t="s">
        <v>154</v>
      </c>
      <c r="AB906" s="19" t="n">
        <v>45</v>
      </c>
      <c r="AC906" s="9"/>
      <c r="AD906" s="9"/>
      <c r="AE906" s="9" t="s">
        <v>159</v>
      </c>
    </row>
    <row r="907" customFormat="false" ht="21.75" hidden="false" customHeight="true" outlineLevel="0" collapsed="false">
      <c r="B907" s="14" t="n">
        <v>903</v>
      </c>
      <c r="C907" s="7" t="s">
        <v>58</v>
      </c>
      <c r="D907" s="7" t="s">
        <v>27</v>
      </c>
      <c r="E907" s="7" t="s">
        <v>91</v>
      </c>
      <c r="F907" s="7" t="s">
        <v>61</v>
      </c>
      <c r="G907" s="7" t="s">
        <v>1697</v>
      </c>
      <c r="H907" s="7" t="s">
        <v>157</v>
      </c>
      <c r="I907" s="7" t="s">
        <v>158</v>
      </c>
      <c r="J907" s="7" t="s">
        <v>1011</v>
      </c>
      <c r="K907" s="7" t="s">
        <v>1593</v>
      </c>
      <c r="L907" s="7" t="s">
        <v>205</v>
      </c>
      <c r="M907" s="7" t="s">
        <v>116</v>
      </c>
      <c r="N907" s="7" t="s">
        <v>1641</v>
      </c>
      <c r="O907" s="7" t="s">
        <v>1502</v>
      </c>
      <c r="P907" s="7" t="s">
        <v>144</v>
      </c>
      <c r="Q907" s="7" t="s">
        <v>455</v>
      </c>
      <c r="R907" s="7" t="s">
        <v>281</v>
      </c>
      <c r="S907" s="7" t="s">
        <v>331</v>
      </c>
      <c r="T907" s="7" t="s">
        <v>147</v>
      </c>
      <c r="U907" s="7" t="s">
        <v>148</v>
      </c>
      <c r="V907" s="7" t="s">
        <v>333</v>
      </c>
      <c r="W907" s="7" t="s">
        <v>921</v>
      </c>
      <c r="X907" s="7" t="s">
        <v>474</v>
      </c>
      <c r="Y907" s="7" t="s">
        <v>850</v>
      </c>
      <c r="Z907" s="7" t="s">
        <v>461</v>
      </c>
      <c r="AA907" s="7" t="s">
        <v>154</v>
      </c>
      <c r="AB907" s="18" t="n">
        <v>60</v>
      </c>
      <c r="AC907" s="7"/>
      <c r="AD907" s="7"/>
      <c r="AE907" s="7" t="s">
        <v>1698</v>
      </c>
    </row>
    <row r="908" customFormat="false" ht="21.75" hidden="false" customHeight="true" outlineLevel="0" collapsed="false">
      <c r="B908" s="15" t="n">
        <v>904</v>
      </c>
      <c r="C908" s="9" t="s">
        <v>58</v>
      </c>
      <c r="D908" s="9" t="s">
        <v>27</v>
      </c>
      <c r="E908" s="9" t="s">
        <v>91</v>
      </c>
      <c r="F908" s="9" t="s">
        <v>61</v>
      </c>
      <c r="G908" s="9" t="s">
        <v>1699</v>
      </c>
      <c r="H908" s="9" t="s">
        <v>163</v>
      </c>
      <c r="I908" s="9" t="s">
        <v>164</v>
      </c>
      <c r="J908" s="9" t="s">
        <v>1011</v>
      </c>
      <c r="K908" s="9" t="s">
        <v>1593</v>
      </c>
      <c r="L908" s="9" t="s">
        <v>205</v>
      </c>
      <c r="M908" s="9" t="s">
        <v>116</v>
      </c>
      <c r="N908" s="9" t="s">
        <v>1641</v>
      </c>
      <c r="O908" s="9" t="s">
        <v>1502</v>
      </c>
      <c r="P908" s="9" t="s">
        <v>144</v>
      </c>
      <c r="Q908" s="9" t="s">
        <v>455</v>
      </c>
      <c r="R908" s="9" t="s">
        <v>281</v>
      </c>
      <c r="S908" s="9" t="s">
        <v>331</v>
      </c>
      <c r="T908" s="9" t="s">
        <v>147</v>
      </c>
      <c r="U908" s="9" t="s">
        <v>148</v>
      </c>
      <c r="V908" s="9" t="s">
        <v>333</v>
      </c>
      <c r="W908" s="9" t="s">
        <v>921</v>
      </c>
      <c r="X908" s="9" t="s">
        <v>474</v>
      </c>
      <c r="Y908" s="9" t="s">
        <v>850</v>
      </c>
      <c r="Z908" s="9" t="s">
        <v>461</v>
      </c>
      <c r="AA908" s="9" t="s">
        <v>154</v>
      </c>
      <c r="AB908" s="19" t="n">
        <v>90</v>
      </c>
      <c r="AC908" s="9"/>
      <c r="AD908" s="9"/>
      <c r="AE908" s="9" t="s">
        <v>165</v>
      </c>
    </row>
    <row r="909" customFormat="false" ht="21.75" hidden="false" customHeight="true" outlineLevel="0" collapsed="false">
      <c r="B909" s="14" t="n">
        <v>905</v>
      </c>
      <c r="C909" s="7" t="s">
        <v>58</v>
      </c>
      <c r="D909" s="7" t="s">
        <v>27</v>
      </c>
      <c r="E909" s="7" t="s">
        <v>91</v>
      </c>
      <c r="F909" s="7" t="s">
        <v>61</v>
      </c>
      <c r="G909" s="7" t="s">
        <v>1700</v>
      </c>
      <c r="H909" s="7" t="s">
        <v>163</v>
      </c>
      <c r="I909" s="7" t="s">
        <v>164</v>
      </c>
      <c r="J909" s="7" t="s">
        <v>1011</v>
      </c>
      <c r="K909" s="7" t="s">
        <v>1593</v>
      </c>
      <c r="L909" s="7" t="s">
        <v>205</v>
      </c>
      <c r="M909" s="7" t="s">
        <v>116</v>
      </c>
      <c r="N909" s="7" t="s">
        <v>1641</v>
      </c>
      <c r="O909" s="7" t="s">
        <v>1502</v>
      </c>
      <c r="P909" s="7" t="s">
        <v>144</v>
      </c>
      <c r="Q909" s="7" t="s">
        <v>455</v>
      </c>
      <c r="R909" s="7" t="s">
        <v>281</v>
      </c>
      <c r="S909" s="7" t="s">
        <v>331</v>
      </c>
      <c r="T909" s="7" t="s">
        <v>147</v>
      </c>
      <c r="U909" s="7" t="s">
        <v>148</v>
      </c>
      <c r="V909" s="7" t="s">
        <v>333</v>
      </c>
      <c r="W909" s="7" t="s">
        <v>921</v>
      </c>
      <c r="X909" s="7" t="s">
        <v>474</v>
      </c>
      <c r="Y909" s="7" t="s">
        <v>850</v>
      </c>
      <c r="Z909" s="7" t="s">
        <v>461</v>
      </c>
      <c r="AA909" s="7" t="s">
        <v>154</v>
      </c>
      <c r="AB909" s="18" t="n">
        <v>130</v>
      </c>
      <c r="AC909" s="7"/>
      <c r="AD909" s="7"/>
      <c r="AE909" s="7" t="s">
        <v>167</v>
      </c>
    </row>
    <row r="910" customFormat="false" ht="21.75" hidden="false" customHeight="true" outlineLevel="0" collapsed="false">
      <c r="B910" s="15" t="n">
        <v>906</v>
      </c>
      <c r="C910" s="9" t="s">
        <v>58</v>
      </c>
      <c r="D910" s="9" t="s">
        <v>27</v>
      </c>
      <c r="E910" s="9" t="s">
        <v>91</v>
      </c>
      <c r="F910" s="9" t="s">
        <v>62</v>
      </c>
      <c r="G910" s="9" t="s">
        <v>1701</v>
      </c>
      <c r="H910" s="9" t="s">
        <v>136</v>
      </c>
      <c r="I910" s="9" t="s">
        <v>137</v>
      </c>
      <c r="J910" s="9" t="s">
        <v>1011</v>
      </c>
      <c r="K910" s="9" t="s">
        <v>1683</v>
      </c>
      <c r="L910" s="9" t="s">
        <v>1702</v>
      </c>
      <c r="M910" s="9" t="s">
        <v>116</v>
      </c>
      <c r="N910" s="9" t="s">
        <v>1641</v>
      </c>
      <c r="O910" s="9" t="s">
        <v>1502</v>
      </c>
      <c r="P910" s="9" t="s">
        <v>144</v>
      </c>
      <c r="Q910" s="9" t="s">
        <v>455</v>
      </c>
      <c r="R910" s="9" t="s">
        <v>281</v>
      </c>
      <c r="S910" s="9" t="s">
        <v>331</v>
      </c>
      <c r="T910" s="9" t="s">
        <v>147</v>
      </c>
      <c r="U910" s="9" t="s">
        <v>148</v>
      </c>
      <c r="V910" s="9" t="s">
        <v>344</v>
      </c>
      <c r="W910" s="9" t="s">
        <v>921</v>
      </c>
      <c r="X910" s="9" t="s">
        <v>1703</v>
      </c>
      <c r="Y910" s="9" t="s">
        <v>1446</v>
      </c>
      <c r="Z910" s="9" t="s">
        <v>461</v>
      </c>
      <c r="AA910" s="9" t="s">
        <v>154</v>
      </c>
      <c r="AB910" s="19" t="n">
        <v>40</v>
      </c>
      <c r="AC910" s="9"/>
      <c r="AD910" s="9"/>
      <c r="AE910" s="9" t="s">
        <v>155</v>
      </c>
    </row>
    <row r="911" customFormat="false" ht="21.75" hidden="false" customHeight="true" outlineLevel="0" collapsed="false">
      <c r="B911" s="14" t="n">
        <v>907</v>
      </c>
      <c r="C911" s="7" t="s">
        <v>58</v>
      </c>
      <c r="D911" s="7" t="s">
        <v>27</v>
      </c>
      <c r="E911" s="7" t="s">
        <v>91</v>
      </c>
      <c r="F911" s="7" t="s">
        <v>62</v>
      </c>
      <c r="G911" s="7" t="s">
        <v>1704</v>
      </c>
      <c r="H911" s="7" t="s">
        <v>157</v>
      </c>
      <c r="I911" s="7" t="s">
        <v>158</v>
      </c>
      <c r="J911" s="7" t="s">
        <v>1011</v>
      </c>
      <c r="K911" s="7" t="s">
        <v>1683</v>
      </c>
      <c r="L911" s="7" t="s">
        <v>1702</v>
      </c>
      <c r="M911" s="7" t="s">
        <v>116</v>
      </c>
      <c r="N911" s="7" t="s">
        <v>1641</v>
      </c>
      <c r="O911" s="7" t="s">
        <v>1502</v>
      </c>
      <c r="P911" s="7" t="s">
        <v>144</v>
      </c>
      <c r="Q911" s="7" t="s">
        <v>455</v>
      </c>
      <c r="R911" s="7" t="s">
        <v>281</v>
      </c>
      <c r="S911" s="7" t="s">
        <v>331</v>
      </c>
      <c r="T911" s="7" t="s">
        <v>147</v>
      </c>
      <c r="U911" s="7" t="s">
        <v>148</v>
      </c>
      <c r="V911" s="7" t="s">
        <v>344</v>
      </c>
      <c r="W911" s="7" t="s">
        <v>921</v>
      </c>
      <c r="X911" s="7" t="s">
        <v>1703</v>
      </c>
      <c r="Y911" s="7" t="s">
        <v>1446</v>
      </c>
      <c r="Z911" s="7" t="s">
        <v>461</v>
      </c>
      <c r="AA911" s="7" t="s">
        <v>154</v>
      </c>
      <c r="AB911" s="18" t="n">
        <v>65</v>
      </c>
      <c r="AC911" s="7"/>
      <c r="AD911" s="7"/>
      <c r="AE911" s="7" t="s">
        <v>159</v>
      </c>
    </row>
    <row r="912" customFormat="false" ht="21.75" hidden="false" customHeight="true" outlineLevel="0" collapsed="false">
      <c r="B912" s="15" t="n">
        <v>908</v>
      </c>
      <c r="C912" s="9" t="s">
        <v>58</v>
      </c>
      <c r="D912" s="9" t="s">
        <v>27</v>
      </c>
      <c r="E912" s="9" t="s">
        <v>91</v>
      </c>
      <c r="F912" s="9" t="s">
        <v>62</v>
      </c>
      <c r="G912" s="9" t="s">
        <v>1705</v>
      </c>
      <c r="H912" s="9" t="s">
        <v>157</v>
      </c>
      <c r="I912" s="9" t="s">
        <v>158</v>
      </c>
      <c r="J912" s="9" t="s">
        <v>1011</v>
      </c>
      <c r="K912" s="9" t="s">
        <v>1683</v>
      </c>
      <c r="L912" s="9" t="s">
        <v>1702</v>
      </c>
      <c r="M912" s="9" t="s">
        <v>116</v>
      </c>
      <c r="N912" s="9" t="s">
        <v>1641</v>
      </c>
      <c r="O912" s="9" t="s">
        <v>1502</v>
      </c>
      <c r="P912" s="9" t="s">
        <v>144</v>
      </c>
      <c r="Q912" s="9" t="s">
        <v>455</v>
      </c>
      <c r="R912" s="9" t="s">
        <v>281</v>
      </c>
      <c r="S912" s="9" t="s">
        <v>331</v>
      </c>
      <c r="T912" s="9" t="s">
        <v>147</v>
      </c>
      <c r="U912" s="9" t="s">
        <v>148</v>
      </c>
      <c r="V912" s="9" t="s">
        <v>344</v>
      </c>
      <c r="W912" s="9" t="s">
        <v>921</v>
      </c>
      <c r="X912" s="9" t="s">
        <v>1703</v>
      </c>
      <c r="Y912" s="9" t="s">
        <v>1446</v>
      </c>
      <c r="Z912" s="9" t="s">
        <v>461</v>
      </c>
      <c r="AA912" s="9" t="s">
        <v>154</v>
      </c>
      <c r="AB912" s="19" t="n">
        <v>85</v>
      </c>
      <c r="AC912" s="9"/>
      <c r="AD912" s="9"/>
      <c r="AE912" s="9" t="s">
        <v>1706</v>
      </c>
    </row>
    <row r="913" customFormat="false" ht="21.75" hidden="false" customHeight="true" outlineLevel="0" collapsed="false">
      <c r="B913" s="14" t="n">
        <v>909</v>
      </c>
      <c r="C913" s="7" t="s">
        <v>58</v>
      </c>
      <c r="D913" s="7" t="s">
        <v>27</v>
      </c>
      <c r="E913" s="7" t="s">
        <v>91</v>
      </c>
      <c r="F913" s="7" t="s">
        <v>62</v>
      </c>
      <c r="G913" s="7" t="s">
        <v>1700</v>
      </c>
      <c r="H913" s="7" t="s">
        <v>163</v>
      </c>
      <c r="I913" s="7" t="s">
        <v>164</v>
      </c>
      <c r="J913" s="7" t="s">
        <v>1011</v>
      </c>
      <c r="K913" s="7" t="s">
        <v>1683</v>
      </c>
      <c r="L913" s="7" t="s">
        <v>1702</v>
      </c>
      <c r="M913" s="7" t="s">
        <v>116</v>
      </c>
      <c r="N913" s="7" t="s">
        <v>1641</v>
      </c>
      <c r="O913" s="7" t="s">
        <v>1502</v>
      </c>
      <c r="P913" s="7" t="s">
        <v>144</v>
      </c>
      <c r="Q913" s="7" t="s">
        <v>455</v>
      </c>
      <c r="R913" s="7" t="s">
        <v>281</v>
      </c>
      <c r="S913" s="7" t="s">
        <v>331</v>
      </c>
      <c r="T913" s="7" t="s">
        <v>147</v>
      </c>
      <c r="U913" s="7" t="s">
        <v>148</v>
      </c>
      <c r="V913" s="7" t="s">
        <v>344</v>
      </c>
      <c r="W913" s="7" t="s">
        <v>921</v>
      </c>
      <c r="X913" s="7" t="s">
        <v>1703</v>
      </c>
      <c r="Y913" s="7" t="s">
        <v>1446</v>
      </c>
      <c r="Z913" s="7" t="s">
        <v>461</v>
      </c>
      <c r="AA913" s="7" t="s">
        <v>154</v>
      </c>
      <c r="AB913" s="18" t="n">
        <v>130</v>
      </c>
      <c r="AC913" s="7"/>
      <c r="AD913" s="7"/>
      <c r="AE913" s="7" t="s">
        <v>165</v>
      </c>
    </row>
    <row r="914" customFormat="false" ht="21.75" hidden="false" customHeight="true" outlineLevel="0" collapsed="false">
      <c r="B914" s="15" t="n">
        <v>910</v>
      </c>
      <c r="C914" s="9" t="s">
        <v>58</v>
      </c>
      <c r="D914" s="9" t="s">
        <v>27</v>
      </c>
      <c r="E914" s="9" t="s">
        <v>91</v>
      </c>
      <c r="F914" s="9" t="s">
        <v>62</v>
      </c>
      <c r="G914" s="9" t="s">
        <v>1707</v>
      </c>
      <c r="H914" s="9" t="s">
        <v>163</v>
      </c>
      <c r="I914" s="9" t="s">
        <v>164</v>
      </c>
      <c r="J914" s="9" t="s">
        <v>1011</v>
      </c>
      <c r="K914" s="9" t="s">
        <v>1683</v>
      </c>
      <c r="L914" s="9" t="s">
        <v>1702</v>
      </c>
      <c r="M914" s="9" t="s">
        <v>116</v>
      </c>
      <c r="N914" s="9" t="s">
        <v>1641</v>
      </c>
      <c r="O914" s="9" t="s">
        <v>1502</v>
      </c>
      <c r="P914" s="9" t="s">
        <v>144</v>
      </c>
      <c r="Q914" s="9" t="s">
        <v>455</v>
      </c>
      <c r="R914" s="9" t="s">
        <v>281</v>
      </c>
      <c r="S914" s="9" t="s">
        <v>331</v>
      </c>
      <c r="T914" s="9" t="s">
        <v>147</v>
      </c>
      <c r="U914" s="9" t="s">
        <v>148</v>
      </c>
      <c r="V914" s="9" t="s">
        <v>344</v>
      </c>
      <c r="W914" s="9" t="s">
        <v>921</v>
      </c>
      <c r="X914" s="9" t="s">
        <v>1703</v>
      </c>
      <c r="Y914" s="9" t="s">
        <v>1446</v>
      </c>
      <c r="Z914" s="9" t="s">
        <v>461</v>
      </c>
      <c r="AA914" s="9" t="s">
        <v>154</v>
      </c>
      <c r="AB914" s="19" t="n">
        <v>185</v>
      </c>
      <c r="AC914" s="9"/>
      <c r="AD914" s="9"/>
      <c r="AE914" s="9" t="s">
        <v>167</v>
      </c>
    </row>
    <row r="915" customFormat="false" ht="21.75" hidden="false" customHeight="true" outlineLevel="0" collapsed="false">
      <c r="B915" s="14" t="n">
        <v>911</v>
      </c>
      <c r="C915" s="7" t="s">
        <v>58</v>
      </c>
      <c r="D915" s="7" t="s">
        <v>27</v>
      </c>
      <c r="E915" s="7" t="s">
        <v>91</v>
      </c>
      <c r="F915" s="7" t="s">
        <v>63</v>
      </c>
      <c r="G915" s="7" t="s">
        <v>1708</v>
      </c>
      <c r="H915" s="7" t="s">
        <v>136</v>
      </c>
      <c r="I915" s="7" t="s">
        <v>137</v>
      </c>
      <c r="J915" s="7" t="s">
        <v>1011</v>
      </c>
      <c r="K915" s="7" t="s">
        <v>488</v>
      </c>
      <c r="L915" s="7" t="s">
        <v>205</v>
      </c>
      <c r="M915" s="7" t="s">
        <v>116</v>
      </c>
      <c r="N915" s="7" t="s">
        <v>1641</v>
      </c>
      <c r="O915" s="7" t="s">
        <v>1502</v>
      </c>
      <c r="P915" s="7" t="s">
        <v>144</v>
      </c>
      <c r="Q915" s="7" t="s">
        <v>455</v>
      </c>
      <c r="R915" s="7" t="s">
        <v>281</v>
      </c>
      <c r="S915" s="7" t="s">
        <v>331</v>
      </c>
      <c r="T915" s="7" t="s">
        <v>356</v>
      </c>
      <c r="U915" s="7" t="s">
        <v>148</v>
      </c>
      <c r="V915" s="7" t="s">
        <v>333</v>
      </c>
      <c r="W915" s="7" t="s">
        <v>921</v>
      </c>
      <c r="X915" s="7" t="s">
        <v>1709</v>
      </c>
      <c r="Y915" s="7" t="s">
        <v>1360</v>
      </c>
      <c r="Z915" s="7" t="s">
        <v>461</v>
      </c>
      <c r="AA915" s="7" t="s">
        <v>183</v>
      </c>
      <c r="AB915" s="18" t="n">
        <v>25</v>
      </c>
      <c r="AC915" s="7"/>
      <c r="AD915" s="7"/>
      <c r="AE915" s="7" t="s">
        <v>155</v>
      </c>
    </row>
    <row r="916" customFormat="false" ht="21.75" hidden="false" customHeight="true" outlineLevel="0" collapsed="false">
      <c r="B916" s="15" t="n">
        <v>912</v>
      </c>
      <c r="C916" s="9" t="s">
        <v>58</v>
      </c>
      <c r="D916" s="9" t="s">
        <v>27</v>
      </c>
      <c r="E916" s="9" t="s">
        <v>91</v>
      </c>
      <c r="F916" s="9" t="s">
        <v>63</v>
      </c>
      <c r="G916" s="9" t="s">
        <v>1710</v>
      </c>
      <c r="H916" s="9" t="s">
        <v>157</v>
      </c>
      <c r="I916" s="9" t="s">
        <v>158</v>
      </c>
      <c r="J916" s="9" t="s">
        <v>1011</v>
      </c>
      <c r="K916" s="9" t="s">
        <v>488</v>
      </c>
      <c r="L916" s="9" t="s">
        <v>205</v>
      </c>
      <c r="M916" s="9" t="s">
        <v>116</v>
      </c>
      <c r="N916" s="9" t="s">
        <v>1641</v>
      </c>
      <c r="O916" s="9" t="s">
        <v>1502</v>
      </c>
      <c r="P916" s="9" t="s">
        <v>144</v>
      </c>
      <c r="Q916" s="9" t="s">
        <v>455</v>
      </c>
      <c r="R916" s="9" t="s">
        <v>281</v>
      </c>
      <c r="S916" s="9" t="s">
        <v>331</v>
      </c>
      <c r="T916" s="9" t="s">
        <v>356</v>
      </c>
      <c r="U916" s="9" t="s">
        <v>148</v>
      </c>
      <c r="V916" s="9" t="s">
        <v>333</v>
      </c>
      <c r="W916" s="9" t="s">
        <v>921</v>
      </c>
      <c r="X916" s="9" t="s">
        <v>1709</v>
      </c>
      <c r="Y916" s="9" t="s">
        <v>1360</v>
      </c>
      <c r="Z916" s="9" t="s">
        <v>461</v>
      </c>
      <c r="AA916" s="9" t="s">
        <v>183</v>
      </c>
      <c r="AB916" s="19" t="n">
        <v>35</v>
      </c>
      <c r="AC916" s="9"/>
      <c r="AD916" s="9"/>
      <c r="AE916" s="9" t="s">
        <v>159</v>
      </c>
    </row>
    <row r="917" customFormat="false" ht="21.75" hidden="false" customHeight="true" outlineLevel="0" collapsed="false">
      <c r="B917" s="14" t="n">
        <v>913</v>
      </c>
      <c r="C917" s="7" t="s">
        <v>58</v>
      </c>
      <c r="D917" s="7" t="s">
        <v>27</v>
      </c>
      <c r="E917" s="7" t="s">
        <v>91</v>
      </c>
      <c r="F917" s="7" t="s">
        <v>63</v>
      </c>
      <c r="G917" s="7" t="s">
        <v>1711</v>
      </c>
      <c r="H917" s="7" t="s">
        <v>157</v>
      </c>
      <c r="I917" s="7" t="s">
        <v>158</v>
      </c>
      <c r="J917" s="7" t="s">
        <v>1011</v>
      </c>
      <c r="K917" s="7" t="s">
        <v>488</v>
      </c>
      <c r="L917" s="7" t="s">
        <v>205</v>
      </c>
      <c r="M917" s="7" t="s">
        <v>116</v>
      </c>
      <c r="N917" s="7" t="s">
        <v>1641</v>
      </c>
      <c r="O917" s="7" t="s">
        <v>1502</v>
      </c>
      <c r="P917" s="7" t="s">
        <v>144</v>
      </c>
      <c r="Q917" s="7" t="s">
        <v>455</v>
      </c>
      <c r="R917" s="7" t="s">
        <v>281</v>
      </c>
      <c r="S917" s="7" t="s">
        <v>331</v>
      </c>
      <c r="T917" s="7" t="s">
        <v>356</v>
      </c>
      <c r="U917" s="7" t="s">
        <v>148</v>
      </c>
      <c r="V917" s="7" t="s">
        <v>333</v>
      </c>
      <c r="W917" s="7" t="s">
        <v>921</v>
      </c>
      <c r="X917" s="7" t="s">
        <v>1709</v>
      </c>
      <c r="Y917" s="7" t="s">
        <v>1360</v>
      </c>
      <c r="Z917" s="7" t="s">
        <v>461</v>
      </c>
      <c r="AA917" s="7" t="s">
        <v>183</v>
      </c>
      <c r="AB917" s="18" t="n">
        <v>50</v>
      </c>
      <c r="AC917" s="7"/>
      <c r="AD917" s="7"/>
      <c r="AE917" s="7" t="s">
        <v>1712</v>
      </c>
    </row>
    <row r="918" customFormat="false" ht="21.75" hidden="false" customHeight="true" outlineLevel="0" collapsed="false">
      <c r="B918" s="15" t="n">
        <v>914</v>
      </c>
      <c r="C918" s="9" t="s">
        <v>58</v>
      </c>
      <c r="D918" s="9" t="s">
        <v>27</v>
      </c>
      <c r="E918" s="9" t="s">
        <v>91</v>
      </c>
      <c r="F918" s="9" t="s">
        <v>63</v>
      </c>
      <c r="G918" s="9" t="s">
        <v>1713</v>
      </c>
      <c r="H918" s="9" t="s">
        <v>163</v>
      </c>
      <c r="I918" s="9" t="s">
        <v>164</v>
      </c>
      <c r="J918" s="9" t="s">
        <v>1011</v>
      </c>
      <c r="K918" s="9" t="s">
        <v>488</v>
      </c>
      <c r="L918" s="9" t="s">
        <v>205</v>
      </c>
      <c r="M918" s="9" t="s">
        <v>116</v>
      </c>
      <c r="N918" s="9" t="s">
        <v>1641</v>
      </c>
      <c r="O918" s="9" t="s">
        <v>1502</v>
      </c>
      <c r="P918" s="9" t="s">
        <v>144</v>
      </c>
      <c r="Q918" s="9" t="s">
        <v>455</v>
      </c>
      <c r="R918" s="9" t="s">
        <v>281</v>
      </c>
      <c r="S918" s="9" t="s">
        <v>331</v>
      </c>
      <c r="T918" s="9" t="s">
        <v>356</v>
      </c>
      <c r="U918" s="9" t="s">
        <v>148</v>
      </c>
      <c r="V918" s="9" t="s">
        <v>333</v>
      </c>
      <c r="W918" s="9" t="s">
        <v>921</v>
      </c>
      <c r="X918" s="9" t="s">
        <v>1709</v>
      </c>
      <c r="Y918" s="9" t="s">
        <v>1360</v>
      </c>
      <c r="Z918" s="9" t="s">
        <v>461</v>
      </c>
      <c r="AA918" s="9" t="s">
        <v>183</v>
      </c>
      <c r="AB918" s="19" t="n">
        <v>70</v>
      </c>
      <c r="AC918" s="9"/>
      <c r="AD918" s="9"/>
      <c r="AE918" s="9" t="s">
        <v>165</v>
      </c>
    </row>
    <row r="919" customFormat="false" ht="21.75" hidden="false" customHeight="true" outlineLevel="0" collapsed="false">
      <c r="B919" s="14" t="n">
        <v>915</v>
      </c>
      <c r="C919" s="7" t="s">
        <v>58</v>
      </c>
      <c r="D919" s="7" t="s">
        <v>27</v>
      </c>
      <c r="E919" s="7" t="s">
        <v>91</v>
      </c>
      <c r="F919" s="7" t="s">
        <v>63</v>
      </c>
      <c r="G919" s="7" t="s">
        <v>1714</v>
      </c>
      <c r="H919" s="7" t="s">
        <v>163</v>
      </c>
      <c r="I919" s="7" t="s">
        <v>164</v>
      </c>
      <c r="J919" s="7" t="s">
        <v>1011</v>
      </c>
      <c r="K919" s="7" t="s">
        <v>488</v>
      </c>
      <c r="L919" s="7" t="s">
        <v>205</v>
      </c>
      <c r="M919" s="7" t="s">
        <v>116</v>
      </c>
      <c r="N919" s="7" t="s">
        <v>1641</v>
      </c>
      <c r="O919" s="7" t="s">
        <v>1502</v>
      </c>
      <c r="P919" s="7" t="s">
        <v>144</v>
      </c>
      <c r="Q919" s="7" t="s">
        <v>455</v>
      </c>
      <c r="R919" s="7" t="s">
        <v>281</v>
      </c>
      <c r="S919" s="7" t="s">
        <v>331</v>
      </c>
      <c r="T919" s="7" t="s">
        <v>356</v>
      </c>
      <c r="U919" s="7" t="s">
        <v>148</v>
      </c>
      <c r="V919" s="7" t="s">
        <v>333</v>
      </c>
      <c r="W919" s="7" t="s">
        <v>921</v>
      </c>
      <c r="X919" s="7" t="s">
        <v>1709</v>
      </c>
      <c r="Y919" s="7" t="s">
        <v>1360</v>
      </c>
      <c r="Z919" s="7" t="s">
        <v>461</v>
      </c>
      <c r="AA919" s="7" t="s">
        <v>183</v>
      </c>
      <c r="AB919" s="18" t="n">
        <v>105</v>
      </c>
      <c r="AC919" s="7"/>
      <c r="AD919" s="7"/>
      <c r="AE919" s="7" t="s">
        <v>167</v>
      </c>
    </row>
    <row r="920" customFormat="false" ht="21.75" hidden="false" customHeight="true" outlineLevel="0" collapsed="false">
      <c r="B920" s="15" t="n">
        <v>916</v>
      </c>
      <c r="C920" s="9" t="s">
        <v>58</v>
      </c>
      <c r="D920" s="9" t="s">
        <v>27</v>
      </c>
      <c r="E920" s="9" t="s">
        <v>91</v>
      </c>
      <c r="F920" s="9" t="s">
        <v>64</v>
      </c>
      <c r="G920" s="9" t="s">
        <v>1715</v>
      </c>
      <c r="H920" s="9" t="s">
        <v>136</v>
      </c>
      <c r="I920" s="9" t="s">
        <v>137</v>
      </c>
      <c r="J920" s="9" t="s">
        <v>203</v>
      </c>
      <c r="K920" s="9" t="s">
        <v>1157</v>
      </c>
      <c r="L920" s="9" t="s">
        <v>623</v>
      </c>
      <c r="M920" s="9" t="s">
        <v>116</v>
      </c>
      <c r="N920" s="9" t="s">
        <v>1660</v>
      </c>
      <c r="O920" s="9" t="s">
        <v>1502</v>
      </c>
      <c r="P920" s="9" t="s">
        <v>144</v>
      </c>
      <c r="Q920" s="9" t="s">
        <v>455</v>
      </c>
      <c r="R920" s="9" t="s">
        <v>281</v>
      </c>
      <c r="S920" s="9" t="s">
        <v>331</v>
      </c>
      <c r="T920" s="9" t="s">
        <v>356</v>
      </c>
      <c r="U920" s="9" t="s">
        <v>194</v>
      </c>
      <c r="V920" s="9" t="s">
        <v>368</v>
      </c>
      <c r="W920" s="9" t="s">
        <v>921</v>
      </c>
      <c r="X920" s="9" t="s">
        <v>1716</v>
      </c>
      <c r="Y920" s="9" t="s">
        <v>1347</v>
      </c>
      <c r="Z920" s="9" t="s">
        <v>461</v>
      </c>
      <c r="AA920" s="9" t="s">
        <v>183</v>
      </c>
      <c r="AB920" s="19" t="n">
        <v>90</v>
      </c>
      <c r="AC920" s="9"/>
      <c r="AD920" s="9"/>
      <c r="AE920" s="9" t="s">
        <v>155</v>
      </c>
    </row>
    <row r="921" customFormat="false" ht="21.75" hidden="false" customHeight="true" outlineLevel="0" collapsed="false">
      <c r="B921" s="14" t="n">
        <v>917</v>
      </c>
      <c r="C921" s="7" t="s">
        <v>58</v>
      </c>
      <c r="D921" s="7" t="s">
        <v>27</v>
      </c>
      <c r="E921" s="7" t="s">
        <v>91</v>
      </c>
      <c r="F921" s="7" t="s">
        <v>64</v>
      </c>
      <c r="G921" s="7" t="s">
        <v>1717</v>
      </c>
      <c r="H921" s="7" t="s">
        <v>136</v>
      </c>
      <c r="I921" s="7" t="s">
        <v>137</v>
      </c>
      <c r="J921" s="7" t="s">
        <v>203</v>
      </c>
      <c r="K921" s="7" t="s">
        <v>1157</v>
      </c>
      <c r="L921" s="7" t="s">
        <v>623</v>
      </c>
      <c r="M921" s="7" t="s">
        <v>116</v>
      </c>
      <c r="N921" s="7" t="s">
        <v>1660</v>
      </c>
      <c r="O921" s="7" t="s">
        <v>1502</v>
      </c>
      <c r="P921" s="7" t="s">
        <v>144</v>
      </c>
      <c r="Q921" s="7" t="s">
        <v>455</v>
      </c>
      <c r="R921" s="7" t="s">
        <v>281</v>
      </c>
      <c r="S921" s="7" t="s">
        <v>331</v>
      </c>
      <c r="T921" s="7" t="s">
        <v>356</v>
      </c>
      <c r="U921" s="7" t="s">
        <v>194</v>
      </c>
      <c r="V921" s="7" t="s">
        <v>368</v>
      </c>
      <c r="W921" s="7" t="s">
        <v>921</v>
      </c>
      <c r="X921" s="7" t="s">
        <v>1716</v>
      </c>
      <c r="Y921" s="7" t="s">
        <v>1347</v>
      </c>
      <c r="Z921" s="7" t="s">
        <v>461</v>
      </c>
      <c r="AA921" s="7" t="s">
        <v>183</v>
      </c>
      <c r="AB921" s="18" t="n">
        <v>135</v>
      </c>
      <c r="AC921" s="7"/>
      <c r="AD921" s="7"/>
      <c r="AE921" s="7" t="s">
        <v>159</v>
      </c>
    </row>
    <row r="922" customFormat="false" ht="21.75" hidden="false" customHeight="true" outlineLevel="0" collapsed="false">
      <c r="B922" s="15" t="n">
        <v>918</v>
      </c>
      <c r="C922" s="9" t="s">
        <v>58</v>
      </c>
      <c r="D922" s="9" t="s">
        <v>27</v>
      </c>
      <c r="E922" s="9" t="s">
        <v>91</v>
      </c>
      <c r="F922" s="9" t="s">
        <v>64</v>
      </c>
      <c r="G922" s="9" t="s">
        <v>1718</v>
      </c>
      <c r="H922" s="9" t="s">
        <v>157</v>
      </c>
      <c r="I922" s="9" t="s">
        <v>158</v>
      </c>
      <c r="J922" s="9" t="s">
        <v>203</v>
      </c>
      <c r="K922" s="9" t="s">
        <v>1157</v>
      </c>
      <c r="L922" s="9" t="s">
        <v>623</v>
      </c>
      <c r="M922" s="9" t="s">
        <v>116</v>
      </c>
      <c r="N922" s="9" t="s">
        <v>1660</v>
      </c>
      <c r="O922" s="9" t="s">
        <v>1502</v>
      </c>
      <c r="P922" s="9" t="s">
        <v>144</v>
      </c>
      <c r="Q922" s="9" t="s">
        <v>455</v>
      </c>
      <c r="R922" s="9" t="s">
        <v>281</v>
      </c>
      <c r="S922" s="9" t="s">
        <v>331</v>
      </c>
      <c r="T922" s="9" t="s">
        <v>356</v>
      </c>
      <c r="U922" s="9" t="s">
        <v>194</v>
      </c>
      <c r="V922" s="9" t="s">
        <v>368</v>
      </c>
      <c r="W922" s="9" t="s">
        <v>921</v>
      </c>
      <c r="X922" s="9" t="s">
        <v>1716</v>
      </c>
      <c r="Y922" s="9" t="s">
        <v>1347</v>
      </c>
      <c r="Z922" s="9" t="s">
        <v>461</v>
      </c>
      <c r="AA922" s="9" t="s">
        <v>183</v>
      </c>
      <c r="AB922" s="19" t="n">
        <v>180</v>
      </c>
      <c r="AC922" s="9"/>
      <c r="AD922" s="9"/>
      <c r="AE922" s="9" t="s">
        <v>1719</v>
      </c>
    </row>
    <row r="923" customFormat="false" ht="21.75" hidden="false" customHeight="true" outlineLevel="0" collapsed="false">
      <c r="B923" s="14" t="n">
        <v>919</v>
      </c>
      <c r="C923" s="7" t="s">
        <v>58</v>
      </c>
      <c r="D923" s="7" t="s">
        <v>27</v>
      </c>
      <c r="E923" s="7" t="s">
        <v>91</v>
      </c>
      <c r="F923" s="7" t="s">
        <v>64</v>
      </c>
      <c r="G923" s="7" t="s">
        <v>1720</v>
      </c>
      <c r="H923" s="7" t="s">
        <v>157</v>
      </c>
      <c r="I923" s="7" t="s">
        <v>158</v>
      </c>
      <c r="J923" s="7" t="s">
        <v>203</v>
      </c>
      <c r="K923" s="7" t="s">
        <v>1157</v>
      </c>
      <c r="L923" s="7" t="s">
        <v>623</v>
      </c>
      <c r="M923" s="7" t="s">
        <v>116</v>
      </c>
      <c r="N923" s="7" t="s">
        <v>1660</v>
      </c>
      <c r="O923" s="7" t="s">
        <v>1502</v>
      </c>
      <c r="P923" s="7" t="s">
        <v>144</v>
      </c>
      <c r="Q923" s="7" t="s">
        <v>455</v>
      </c>
      <c r="R923" s="7" t="s">
        <v>281</v>
      </c>
      <c r="S923" s="7" t="s">
        <v>331</v>
      </c>
      <c r="T923" s="7" t="s">
        <v>356</v>
      </c>
      <c r="U923" s="7" t="s">
        <v>194</v>
      </c>
      <c r="V923" s="7" t="s">
        <v>368</v>
      </c>
      <c r="W923" s="7" t="s">
        <v>921</v>
      </c>
      <c r="X923" s="7" t="s">
        <v>1716</v>
      </c>
      <c r="Y923" s="7" t="s">
        <v>1347</v>
      </c>
      <c r="Z923" s="7" t="s">
        <v>461</v>
      </c>
      <c r="AA923" s="7" t="s">
        <v>183</v>
      </c>
      <c r="AB923" s="18" t="n">
        <v>270</v>
      </c>
      <c r="AC923" s="7"/>
      <c r="AD923" s="7"/>
      <c r="AE923" s="7" t="s">
        <v>165</v>
      </c>
    </row>
    <row r="924" customFormat="false" ht="21.75" hidden="false" customHeight="true" outlineLevel="0" collapsed="false">
      <c r="B924" s="15" t="n">
        <v>920</v>
      </c>
      <c r="C924" s="9" t="s">
        <v>58</v>
      </c>
      <c r="D924" s="9" t="s">
        <v>27</v>
      </c>
      <c r="E924" s="9" t="s">
        <v>91</v>
      </c>
      <c r="F924" s="9" t="s">
        <v>64</v>
      </c>
      <c r="G924" s="9" t="s">
        <v>1721</v>
      </c>
      <c r="H924" s="9" t="s">
        <v>163</v>
      </c>
      <c r="I924" s="9" t="s">
        <v>164</v>
      </c>
      <c r="J924" s="9" t="s">
        <v>203</v>
      </c>
      <c r="K924" s="9" t="s">
        <v>1157</v>
      </c>
      <c r="L924" s="9" t="s">
        <v>623</v>
      </c>
      <c r="M924" s="9" t="s">
        <v>116</v>
      </c>
      <c r="N924" s="9" t="s">
        <v>1660</v>
      </c>
      <c r="O924" s="9" t="s">
        <v>1502</v>
      </c>
      <c r="P924" s="9" t="s">
        <v>144</v>
      </c>
      <c r="Q924" s="9" t="s">
        <v>455</v>
      </c>
      <c r="R924" s="9" t="s">
        <v>281</v>
      </c>
      <c r="S924" s="9" t="s">
        <v>331</v>
      </c>
      <c r="T924" s="9" t="s">
        <v>356</v>
      </c>
      <c r="U924" s="9" t="s">
        <v>194</v>
      </c>
      <c r="V924" s="9" t="s">
        <v>368</v>
      </c>
      <c r="W924" s="9" t="s">
        <v>921</v>
      </c>
      <c r="X924" s="9" t="s">
        <v>1716</v>
      </c>
      <c r="Y924" s="9" t="s">
        <v>1347</v>
      </c>
      <c r="Z924" s="9" t="s">
        <v>461</v>
      </c>
      <c r="AA924" s="9" t="s">
        <v>183</v>
      </c>
      <c r="AB924" s="19" t="n">
        <v>395</v>
      </c>
      <c r="AC924" s="9"/>
      <c r="AD924" s="9"/>
      <c r="AE924" s="9" t="s">
        <v>167</v>
      </c>
    </row>
    <row r="925" customFormat="false" ht="21.75" hidden="false" customHeight="true" outlineLevel="0" collapsed="false">
      <c r="B925" s="14" t="n">
        <v>921</v>
      </c>
      <c r="C925" s="7" t="s">
        <v>58</v>
      </c>
      <c r="D925" s="7" t="s">
        <v>27</v>
      </c>
      <c r="E925" s="7" t="s">
        <v>91</v>
      </c>
      <c r="F925" s="7" t="s">
        <v>65</v>
      </c>
      <c r="G925" s="7" t="s">
        <v>321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18"/>
      <c r="AC925" s="7"/>
      <c r="AD925" s="7"/>
      <c r="AE925" s="7" t="s">
        <v>1722</v>
      </c>
    </row>
    <row r="926" customFormat="false" ht="21.75" hidden="false" customHeight="true" outlineLevel="0" collapsed="false">
      <c r="B926" s="15" t="n">
        <v>922</v>
      </c>
      <c r="C926" s="9" t="s">
        <v>58</v>
      </c>
      <c r="D926" s="9" t="s">
        <v>27</v>
      </c>
      <c r="E926" s="9" t="s">
        <v>91</v>
      </c>
      <c r="F926" s="9" t="s">
        <v>66</v>
      </c>
      <c r="G926" s="9" t="s">
        <v>321</v>
      </c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19"/>
      <c r="AC926" s="9"/>
      <c r="AD926" s="9"/>
      <c r="AE926" s="9" t="s">
        <v>1723</v>
      </c>
    </row>
    <row r="927" customFormat="false" ht="21.75" hidden="false" customHeight="true" outlineLevel="0" collapsed="false">
      <c r="B927" s="14" t="n">
        <v>923</v>
      </c>
      <c r="C927" s="7" t="s">
        <v>58</v>
      </c>
      <c r="D927" s="7" t="s">
        <v>27</v>
      </c>
      <c r="E927" s="7" t="s">
        <v>91</v>
      </c>
      <c r="F927" s="7" t="s">
        <v>67</v>
      </c>
      <c r="G927" s="7" t="s">
        <v>321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18"/>
      <c r="AC927" s="7"/>
      <c r="AD927" s="7"/>
      <c r="AE927" s="7" t="s">
        <v>1724</v>
      </c>
    </row>
    <row r="928" customFormat="false" ht="21.75" hidden="false" customHeight="true" outlineLevel="0" collapsed="false">
      <c r="B928" s="15" t="n">
        <v>924</v>
      </c>
      <c r="C928" s="9" t="s">
        <v>58</v>
      </c>
      <c r="D928" s="9" t="s">
        <v>27</v>
      </c>
      <c r="E928" s="9" t="s">
        <v>91</v>
      </c>
      <c r="F928" s="9" t="s">
        <v>68</v>
      </c>
      <c r="G928" s="9" t="s">
        <v>321</v>
      </c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19"/>
      <c r="AC928" s="9"/>
      <c r="AD928" s="9"/>
      <c r="AE928" s="9" t="s">
        <v>1725</v>
      </c>
    </row>
    <row r="929" customFormat="false" ht="21.75" hidden="false" customHeight="true" outlineLevel="0" collapsed="false">
      <c r="B929" s="14" t="n">
        <v>925</v>
      </c>
      <c r="C929" s="7" t="s">
        <v>58</v>
      </c>
      <c r="D929" s="7" t="s">
        <v>27</v>
      </c>
      <c r="E929" s="7" t="s">
        <v>91</v>
      </c>
      <c r="F929" s="7" t="s">
        <v>69</v>
      </c>
      <c r="G929" s="7" t="s">
        <v>321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18"/>
      <c r="AC929" s="7"/>
      <c r="AD929" s="7"/>
      <c r="AE929" s="7" t="s">
        <v>1726</v>
      </c>
    </row>
    <row r="930" customFormat="false" ht="21.75" hidden="false" customHeight="true" outlineLevel="0" collapsed="false">
      <c r="B930" s="15" t="n">
        <v>926</v>
      </c>
      <c r="C930" s="9" t="s">
        <v>58</v>
      </c>
      <c r="D930" s="9" t="s">
        <v>27</v>
      </c>
      <c r="E930" s="9" t="s">
        <v>91</v>
      </c>
      <c r="F930" s="9" t="s">
        <v>70</v>
      </c>
      <c r="G930" s="9" t="s">
        <v>321</v>
      </c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19"/>
      <c r="AC930" s="9"/>
      <c r="AD930" s="9"/>
      <c r="AE930" s="9" t="s">
        <v>1727</v>
      </c>
    </row>
    <row r="931" customFormat="false" ht="21.75" hidden="false" customHeight="true" outlineLevel="0" collapsed="false">
      <c r="B931" s="14" t="n">
        <v>927</v>
      </c>
      <c r="C931" s="7" t="s">
        <v>58</v>
      </c>
      <c r="D931" s="7" t="s">
        <v>27</v>
      </c>
      <c r="E931" s="7" t="s">
        <v>91</v>
      </c>
      <c r="F931" s="7" t="s">
        <v>71</v>
      </c>
      <c r="G931" s="7" t="s">
        <v>321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18"/>
      <c r="AC931" s="7"/>
      <c r="AD931" s="7"/>
      <c r="AE931" s="7" t="s">
        <v>1728</v>
      </c>
    </row>
    <row r="932" customFormat="false" ht="21.75" hidden="false" customHeight="true" outlineLevel="0" collapsed="false">
      <c r="B932" s="15" t="n">
        <v>928</v>
      </c>
      <c r="C932" s="9" t="s">
        <v>58</v>
      </c>
      <c r="D932" s="9" t="s">
        <v>27</v>
      </c>
      <c r="E932" s="9" t="s">
        <v>91</v>
      </c>
      <c r="F932" s="9" t="s">
        <v>72</v>
      </c>
      <c r="G932" s="9" t="s">
        <v>321</v>
      </c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19"/>
      <c r="AC932" s="9"/>
      <c r="AD932" s="9"/>
      <c r="AE932" s="9" t="s">
        <v>1729</v>
      </c>
    </row>
    <row r="933" customFormat="false" ht="21.75" hidden="false" customHeight="true" outlineLevel="0" collapsed="false">
      <c r="B933" s="14" t="n">
        <v>929</v>
      </c>
      <c r="C933" s="7" t="s">
        <v>58</v>
      </c>
      <c r="D933" s="7" t="s">
        <v>27</v>
      </c>
      <c r="E933" s="7" t="s">
        <v>91</v>
      </c>
      <c r="F933" s="7" t="s">
        <v>73</v>
      </c>
      <c r="G933" s="7" t="s">
        <v>1711</v>
      </c>
      <c r="H933" s="7" t="s">
        <v>136</v>
      </c>
      <c r="I933" s="7" t="s">
        <v>137</v>
      </c>
      <c r="J933" s="7" t="s">
        <v>468</v>
      </c>
      <c r="K933" s="7" t="s">
        <v>488</v>
      </c>
      <c r="L933" s="7" t="s">
        <v>205</v>
      </c>
      <c r="M933" s="7" t="s">
        <v>116</v>
      </c>
      <c r="N933" s="7" t="s">
        <v>1730</v>
      </c>
      <c r="O933" s="7" t="s">
        <v>1502</v>
      </c>
      <c r="P933" s="7" t="s">
        <v>144</v>
      </c>
      <c r="Q933" s="7" t="s">
        <v>455</v>
      </c>
      <c r="R933" s="7" t="s">
        <v>281</v>
      </c>
      <c r="S933" s="7" t="s">
        <v>331</v>
      </c>
      <c r="T933" s="7" t="s">
        <v>356</v>
      </c>
      <c r="U933" s="7" t="s">
        <v>148</v>
      </c>
      <c r="V933" s="7" t="s">
        <v>473</v>
      </c>
      <c r="W933" s="7" t="s">
        <v>921</v>
      </c>
      <c r="X933" s="7" t="s">
        <v>1709</v>
      </c>
      <c r="Y933" s="7" t="s">
        <v>1630</v>
      </c>
      <c r="Z933" s="7" t="s">
        <v>461</v>
      </c>
      <c r="AA933" s="7" t="s">
        <v>183</v>
      </c>
      <c r="AB933" s="18" t="n">
        <v>30</v>
      </c>
      <c r="AC933" s="7"/>
      <c r="AD933" s="7"/>
      <c r="AE933" s="7" t="s">
        <v>155</v>
      </c>
    </row>
    <row r="934" customFormat="false" ht="21.75" hidden="false" customHeight="true" outlineLevel="0" collapsed="false">
      <c r="B934" s="15" t="n">
        <v>930</v>
      </c>
      <c r="C934" s="9" t="s">
        <v>58</v>
      </c>
      <c r="D934" s="9" t="s">
        <v>27</v>
      </c>
      <c r="E934" s="9" t="s">
        <v>91</v>
      </c>
      <c r="F934" s="9" t="s">
        <v>73</v>
      </c>
      <c r="G934" s="9" t="s">
        <v>1696</v>
      </c>
      <c r="H934" s="9" t="s">
        <v>157</v>
      </c>
      <c r="I934" s="9" t="s">
        <v>158</v>
      </c>
      <c r="J934" s="9" t="s">
        <v>468</v>
      </c>
      <c r="K934" s="9" t="s">
        <v>488</v>
      </c>
      <c r="L934" s="9" t="s">
        <v>205</v>
      </c>
      <c r="M934" s="9" t="s">
        <v>116</v>
      </c>
      <c r="N934" s="9" t="s">
        <v>1730</v>
      </c>
      <c r="O934" s="9" t="s">
        <v>1502</v>
      </c>
      <c r="P934" s="9" t="s">
        <v>144</v>
      </c>
      <c r="Q934" s="9" t="s">
        <v>455</v>
      </c>
      <c r="R934" s="9" t="s">
        <v>281</v>
      </c>
      <c r="S934" s="9" t="s">
        <v>331</v>
      </c>
      <c r="T934" s="9" t="s">
        <v>356</v>
      </c>
      <c r="U934" s="9" t="s">
        <v>148</v>
      </c>
      <c r="V934" s="9" t="s">
        <v>473</v>
      </c>
      <c r="W934" s="9" t="s">
        <v>921</v>
      </c>
      <c r="X934" s="9" t="s">
        <v>1709</v>
      </c>
      <c r="Y934" s="9" t="s">
        <v>1630</v>
      </c>
      <c r="Z934" s="9" t="s">
        <v>461</v>
      </c>
      <c r="AA934" s="9" t="s">
        <v>183</v>
      </c>
      <c r="AB934" s="19" t="n">
        <v>50</v>
      </c>
      <c r="AC934" s="9"/>
      <c r="AD934" s="9"/>
      <c r="AE934" s="9" t="s">
        <v>159</v>
      </c>
    </row>
    <row r="935" customFormat="false" ht="21.75" hidden="false" customHeight="true" outlineLevel="0" collapsed="false">
      <c r="B935" s="14" t="n">
        <v>931</v>
      </c>
      <c r="C935" s="7" t="s">
        <v>58</v>
      </c>
      <c r="D935" s="7" t="s">
        <v>27</v>
      </c>
      <c r="E935" s="7" t="s">
        <v>91</v>
      </c>
      <c r="F935" s="7" t="s">
        <v>73</v>
      </c>
      <c r="G935" s="7" t="s">
        <v>1713</v>
      </c>
      <c r="H935" s="7" t="s">
        <v>157</v>
      </c>
      <c r="I935" s="7" t="s">
        <v>158</v>
      </c>
      <c r="J935" s="7" t="s">
        <v>468</v>
      </c>
      <c r="K935" s="7" t="s">
        <v>488</v>
      </c>
      <c r="L935" s="7" t="s">
        <v>205</v>
      </c>
      <c r="M935" s="7" t="s">
        <v>116</v>
      </c>
      <c r="N935" s="7" t="s">
        <v>1730</v>
      </c>
      <c r="O935" s="7" t="s">
        <v>1502</v>
      </c>
      <c r="P935" s="7" t="s">
        <v>144</v>
      </c>
      <c r="Q935" s="7" t="s">
        <v>455</v>
      </c>
      <c r="R935" s="7" t="s">
        <v>281</v>
      </c>
      <c r="S935" s="7" t="s">
        <v>331</v>
      </c>
      <c r="T935" s="7" t="s">
        <v>356</v>
      </c>
      <c r="U935" s="7" t="s">
        <v>148</v>
      </c>
      <c r="V935" s="7" t="s">
        <v>473</v>
      </c>
      <c r="W935" s="7" t="s">
        <v>921</v>
      </c>
      <c r="X935" s="7" t="s">
        <v>1709</v>
      </c>
      <c r="Y935" s="7" t="s">
        <v>1630</v>
      </c>
      <c r="Z935" s="7" t="s">
        <v>461</v>
      </c>
      <c r="AA935" s="7" t="s">
        <v>183</v>
      </c>
      <c r="AB935" s="18" t="n">
        <v>65</v>
      </c>
      <c r="AC935" s="7"/>
      <c r="AD935" s="7"/>
      <c r="AE935" s="7" t="s">
        <v>1731</v>
      </c>
    </row>
    <row r="936" customFormat="false" ht="21.75" hidden="false" customHeight="true" outlineLevel="0" collapsed="false">
      <c r="B936" s="15" t="n">
        <v>932</v>
      </c>
      <c r="C936" s="9" t="s">
        <v>58</v>
      </c>
      <c r="D936" s="9" t="s">
        <v>27</v>
      </c>
      <c r="E936" s="9" t="s">
        <v>91</v>
      </c>
      <c r="F936" s="9" t="s">
        <v>73</v>
      </c>
      <c r="G936" s="9" t="s">
        <v>1700</v>
      </c>
      <c r="H936" s="9" t="s">
        <v>163</v>
      </c>
      <c r="I936" s="9" t="s">
        <v>164</v>
      </c>
      <c r="J936" s="9" t="s">
        <v>468</v>
      </c>
      <c r="K936" s="9" t="s">
        <v>488</v>
      </c>
      <c r="L936" s="9" t="s">
        <v>205</v>
      </c>
      <c r="M936" s="9" t="s">
        <v>116</v>
      </c>
      <c r="N936" s="9" t="s">
        <v>1730</v>
      </c>
      <c r="O936" s="9" t="s">
        <v>1502</v>
      </c>
      <c r="P936" s="9" t="s">
        <v>144</v>
      </c>
      <c r="Q936" s="9" t="s">
        <v>455</v>
      </c>
      <c r="R936" s="9" t="s">
        <v>281</v>
      </c>
      <c r="S936" s="9" t="s">
        <v>331</v>
      </c>
      <c r="T936" s="9" t="s">
        <v>356</v>
      </c>
      <c r="U936" s="9" t="s">
        <v>148</v>
      </c>
      <c r="V936" s="9" t="s">
        <v>473</v>
      </c>
      <c r="W936" s="9" t="s">
        <v>921</v>
      </c>
      <c r="X936" s="9" t="s">
        <v>1709</v>
      </c>
      <c r="Y936" s="9" t="s">
        <v>1630</v>
      </c>
      <c r="Z936" s="9" t="s">
        <v>461</v>
      </c>
      <c r="AA936" s="9" t="s">
        <v>183</v>
      </c>
      <c r="AB936" s="19" t="n">
        <v>100</v>
      </c>
      <c r="AC936" s="9"/>
      <c r="AD936" s="9"/>
      <c r="AE936" s="9" t="s">
        <v>165</v>
      </c>
    </row>
    <row r="937" customFormat="false" ht="21.75" hidden="false" customHeight="true" outlineLevel="0" collapsed="false">
      <c r="B937" s="14" t="n">
        <v>933</v>
      </c>
      <c r="C937" s="7" t="s">
        <v>58</v>
      </c>
      <c r="D937" s="7" t="s">
        <v>27</v>
      </c>
      <c r="E937" s="7" t="s">
        <v>91</v>
      </c>
      <c r="F937" s="7" t="s">
        <v>73</v>
      </c>
      <c r="G937" s="7" t="s">
        <v>1717</v>
      </c>
      <c r="H937" s="7" t="s">
        <v>163</v>
      </c>
      <c r="I937" s="7" t="s">
        <v>164</v>
      </c>
      <c r="J937" s="7" t="s">
        <v>468</v>
      </c>
      <c r="K937" s="7" t="s">
        <v>488</v>
      </c>
      <c r="L937" s="7" t="s">
        <v>205</v>
      </c>
      <c r="M937" s="7" t="s">
        <v>116</v>
      </c>
      <c r="N937" s="7" t="s">
        <v>1730</v>
      </c>
      <c r="O937" s="7" t="s">
        <v>1502</v>
      </c>
      <c r="P937" s="7" t="s">
        <v>144</v>
      </c>
      <c r="Q937" s="7" t="s">
        <v>455</v>
      </c>
      <c r="R937" s="7" t="s">
        <v>281</v>
      </c>
      <c r="S937" s="7" t="s">
        <v>331</v>
      </c>
      <c r="T937" s="7" t="s">
        <v>356</v>
      </c>
      <c r="U937" s="7" t="s">
        <v>148</v>
      </c>
      <c r="V937" s="7" t="s">
        <v>473</v>
      </c>
      <c r="W937" s="7" t="s">
        <v>921</v>
      </c>
      <c r="X937" s="7" t="s">
        <v>1709</v>
      </c>
      <c r="Y937" s="7" t="s">
        <v>1630</v>
      </c>
      <c r="Z937" s="7" t="s">
        <v>461</v>
      </c>
      <c r="AA937" s="7" t="s">
        <v>183</v>
      </c>
      <c r="AB937" s="18" t="n">
        <v>145</v>
      </c>
      <c r="AC937" s="7"/>
      <c r="AD937" s="7"/>
      <c r="AE937" s="7" t="s">
        <v>167</v>
      </c>
    </row>
    <row r="938" customFormat="false" ht="21.75" hidden="false" customHeight="true" outlineLevel="0" collapsed="false">
      <c r="B938" s="15" t="n">
        <v>934</v>
      </c>
      <c r="C938" s="9" t="s">
        <v>58</v>
      </c>
      <c r="D938" s="9" t="s">
        <v>27</v>
      </c>
      <c r="E938" s="9" t="s">
        <v>91</v>
      </c>
      <c r="F938" s="9" t="s">
        <v>74</v>
      </c>
      <c r="G938" s="9" t="s">
        <v>321</v>
      </c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19"/>
      <c r="AC938" s="9"/>
      <c r="AD938" s="9"/>
      <c r="AE938" s="9" t="s">
        <v>1732</v>
      </c>
    </row>
    <row r="939" customFormat="false" ht="21.75" hidden="false" customHeight="true" outlineLevel="0" collapsed="false">
      <c r="B939" s="14" t="n">
        <v>935</v>
      </c>
      <c r="C939" s="7" t="s">
        <v>59</v>
      </c>
      <c r="D939" s="7" t="s">
        <v>27</v>
      </c>
      <c r="E939" s="7" t="s">
        <v>91</v>
      </c>
      <c r="F939" s="7" t="s">
        <v>61</v>
      </c>
      <c r="G939" s="7" t="s">
        <v>1733</v>
      </c>
      <c r="H939" s="7" t="s">
        <v>136</v>
      </c>
      <c r="I939" s="7" t="s">
        <v>137</v>
      </c>
      <c r="J939" s="7" t="s">
        <v>468</v>
      </c>
      <c r="K939" s="7" t="s">
        <v>1130</v>
      </c>
      <c r="L939" s="7" t="s">
        <v>1045</v>
      </c>
      <c r="M939" s="7" t="s">
        <v>281</v>
      </c>
      <c r="N939" s="7" t="s">
        <v>1297</v>
      </c>
      <c r="O939" s="7" t="s">
        <v>1535</v>
      </c>
      <c r="P939" s="7" t="s">
        <v>1734</v>
      </c>
      <c r="Q939" s="7" t="s">
        <v>455</v>
      </c>
      <c r="R939" s="7" t="s">
        <v>281</v>
      </c>
      <c r="S939" s="7" t="s">
        <v>472</v>
      </c>
      <c r="T939" s="7" t="s">
        <v>223</v>
      </c>
      <c r="U939" s="7" t="s">
        <v>1735</v>
      </c>
      <c r="V939" s="7" t="s">
        <v>1253</v>
      </c>
      <c r="W939" s="7" t="s">
        <v>921</v>
      </c>
      <c r="X939" s="7" t="s">
        <v>1736</v>
      </c>
      <c r="Y939" s="7" t="s">
        <v>814</v>
      </c>
      <c r="Z939" s="7" t="s">
        <v>461</v>
      </c>
      <c r="AA939" s="7" t="s">
        <v>223</v>
      </c>
      <c r="AB939" s="18" t="n">
        <v>25</v>
      </c>
      <c r="AC939" s="7"/>
      <c r="AD939" s="7"/>
      <c r="AE939" s="7" t="s">
        <v>155</v>
      </c>
    </row>
    <row r="940" customFormat="false" ht="21.75" hidden="false" customHeight="true" outlineLevel="0" collapsed="false">
      <c r="B940" s="15" t="n">
        <v>936</v>
      </c>
      <c r="C940" s="9" t="s">
        <v>59</v>
      </c>
      <c r="D940" s="9" t="s">
        <v>27</v>
      </c>
      <c r="E940" s="9" t="s">
        <v>91</v>
      </c>
      <c r="F940" s="9" t="s">
        <v>61</v>
      </c>
      <c r="G940" s="9" t="s">
        <v>1737</v>
      </c>
      <c r="H940" s="9" t="s">
        <v>157</v>
      </c>
      <c r="I940" s="9" t="s">
        <v>158</v>
      </c>
      <c r="J940" s="9" t="s">
        <v>468</v>
      </c>
      <c r="K940" s="9" t="s">
        <v>1130</v>
      </c>
      <c r="L940" s="9" t="s">
        <v>1045</v>
      </c>
      <c r="M940" s="9" t="s">
        <v>281</v>
      </c>
      <c r="N940" s="9" t="s">
        <v>1297</v>
      </c>
      <c r="O940" s="9" t="s">
        <v>1535</v>
      </c>
      <c r="P940" s="9" t="s">
        <v>1734</v>
      </c>
      <c r="Q940" s="9" t="s">
        <v>455</v>
      </c>
      <c r="R940" s="9" t="s">
        <v>281</v>
      </c>
      <c r="S940" s="9" t="s">
        <v>472</v>
      </c>
      <c r="T940" s="9" t="s">
        <v>223</v>
      </c>
      <c r="U940" s="9" t="s">
        <v>1735</v>
      </c>
      <c r="V940" s="9" t="s">
        <v>1253</v>
      </c>
      <c r="W940" s="9" t="s">
        <v>921</v>
      </c>
      <c r="X940" s="9" t="s">
        <v>1736</v>
      </c>
      <c r="Y940" s="9" t="s">
        <v>814</v>
      </c>
      <c r="Z940" s="9" t="s">
        <v>461</v>
      </c>
      <c r="AA940" s="9" t="s">
        <v>223</v>
      </c>
      <c r="AB940" s="19" t="n">
        <v>25</v>
      </c>
      <c r="AC940" s="9"/>
      <c r="AD940" s="9"/>
      <c r="AE940" s="9" t="s">
        <v>159</v>
      </c>
    </row>
    <row r="941" customFormat="false" ht="21.75" hidden="false" customHeight="true" outlineLevel="0" collapsed="false">
      <c r="B941" s="14" t="n">
        <v>937</v>
      </c>
      <c r="C941" s="7" t="s">
        <v>59</v>
      </c>
      <c r="D941" s="7" t="s">
        <v>27</v>
      </c>
      <c r="E941" s="7" t="s">
        <v>91</v>
      </c>
      <c r="F941" s="7" t="s">
        <v>61</v>
      </c>
      <c r="G941" s="7" t="s">
        <v>1738</v>
      </c>
      <c r="H941" s="7" t="s">
        <v>157</v>
      </c>
      <c r="I941" s="7" t="s">
        <v>158</v>
      </c>
      <c r="J941" s="7" t="s">
        <v>468</v>
      </c>
      <c r="K941" s="7" t="s">
        <v>1130</v>
      </c>
      <c r="L941" s="7" t="s">
        <v>1045</v>
      </c>
      <c r="M941" s="7" t="s">
        <v>281</v>
      </c>
      <c r="N941" s="7" t="s">
        <v>1297</v>
      </c>
      <c r="O941" s="7" t="s">
        <v>1535</v>
      </c>
      <c r="P941" s="7" t="s">
        <v>1734</v>
      </c>
      <c r="Q941" s="7" t="s">
        <v>455</v>
      </c>
      <c r="R941" s="7" t="s">
        <v>281</v>
      </c>
      <c r="S941" s="7" t="s">
        <v>472</v>
      </c>
      <c r="T941" s="7" t="s">
        <v>223</v>
      </c>
      <c r="U941" s="7" t="s">
        <v>1735</v>
      </c>
      <c r="V941" s="7" t="s">
        <v>1253</v>
      </c>
      <c r="W941" s="7" t="s">
        <v>921</v>
      </c>
      <c r="X941" s="7" t="s">
        <v>1736</v>
      </c>
      <c r="Y941" s="7" t="s">
        <v>814</v>
      </c>
      <c r="Z941" s="7" t="s">
        <v>461</v>
      </c>
      <c r="AA941" s="7" t="s">
        <v>223</v>
      </c>
      <c r="AB941" s="18" t="n">
        <v>35</v>
      </c>
      <c r="AC941" s="7"/>
      <c r="AD941" s="7"/>
      <c r="AE941" s="7" t="s">
        <v>1739</v>
      </c>
    </row>
    <row r="942" customFormat="false" ht="21.75" hidden="false" customHeight="true" outlineLevel="0" collapsed="false">
      <c r="B942" s="15" t="n">
        <v>938</v>
      </c>
      <c r="C942" s="9" t="s">
        <v>59</v>
      </c>
      <c r="D942" s="9" t="s">
        <v>27</v>
      </c>
      <c r="E942" s="9" t="s">
        <v>91</v>
      </c>
      <c r="F942" s="9" t="s">
        <v>61</v>
      </c>
      <c r="G942" s="9" t="s">
        <v>1740</v>
      </c>
      <c r="H942" s="9" t="s">
        <v>163</v>
      </c>
      <c r="I942" s="9" t="s">
        <v>164</v>
      </c>
      <c r="J942" s="9" t="s">
        <v>468</v>
      </c>
      <c r="K942" s="9" t="s">
        <v>1130</v>
      </c>
      <c r="L942" s="9" t="s">
        <v>1045</v>
      </c>
      <c r="M942" s="9" t="s">
        <v>281</v>
      </c>
      <c r="N942" s="9" t="s">
        <v>1297</v>
      </c>
      <c r="O942" s="9" t="s">
        <v>1535</v>
      </c>
      <c r="P942" s="9" t="s">
        <v>1734</v>
      </c>
      <c r="Q942" s="9" t="s">
        <v>455</v>
      </c>
      <c r="R942" s="9" t="s">
        <v>281</v>
      </c>
      <c r="S942" s="9" t="s">
        <v>472</v>
      </c>
      <c r="T942" s="9" t="s">
        <v>223</v>
      </c>
      <c r="U942" s="9" t="s">
        <v>1735</v>
      </c>
      <c r="V942" s="9" t="s">
        <v>1253</v>
      </c>
      <c r="W942" s="9" t="s">
        <v>921</v>
      </c>
      <c r="X942" s="9" t="s">
        <v>1736</v>
      </c>
      <c r="Y942" s="9" t="s">
        <v>814</v>
      </c>
      <c r="Z942" s="9" t="s">
        <v>461</v>
      </c>
      <c r="AA942" s="9" t="s">
        <v>223</v>
      </c>
      <c r="AB942" s="19" t="n">
        <v>50</v>
      </c>
      <c r="AC942" s="9"/>
      <c r="AD942" s="9"/>
      <c r="AE942" s="9" t="s">
        <v>165</v>
      </c>
    </row>
    <row r="943" customFormat="false" ht="21.75" hidden="false" customHeight="true" outlineLevel="0" collapsed="false">
      <c r="B943" s="14" t="n">
        <v>939</v>
      </c>
      <c r="C943" s="7" t="s">
        <v>59</v>
      </c>
      <c r="D943" s="7" t="s">
        <v>27</v>
      </c>
      <c r="E943" s="7" t="s">
        <v>91</v>
      </c>
      <c r="F943" s="7" t="s">
        <v>61</v>
      </c>
      <c r="G943" s="7" t="s">
        <v>1741</v>
      </c>
      <c r="H943" s="7" t="s">
        <v>163</v>
      </c>
      <c r="I943" s="7" t="s">
        <v>164</v>
      </c>
      <c r="J943" s="7" t="s">
        <v>468</v>
      </c>
      <c r="K943" s="7" t="s">
        <v>1130</v>
      </c>
      <c r="L943" s="7" t="s">
        <v>1045</v>
      </c>
      <c r="M943" s="7" t="s">
        <v>281</v>
      </c>
      <c r="N943" s="7" t="s">
        <v>1297</v>
      </c>
      <c r="O943" s="7" t="s">
        <v>1535</v>
      </c>
      <c r="P943" s="7" t="s">
        <v>1734</v>
      </c>
      <c r="Q943" s="7" t="s">
        <v>455</v>
      </c>
      <c r="R943" s="7" t="s">
        <v>281</v>
      </c>
      <c r="S943" s="7" t="s">
        <v>472</v>
      </c>
      <c r="T943" s="7" t="s">
        <v>223</v>
      </c>
      <c r="U943" s="7" t="s">
        <v>1735</v>
      </c>
      <c r="V943" s="7" t="s">
        <v>1253</v>
      </c>
      <c r="W943" s="7" t="s">
        <v>921</v>
      </c>
      <c r="X943" s="7" t="s">
        <v>1736</v>
      </c>
      <c r="Y943" s="7" t="s">
        <v>814</v>
      </c>
      <c r="Z943" s="7" t="s">
        <v>461</v>
      </c>
      <c r="AA943" s="7" t="s">
        <v>223</v>
      </c>
      <c r="AB943" s="18" t="n">
        <v>75</v>
      </c>
      <c r="AC943" s="7"/>
      <c r="AD943" s="7"/>
      <c r="AE943" s="7" t="s">
        <v>167</v>
      </c>
    </row>
    <row r="944" customFormat="false" ht="21.75" hidden="false" customHeight="true" outlineLevel="0" collapsed="false">
      <c r="B944" s="15" t="n">
        <v>940</v>
      </c>
      <c r="C944" s="9" t="s">
        <v>59</v>
      </c>
      <c r="D944" s="9" t="s">
        <v>27</v>
      </c>
      <c r="E944" s="9" t="s">
        <v>91</v>
      </c>
      <c r="F944" s="9" t="s">
        <v>62</v>
      </c>
      <c r="G944" s="9" t="s">
        <v>321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19"/>
      <c r="AC944" s="9"/>
      <c r="AD944" s="9"/>
      <c r="AE944" s="9" t="s">
        <v>1742</v>
      </c>
    </row>
    <row r="945" customFormat="false" ht="21.75" hidden="false" customHeight="true" outlineLevel="0" collapsed="false">
      <c r="B945" s="14" t="n">
        <v>941</v>
      </c>
      <c r="C945" s="7" t="s">
        <v>59</v>
      </c>
      <c r="D945" s="7" t="s">
        <v>27</v>
      </c>
      <c r="E945" s="7" t="s">
        <v>91</v>
      </c>
      <c r="F945" s="7" t="s">
        <v>63</v>
      </c>
      <c r="G945" s="7" t="s">
        <v>1743</v>
      </c>
      <c r="H945" s="7" t="s">
        <v>136</v>
      </c>
      <c r="I945" s="7" t="s">
        <v>137</v>
      </c>
      <c r="J945" s="7" t="s">
        <v>468</v>
      </c>
      <c r="K945" s="7" t="s">
        <v>1130</v>
      </c>
      <c r="L945" s="7" t="s">
        <v>205</v>
      </c>
      <c r="M945" s="7" t="s">
        <v>281</v>
      </c>
      <c r="N945" s="7" t="s">
        <v>1546</v>
      </c>
      <c r="O945" s="7" t="s">
        <v>1535</v>
      </c>
      <c r="P945" s="7" t="s">
        <v>1734</v>
      </c>
      <c r="Q945" s="7" t="s">
        <v>455</v>
      </c>
      <c r="R945" s="7" t="s">
        <v>281</v>
      </c>
      <c r="S945" s="7" t="s">
        <v>472</v>
      </c>
      <c r="T945" s="7" t="s">
        <v>356</v>
      </c>
      <c r="U945" s="7" t="s">
        <v>1735</v>
      </c>
      <c r="V945" s="7" t="s">
        <v>387</v>
      </c>
      <c r="W945" s="7" t="s">
        <v>921</v>
      </c>
      <c r="X945" s="7" t="s">
        <v>1744</v>
      </c>
      <c r="Y945" s="7" t="s">
        <v>830</v>
      </c>
      <c r="Z945" s="7" t="s">
        <v>461</v>
      </c>
      <c r="AA945" s="7" t="s">
        <v>183</v>
      </c>
      <c r="AB945" s="18" t="n">
        <v>25</v>
      </c>
      <c r="AC945" s="7"/>
      <c r="AD945" s="7"/>
      <c r="AE945" s="7" t="s">
        <v>155</v>
      </c>
    </row>
    <row r="946" customFormat="false" ht="21.75" hidden="false" customHeight="true" outlineLevel="0" collapsed="false">
      <c r="B946" s="15" t="n">
        <v>942</v>
      </c>
      <c r="C946" s="9" t="s">
        <v>59</v>
      </c>
      <c r="D946" s="9" t="s">
        <v>27</v>
      </c>
      <c r="E946" s="9" t="s">
        <v>91</v>
      </c>
      <c r="F946" s="9" t="s">
        <v>63</v>
      </c>
      <c r="G946" s="9" t="s">
        <v>1745</v>
      </c>
      <c r="H946" s="9" t="s">
        <v>157</v>
      </c>
      <c r="I946" s="9" t="s">
        <v>158</v>
      </c>
      <c r="J946" s="9" t="s">
        <v>468</v>
      </c>
      <c r="K946" s="9" t="s">
        <v>1130</v>
      </c>
      <c r="L946" s="9" t="s">
        <v>205</v>
      </c>
      <c r="M946" s="9" t="s">
        <v>281</v>
      </c>
      <c r="N946" s="9" t="s">
        <v>1546</v>
      </c>
      <c r="O946" s="9" t="s">
        <v>1535</v>
      </c>
      <c r="P946" s="9" t="s">
        <v>1734</v>
      </c>
      <c r="Q946" s="9" t="s">
        <v>455</v>
      </c>
      <c r="R946" s="9" t="s">
        <v>281</v>
      </c>
      <c r="S946" s="9" t="s">
        <v>472</v>
      </c>
      <c r="T946" s="9" t="s">
        <v>356</v>
      </c>
      <c r="U946" s="9" t="s">
        <v>1735</v>
      </c>
      <c r="V946" s="9" t="s">
        <v>387</v>
      </c>
      <c r="W946" s="9" t="s">
        <v>921</v>
      </c>
      <c r="X946" s="9" t="s">
        <v>1744</v>
      </c>
      <c r="Y946" s="9" t="s">
        <v>830</v>
      </c>
      <c r="Z946" s="9" t="s">
        <v>461</v>
      </c>
      <c r="AA946" s="9" t="s">
        <v>183</v>
      </c>
      <c r="AB946" s="19" t="n">
        <v>30</v>
      </c>
      <c r="AC946" s="9"/>
      <c r="AD946" s="9"/>
      <c r="AE946" s="9" t="s">
        <v>159</v>
      </c>
    </row>
    <row r="947" customFormat="false" ht="21.75" hidden="false" customHeight="true" outlineLevel="0" collapsed="false">
      <c r="B947" s="14" t="n">
        <v>943</v>
      </c>
      <c r="C947" s="7" t="s">
        <v>59</v>
      </c>
      <c r="D947" s="7" t="s">
        <v>27</v>
      </c>
      <c r="E947" s="7" t="s">
        <v>91</v>
      </c>
      <c r="F947" s="7" t="s">
        <v>63</v>
      </c>
      <c r="G947" s="7" t="s">
        <v>1746</v>
      </c>
      <c r="H947" s="7" t="s">
        <v>157</v>
      </c>
      <c r="I947" s="7" t="s">
        <v>158</v>
      </c>
      <c r="J947" s="7" t="s">
        <v>468</v>
      </c>
      <c r="K947" s="7" t="s">
        <v>1130</v>
      </c>
      <c r="L947" s="7" t="s">
        <v>205</v>
      </c>
      <c r="M947" s="7" t="s">
        <v>281</v>
      </c>
      <c r="N947" s="7" t="s">
        <v>1546</v>
      </c>
      <c r="O947" s="7" t="s">
        <v>1535</v>
      </c>
      <c r="P947" s="7" t="s">
        <v>1734</v>
      </c>
      <c r="Q947" s="7" t="s">
        <v>455</v>
      </c>
      <c r="R947" s="7" t="s">
        <v>281</v>
      </c>
      <c r="S947" s="7" t="s">
        <v>472</v>
      </c>
      <c r="T947" s="7" t="s">
        <v>356</v>
      </c>
      <c r="U947" s="7" t="s">
        <v>1735</v>
      </c>
      <c r="V947" s="7" t="s">
        <v>387</v>
      </c>
      <c r="W947" s="7" t="s">
        <v>921</v>
      </c>
      <c r="X947" s="7" t="s">
        <v>1744</v>
      </c>
      <c r="Y947" s="7" t="s">
        <v>830</v>
      </c>
      <c r="Z947" s="7" t="s">
        <v>461</v>
      </c>
      <c r="AA947" s="7" t="s">
        <v>183</v>
      </c>
      <c r="AB947" s="18" t="n">
        <v>40</v>
      </c>
      <c r="AC947" s="7"/>
      <c r="AD947" s="7"/>
      <c r="AE947" s="7" t="s">
        <v>1747</v>
      </c>
    </row>
    <row r="948" customFormat="false" ht="21.75" hidden="false" customHeight="true" outlineLevel="0" collapsed="false">
      <c r="B948" s="15" t="n">
        <v>944</v>
      </c>
      <c r="C948" s="9" t="s">
        <v>59</v>
      </c>
      <c r="D948" s="9" t="s">
        <v>27</v>
      </c>
      <c r="E948" s="9" t="s">
        <v>91</v>
      </c>
      <c r="F948" s="9" t="s">
        <v>63</v>
      </c>
      <c r="G948" s="9" t="s">
        <v>1748</v>
      </c>
      <c r="H948" s="9" t="s">
        <v>163</v>
      </c>
      <c r="I948" s="9" t="s">
        <v>164</v>
      </c>
      <c r="J948" s="9" t="s">
        <v>468</v>
      </c>
      <c r="K948" s="9" t="s">
        <v>1130</v>
      </c>
      <c r="L948" s="9" t="s">
        <v>205</v>
      </c>
      <c r="M948" s="9" t="s">
        <v>281</v>
      </c>
      <c r="N948" s="9" t="s">
        <v>1546</v>
      </c>
      <c r="O948" s="9" t="s">
        <v>1535</v>
      </c>
      <c r="P948" s="9" t="s">
        <v>1734</v>
      </c>
      <c r="Q948" s="9" t="s">
        <v>455</v>
      </c>
      <c r="R948" s="9" t="s">
        <v>281</v>
      </c>
      <c r="S948" s="9" t="s">
        <v>472</v>
      </c>
      <c r="T948" s="9" t="s">
        <v>356</v>
      </c>
      <c r="U948" s="9" t="s">
        <v>1735</v>
      </c>
      <c r="V948" s="9" t="s">
        <v>387</v>
      </c>
      <c r="W948" s="9" t="s">
        <v>921</v>
      </c>
      <c r="X948" s="9" t="s">
        <v>1744</v>
      </c>
      <c r="Y948" s="9" t="s">
        <v>830</v>
      </c>
      <c r="Z948" s="9" t="s">
        <v>461</v>
      </c>
      <c r="AA948" s="9" t="s">
        <v>183</v>
      </c>
      <c r="AB948" s="19" t="n">
        <v>65</v>
      </c>
      <c r="AC948" s="9"/>
      <c r="AD948" s="9"/>
      <c r="AE948" s="9" t="s">
        <v>165</v>
      </c>
    </row>
    <row r="949" customFormat="false" ht="21.75" hidden="false" customHeight="true" outlineLevel="0" collapsed="false">
      <c r="B949" s="14" t="n">
        <v>945</v>
      </c>
      <c r="C949" s="7" t="s">
        <v>59</v>
      </c>
      <c r="D949" s="7" t="s">
        <v>27</v>
      </c>
      <c r="E949" s="7" t="s">
        <v>91</v>
      </c>
      <c r="F949" s="7" t="s">
        <v>63</v>
      </c>
      <c r="G949" s="7" t="s">
        <v>1749</v>
      </c>
      <c r="H949" s="7" t="s">
        <v>163</v>
      </c>
      <c r="I949" s="7" t="s">
        <v>164</v>
      </c>
      <c r="J949" s="7" t="s">
        <v>468</v>
      </c>
      <c r="K949" s="7" t="s">
        <v>1130</v>
      </c>
      <c r="L949" s="7" t="s">
        <v>205</v>
      </c>
      <c r="M949" s="7" t="s">
        <v>281</v>
      </c>
      <c r="N949" s="7" t="s">
        <v>1546</v>
      </c>
      <c r="O949" s="7" t="s">
        <v>1535</v>
      </c>
      <c r="P949" s="7" t="s">
        <v>1734</v>
      </c>
      <c r="Q949" s="7" t="s">
        <v>455</v>
      </c>
      <c r="R949" s="7" t="s">
        <v>281</v>
      </c>
      <c r="S949" s="7" t="s">
        <v>472</v>
      </c>
      <c r="T949" s="7" t="s">
        <v>356</v>
      </c>
      <c r="U949" s="7" t="s">
        <v>1735</v>
      </c>
      <c r="V949" s="7" t="s">
        <v>387</v>
      </c>
      <c r="W949" s="7" t="s">
        <v>921</v>
      </c>
      <c r="X949" s="7" t="s">
        <v>1744</v>
      </c>
      <c r="Y949" s="7" t="s">
        <v>830</v>
      </c>
      <c r="Z949" s="7" t="s">
        <v>461</v>
      </c>
      <c r="AA949" s="7" t="s">
        <v>183</v>
      </c>
      <c r="AB949" s="18" t="n">
        <v>90</v>
      </c>
      <c r="AC949" s="7"/>
      <c r="AD949" s="7"/>
      <c r="AE949" s="7" t="s">
        <v>167</v>
      </c>
    </row>
    <row r="950" customFormat="false" ht="21.75" hidden="false" customHeight="true" outlineLevel="0" collapsed="false">
      <c r="B950" s="15" t="n">
        <v>946</v>
      </c>
      <c r="C950" s="9" t="s">
        <v>59</v>
      </c>
      <c r="D950" s="9" t="s">
        <v>27</v>
      </c>
      <c r="E950" s="9" t="s">
        <v>91</v>
      </c>
      <c r="F950" s="9" t="s">
        <v>64</v>
      </c>
      <c r="G950" s="9" t="s">
        <v>1741</v>
      </c>
      <c r="H950" s="9" t="s">
        <v>136</v>
      </c>
      <c r="I950" s="9" t="s">
        <v>137</v>
      </c>
      <c r="J950" s="9" t="s">
        <v>468</v>
      </c>
      <c r="K950" s="9" t="s">
        <v>1750</v>
      </c>
      <c r="L950" s="9" t="s">
        <v>205</v>
      </c>
      <c r="M950" s="9" t="s">
        <v>281</v>
      </c>
      <c r="N950" s="9" t="s">
        <v>1555</v>
      </c>
      <c r="O950" s="9" t="s">
        <v>1535</v>
      </c>
      <c r="P950" s="9" t="s">
        <v>1734</v>
      </c>
      <c r="Q950" s="9" t="s">
        <v>455</v>
      </c>
      <c r="R950" s="9" t="s">
        <v>281</v>
      </c>
      <c r="S950" s="9" t="s">
        <v>472</v>
      </c>
      <c r="T950" s="9" t="s">
        <v>356</v>
      </c>
      <c r="U950" s="9" t="s">
        <v>1735</v>
      </c>
      <c r="V950" s="9" t="s">
        <v>473</v>
      </c>
      <c r="W950" s="9" t="s">
        <v>921</v>
      </c>
      <c r="X950" s="9" t="s">
        <v>1751</v>
      </c>
      <c r="Y950" s="9" t="s">
        <v>841</v>
      </c>
      <c r="Z950" s="9" t="s">
        <v>461</v>
      </c>
      <c r="AA950" s="9" t="s">
        <v>183</v>
      </c>
      <c r="AB950" s="19" t="n">
        <v>30</v>
      </c>
      <c r="AC950" s="9"/>
      <c r="AD950" s="9"/>
      <c r="AE950" s="9" t="s">
        <v>155</v>
      </c>
    </row>
    <row r="951" customFormat="false" ht="21.75" hidden="false" customHeight="true" outlineLevel="0" collapsed="false">
      <c r="B951" s="14" t="n">
        <v>947</v>
      </c>
      <c r="C951" s="7" t="s">
        <v>59</v>
      </c>
      <c r="D951" s="7" t="s">
        <v>27</v>
      </c>
      <c r="E951" s="7" t="s">
        <v>91</v>
      </c>
      <c r="F951" s="7" t="s">
        <v>64</v>
      </c>
      <c r="G951" s="7" t="s">
        <v>1752</v>
      </c>
      <c r="H951" s="7" t="s">
        <v>136</v>
      </c>
      <c r="I951" s="7" t="s">
        <v>137</v>
      </c>
      <c r="J951" s="7" t="s">
        <v>468</v>
      </c>
      <c r="K951" s="7" t="s">
        <v>1750</v>
      </c>
      <c r="L951" s="7" t="s">
        <v>205</v>
      </c>
      <c r="M951" s="7" t="s">
        <v>281</v>
      </c>
      <c r="N951" s="7" t="s">
        <v>1555</v>
      </c>
      <c r="O951" s="7" t="s">
        <v>1535</v>
      </c>
      <c r="P951" s="7" t="s">
        <v>1734</v>
      </c>
      <c r="Q951" s="7" t="s">
        <v>455</v>
      </c>
      <c r="R951" s="7" t="s">
        <v>281</v>
      </c>
      <c r="S951" s="7" t="s">
        <v>472</v>
      </c>
      <c r="T951" s="7" t="s">
        <v>356</v>
      </c>
      <c r="U951" s="7" t="s">
        <v>1735</v>
      </c>
      <c r="V951" s="7" t="s">
        <v>473</v>
      </c>
      <c r="W951" s="7" t="s">
        <v>921</v>
      </c>
      <c r="X951" s="7" t="s">
        <v>1751</v>
      </c>
      <c r="Y951" s="7" t="s">
        <v>841</v>
      </c>
      <c r="Z951" s="7" t="s">
        <v>461</v>
      </c>
      <c r="AA951" s="7" t="s">
        <v>183</v>
      </c>
      <c r="AB951" s="18" t="n">
        <v>40</v>
      </c>
      <c r="AC951" s="7"/>
      <c r="AD951" s="7"/>
      <c r="AE951" s="7" t="s">
        <v>159</v>
      </c>
    </row>
    <row r="952" customFormat="false" ht="21.75" hidden="false" customHeight="true" outlineLevel="0" collapsed="false">
      <c r="B952" s="15" t="n">
        <v>948</v>
      </c>
      <c r="C952" s="9" t="s">
        <v>59</v>
      </c>
      <c r="D952" s="9" t="s">
        <v>27</v>
      </c>
      <c r="E952" s="9" t="s">
        <v>91</v>
      </c>
      <c r="F952" s="9" t="s">
        <v>64</v>
      </c>
      <c r="G952" s="9" t="s">
        <v>1753</v>
      </c>
      <c r="H952" s="9" t="s">
        <v>157</v>
      </c>
      <c r="I952" s="9" t="s">
        <v>158</v>
      </c>
      <c r="J952" s="9" t="s">
        <v>468</v>
      </c>
      <c r="K952" s="9" t="s">
        <v>1750</v>
      </c>
      <c r="L952" s="9" t="s">
        <v>205</v>
      </c>
      <c r="M952" s="9" t="s">
        <v>281</v>
      </c>
      <c r="N952" s="9" t="s">
        <v>1555</v>
      </c>
      <c r="O952" s="9" t="s">
        <v>1535</v>
      </c>
      <c r="P952" s="9" t="s">
        <v>1734</v>
      </c>
      <c r="Q952" s="9" t="s">
        <v>455</v>
      </c>
      <c r="R952" s="9" t="s">
        <v>281</v>
      </c>
      <c r="S952" s="9" t="s">
        <v>472</v>
      </c>
      <c r="T952" s="9" t="s">
        <v>356</v>
      </c>
      <c r="U952" s="9" t="s">
        <v>1735</v>
      </c>
      <c r="V952" s="9" t="s">
        <v>473</v>
      </c>
      <c r="W952" s="9" t="s">
        <v>921</v>
      </c>
      <c r="X952" s="9" t="s">
        <v>1751</v>
      </c>
      <c r="Y952" s="9" t="s">
        <v>841</v>
      </c>
      <c r="Z952" s="9" t="s">
        <v>461</v>
      </c>
      <c r="AA952" s="9" t="s">
        <v>183</v>
      </c>
      <c r="AB952" s="19" t="n">
        <v>55</v>
      </c>
      <c r="AC952" s="9"/>
      <c r="AD952" s="9"/>
      <c r="AE952" s="9" t="s">
        <v>1754</v>
      </c>
    </row>
    <row r="953" customFormat="false" ht="21.75" hidden="false" customHeight="true" outlineLevel="0" collapsed="false">
      <c r="B953" s="14" t="n">
        <v>949</v>
      </c>
      <c r="C953" s="7" t="s">
        <v>59</v>
      </c>
      <c r="D953" s="7" t="s">
        <v>27</v>
      </c>
      <c r="E953" s="7" t="s">
        <v>91</v>
      </c>
      <c r="F953" s="7" t="s">
        <v>64</v>
      </c>
      <c r="G953" s="7" t="s">
        <v>1755</v>
      </c>
      <c r="H953" s="7" t="s">
        <v>157</v>
      </c>
      <c r="I953" s="7" t="s">
        <v>158</v>
      </c>
      <c r="J953" s="7" t="s">
        <v>468</v>
      </c>
      <c r="K953" s="7" t="s">
        <v>1750</v>
      </c>
      <c r="L953" s="7" t="s">
        <v>205</v>
      </c>
      <c r="M953" s="7" t="s">
        <v>281</v>
      </c>
      <c r="N953" s="7" t="s">
        <v>1555</v>
      </c>
      <c r="O953" s="7" t="s">
        <v>1535</v>
      </c>
      <c r="P953" s="7" t="s">
        <v>1734</v>
      </c>
      <c r="Q953" s="7" t="s">
        <v>455</v>
      </c>
      <c r="R953" s="7" t="s">
        <v>281</v>
      </c>
      <c r="S953" s="7" t="s">
        <v>472</v>
      </c>
      <c r="T953" s="7" t="s">
        <v>356</v>
      </c>
      <c r="U953" s="7" t="s">
        <v>1735</v>
      </c>
      <c r="V953" s="7" t="s">
        <v>473</v>
      </c>
      <c r="W953" s="7" t="s">
        <v>921</v>
      </c>
      <c r="X953" s="7" t="s">
        <v>1751</v>
      </c>
      <c r="Y953" s="7" t="s">
        <v>841</v>
      </c>
      <c r="Z953" s="7" t="s">
        <v>461</v>
      </c>
      <c r="AA953" s="7" t="s">
        <v>183</v>
      </c>
      <c r="AB953" s="18" t="n">
        <v>80</v>
      </c>
      <c r="AC953" s="7"/>
      <c r="AD953" s="7"/>
      <c r="AE953" s="7" t="s">
        <v>165</v>
      </c>
    </row>
    <row r="954" customFormat="false" ht="21.75" hidden="false" customHeight="true" outlineLevel="0" collapsed="false">
      <c r="B954" s="15" t="n">
        <v>950</v>
      </c>
      <c r="C954" s="9" t="s">
        <v>59</v>
      </c>
      <c r="D954" s="9" t="s">
        <v>27</v>
      </c>
      <c r="E954" s="9" t="s">
        <v>91</v>
      </c>
      <c r="F954" s="9" t="s">
        <v>64</v>
      </c>
      <c r="G954" s="9" t="s">
        <v>1756</v>
      </c>
      <c r="H954" s="9" t="s">
        <v>163</v>
      </c>
      <c r="I954" s="9" t="s">
        <v>164</v>
      </c>
      <c r="J954" s="9" t="s">
        <v>468</v>
      </c>
      <c r="K954" s="9" t="s">
        <v>1750</v>
      </c>
      <c r="L954" s="9" t="s">
        <v>205</v>
      </c>
      <c r="M954" s="9" t="s">
        <v>281</v>
      </c>
      <c r="N954" s="9" t="s">
        <v>1555</v>
      </c>
      <c r="O954" s="9" t="s">
        <v>1535</v>
      </c>
      <c r="P954" s="9" t="s">
        <v>1734</v>
      </c>
      <c r="Q954" s="9" t="s">
        <v>455</v>
      </c>
      <c r="R954" s="9" t="s">
        <v>281</v>
      </c>
      <c r="S954" s="9" t="s">
        <v>472</v>
      </c>
      <c r="T954" s="9" t="s">
        <v>356</v>
      </c>
      <c r="U954" s="9" t="s">
        <v>1735</v>
      </c>
      <c r="V954" s="9" t="s">
        <v>473</v>
      </c>
      <c r="W954" s="9" t="s">
        <v>921</v>
      </c>
      <c r="X954" s="9" t="s">
        <v>1751</v>
      </c>
      <c r="Y954" s="9" t="s">
        <v>841</v>
      </c>
      <c r="Z954" s="9" t="s">
        <v>461</v>
      </c>
      <c r="AA954" s="9" t="s">
        <v>183</v>
      </c>
      <c r="AB954" s="19" t="n">
        <v>120</v>
      </c>
      <c r="AC954" s="9"/>
      <c r="AD954" s="9"/>
      <c r="AE954" s="9" t="s">
        <v>167</v>
      </c>
    </row>
    <row r="955" customFormat="false" ht="21.75" hidden="false" customHeight="true" outlineLevel="0" collapsed="false">
      <c r="B955" s="14" t="n">
        <v>951</v>
      </c>
      <c r="C955" s="7" t="s">
        <v>59</v>
      </c>
      <c r="D955" s="7" t="s">
        <v>27</v>
      </c>
      <c r="E955" s="7" t="s">
        <v>91</v>
      </c>
      <c r="F955" s="7" t="s">
        <v>65</v>
      </c>
      <c r="G955" s="7" t="s">
        <v>321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18"/>
      <c r="AC955" s="7"/>
      <c r="AD955" s="7"/>
      <c r="AE955" s="7" t="s">
        <v>1757</v>
      </c>
    </row>
    <row r="956" customFormat="false" ht="21.75" hidden="false" customHeight="true" outlineLevel="0" collapsed="false">
      <c r="B956" s="15" t="n">
        <v>952</v>
      </c>
      <c r="C956" s="9" t="s">
        <v>59</v>
      </c>
      <c r="D956" s="9" t="s">
        <v>27</v>
      </c>
      <c r="E956" s="9" t="s">
        <v>91</v>
      </c>
      <c r="F956" s="9" t="s">
        <v>66</v>
      </c>
      <c r="G956" s="9" t="s">
        <v>321</v>
      </c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19"/>
      <c r="AC956" s="9"/>
      <c r="AD956" s="9"/>
      <c r="AE956" s="9" t="s">
        <v>1758</v>
      </c>
    </row>
    <row r="957" customFormat="false" ht="21.75" hidden="false" customHeight="true" outlineLevel="0" collapsed="false">
      <c r="B957" s="14" t="n">
        <v>953</v>
      </c>
      <c r="C957" s="7" t="s">
        <v>59</v>
      </c>
      <c r="D957" s="7" t="s">
        <v>27</v>
      </c>
      <c r="E957" s="7" t="s">
        <v>91</v>
      </c>
      <c r="F957" s="7" t="s">
        <v>67</v>
      </c>
      <c r="G957" s="7" t="s">
        <v>321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18"/>
      <c r="AC957" s="7"/>
      <c r="AD957" s="7"/>
      <c r="AE957" s="7" t="s">
        <v>1759</v>
      </c>
    </row>
    <row r="958" customFormat="false" ht="21.75" hidden="false" customHeight="true" outlineLevel="0" collapsed="false">
      <c r="B958" s="15" t="n">
        <v>954</v>
      </c>
      <c r="C958" s="9" t="s">
        <v>59</v>
      </c>
      <c r="D958" s="9" t="s">
        <v>27</v>
      </c>
      <c r="E958" s="9" t="s">
        <v>91</v>
      </c>
      <c r="F958" s="9" t="s">
        <v>68</v>
      </c>
      <c r="G958" s="9" t="s">
        <v>321</v>
      </c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19"/>
      <c r="AC958" s="9"/>
      <c r="AD958" s="9"/>
      <c r="AE958" s="9" t="s">
        <v>1760</v>
      </c>
    </row>
    <row r="959" customFormat="false" ht="21.75" hidden="false" customHeight="true" outlineLevel="0" collapsed="false">
      <c r="B959" s="14" t="n">
        <v>955</v>
      </c>
      <c r="C959" s="7" t="s">
        <v>59</v>
      </c>
      <c r="D959" s="7" t="s">
        <v>27</v>
      </c>
      <c r="E959" s="7" t="s">
        <v>91</v>
      </c>
      <c r="F959" s="7" t="s">
        <v>69</v>
      </c>
      <c r="G959" s="7" t="s">
        <v>321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18"/>
      <c r="AC959" s="7"/>
      <c r="AD959" s="7"/>
      <c r="AE959" s="7" t="s">
        <v>1761</v>
      </c>
    </row>
    <row r="960" customFormat="false" ht="21.75" hidden="false" customHeight="true" outlineLevel="0" collapsed="false">
      <c r="B960" s="15" t="n">
        <v>956</v>
      </c>
      <c r="C960" s="9" t="s">
        <v>59</v>
      </c>
      <c r="D960" s="9" t="s">
        <v>27</v>
      </c>
      <c r="E960" s="9" t="s">
        <v>91</v>
      </c>
      <c r="F960" s="9" t="s">
        <v>70</v>
      </c>
      <c r="G960" s="9" t="s">
        <v>321</v>
      </c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19"/>
      <c r="AC960" s="9"/>
      <c r="AD960" s="9"/>
      <c r="AE960" s="9" t="s">
        <v>1762</v>
      </c>
    </row>
    <row r="961" customFormat="false" ht="21.75" hidden="false" customHeight="true" outlineLevel="0" collapsed="false">
      <c r="B961" s="14" t="n">
        <v>957</v>
      </c>
      <c r="C961" s="7" t="s">
        <v>59</v>
      </c>
      <c r="D961" s="7" t="s">
        <v>27</v>
      </c>
      <c r="E961" s="7" t="s">
        <v>91</v>
      </c>
      <c r="F961" s="7" t="s">
        <v>71</v>
      </c>
      <c r="G961" s="7" t="s">
        <v>321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18"/>
      <c r="AC961" s="7"/>
      <c r="AD961" s="7"/>
      <c r="AE961" s="7" t="s">
        <v>1763</v>
      </c>
    </row>
    <row r="962" customFormat="false" ht="21.75" hidden="false" customHeight="true" outlineLevel="0" collapsed="false">
      <c r="B962" s="15" t="n">
        <v>958</v>
      </c>
      <c r="C962" s="9" t="s">
        <v>59</v>
      </c>
      <c r="D962" s="9" t="s">
        <v>27</v>
      </c>
      <c r="E962" s="9" t="s">
        <v>91</v>
      </c>
      <c r="F962" s="9" t="s">
        <v>72</v>
      </c>
      <c r="G962" s="9" t="s">
        <v>321</v>
      </c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19"/>
      <c r="AC962" s="9"/>
      <c r="AD962" s="9"/>
      <c r="AE962" s="9" t="s">
        <v>1764</v>
      </c>
    </row>
    <row r="963" customFormat="false" ht="21.75" hidden="false" customHeight="true" outlineLevel="0" collapsed="false">
      <c r="B963" s="14" t="n">
        <v>959</v>
      </c>
      <c r="C963" s="7" t="s">
        <v>59</v>
      </c>
      <c r="D963" s="7" t="s">
        <v>27</v>
      </c>
      <c r="E963" s="7" t="s">
        <v>91</v>
      </c>
      <c r="F963" s="7" t="s">
        <v>73</v>
      </c>
      <c r="G963" s="7" t="s">
        <v>1737</v>
      </c>
      <c r="H963" s="7" t="s">
        <v>136</v>
      </c>
      <c r="I963" s="7" t="s">
        <v>137</v>
      </c>
      <c r="J963" s="7" t="s">
        <v>468</v>
      </c>
      <c r="K963" s="7" t="s">
        <v>1130</v>
      </c>
      <c r="L963" s="7" t="s">
        <v>205</v>
      </c>
      <c r="M963" s="7" t="s">
        <v>281</v>
      </c>
      <c r="N963" s="7" t="s">
        <v>1765</v>
      </c>
      <c r="O963" s="7" t="s">
        <v>1535</v>
      </c>
      <c r="P963" s="7" t="s">
        <v>1734</v>
      </c>
      <c r="Q963" s="7" t="s">
        <v>455</v>
      </c>
      <c r="R963" s="7" t="s">
        <v>281</v>
      </c>
      <c r="S963" s="7" t="s">
        <v>472</v>
      </c>
      <c r="T963" s="7" t="s">
        <v>356</v>
      </c>
      <c r="U963" s="7" t="s">
        <v>1735</v>
      </c>
      <c r="V963" s="7" t="s">
        <v>333</v>
      </c>
      <c r="W963" s="7" t="s">
        <v>921</v>
      </c>
      <c r="X963" s="7" t="s">
        <v>1744</v>
      </c>
      <c r="Y963" s="7" t="s">
        <v>1150</v>
      </c>
      <c r="Z963" s="7" t="s">
        <v>461</v>
      </c>
      <c r="AA963" s="7" t="s">
        <v>183</v>
      </c>
      <c r="AB963" s="18" t="n">
        <v>25</v>
      </c>
      <c r="AC963" s="7"/>
      <c r="AD963" s="7"/>
      <c r="AE963" s="7" t="s">
        <v>155</v>
      </c>
    </row>
    <row r="964" customFormat="false" ht="21.75" hidden="false" customHeight="true" outlineLevel="0" collapsed="false">
      <c r="B964" s="15" t="n">
        <v>960</v>
      </c>
      <c r="C964" s="9" t="s">
        <v>59</v>
      </c>
      <c r="D964" s="9" t="s">
        <v>27</v>
      </c>
      <c r="E964" s="9" t="s">
        <v>91</v>
      </c>
      <c r="F964" s="9" t="s">
        <v>73</v>
      </c>
      <c r="G964" s="9" t="s">
        <v>1741</v>
      </c>
      <c r="H964" s="9" t="s">
        <v>157</v>
      </c>
      <c r="I964" s="9" t="s">
        <v>158</v>
      </c>
      <c r="J964" s="9" t="s">
        <v>468</v>
      </c>
      <c r="K964" s="9" t="s">
        <v>1130</v>
      </c>
      <c r="L964" s="9" t="s">
        <v>205</v>
      </c>
      <c r="M964" s="9" t="s">
        <v>281</v>
      </c>
      <c r="N964" s="9" t="s">
        <v>1765</v>
      </c>
      <c r="O964" s="9" t="s">
        <v>1535</v>
      </c>
      <c r="P964" s="9" t="s">
        <v>1734</v>
      </c>
      <c r="Q964" s="9" t="s">
        <v>455</v>
      </c>
      <c r="R964" s="9" t="s">
        <v>281</v>
      </c>
      <c r="S964" s="9" t="s">
        <v>472</v>
      </c>
      <c r="T964" s="9" t="s">
        <v>356</v>
      </c>
      <c r="U964" s="9" t="s">
        <v>1735</v>
      </c>
      <c r="V964" s="9" t="s">
        <v>333</v>
      </c>
      <c r="W964" s="9" t="s">
        <v>921</v>
      </c>
      <c r="X964" s="9" t="s">
        <v>1744</v>
      </c>
      <c r="Y964" s="9" t="s">
        <v>1150</v>
      </c>
      <c r="Z964" s="9" t="s">
        <v>461</v>
      </c>
      <c r="AA964" s="9" t="s">
        <v>183</v>
      </c>
      <c r="AB964" s="19" t="n">
        <v>35</v>
      </c>
      <c r="AC964" s="9"/>
      <c r="AD964" s="9"/>
      <c r="AE964" s="9" t="s">
        <v>159</v>
      </c>
    </row>
    <row r="965" customFormat="false" ht="21.75" hidden="false" customHeight="true" outlineLevel="0" collapsed="false">
      <c r="B965" s="14" t="n">
        <v>961</v>
      </c>
      <c r="C965" s="7" t="s">
        <v>59</v>
      </c>
      <c r="D965" s="7" t="s">
        <v>27</v>
      </c>
      <c r="E965" s="7" t="s">
        <v>91</v>
      </c>
      <c r="F965" s="7" t="s">
        <v>73</v>
      </c>
      <c r="G965" s="7" t="s">
        <v>1753</v>
      </c>
      <c r="H965" s="7" t="s">
        <v>157</v>
      </c>
      <c r="I965" s="7" t="s">
        <v>158</v>
      </c>
      <c r="J965" s="7" t="s">
        <v>468</v>
      </c>
      <c r="K965" s="7" t="s">
        <v>1130</v>
      </c>
      <c r="L965" s="7" t="s">
        <v>205</v>
      </c>
      <c r="M965" s="7" t="s">
        <v>281</v>
      </c>
      <c r="N965" s="7" t="s">
        <v>1765</v>
      </c>
      <c r="O965" s="7" t="s">
        <v>1535</v>
      </c>
      <c r="P965" s="7" t="s">
        <v>1734</v>
      </c>
      <c r="Q965" s="7" t="s">
        <v>455</v>
      </c>
      <c r="R965" s="7" t="s">
        <v>281</v>
      </c>
      <c r="S965" s="7" t="s">
        <v>472</v>
      </c>
      <c r="T965" s="7" t="s">
        <v>356</v>
      </c>
      <c r="U965" s="7" t="s">
        <v>1735</v>
      </c>
      <c r="V965" s="7" t="s">
        <v>333</v>
      </c>
      <c r="W965" s="7" t="s">
        <v>921</v>
      </c>
      <c r="X965" s="7" t="s">
        <v>1744</v>
      </c>
      <c r="Y965" s="7" t="s">
        <v>1150</v>
      </c>
      <c r="Z965" s="7" t="s">
        <v>461</v>
      </c>
      <c r="AA965" s="7" t="s">
        <v>183</v>
      </c>
      <c r="AB965" s="18" t="n">
        <v>50</v>
      </c>
      <c r="AC965" s="7"/>
      <c r="AD965" s="7"/>
      <c r="AE965" s="7" t="s">
        <v>1766</v>
      </c>
    </row>
    <row r="966" customFormat="false" ht="21.75" hidden="false" customHeight="true" outlineLevel="0" collapsed="false">
      <c r="B966" s="15" t="n">
        <v>962</v>
      </c>
      <c r="C966" s="9" t="s">
        <v>59</v>
      </c>
      <c r="D966" s="9" t="s">
        <v>27</v>
      </c>
      <c r="E966" s="9" t="s">
        <v>91</v>
      </c>
      <c r="F966" s="9" t="s">
        <v>73</v>
      </c>
      <c r="G966" s="9" t="s">
        <v>1749</v>
      </c>
      <c r="H966" s="9" t="s">
        <v>163</v>
      </c>
      <c r="I966" s="9" t="s">
        <v>164</v>
      </c>
      <c r="J966" s="9" t="s">
        <v>468</v>
      </c>
      <c r="K966" s="9" t="s">
        <v>1130</v>
      </c>
      <c r="L966" s="9" t="s">
        <v>205</v>
      </c>
      <c r="M966" s="9" t="s">
        <v>281</v>
      </c>
      <c r="N966" s="9" t="s">
        <v>1765</v>
      </c>
      <c r="O966" s="9" t="s">
        <v>1535</v>
      </c>
      <c r="P966" s="9" t="s">
        <v>1734</v>
      </c>
      <c r="Q966" s="9" t="s">
        <v>455</v>
      </c>
      <c r="R966" s="9" t="s">
        <v>281</v>
      </c>
      <c r="S966" s="9" t="s">
        <v>472</v>
      </c>
      <c r="T966" s="9" t="s">
        <v>356</v>
      </c>
      <c r="U966" s="9" t="s">
        <v>1735</v>
      </c>
      <c r="V966" s="9" t="s">
        <v>333</v>
      </c>
      <c r="W966" s="9" t="s">
        <v>921</v>
      </c>
      <c r="X966" s="9" t="s">
        <v>1744</v>
      </c>
      <c r="Y966" s="9" t="s">
        <v>1150</v>
      </c>
      <c r="Z966" s="9" t="s">
        <v>461</v>
      </c>
      <c r="AA966" s="9" t="s">
        <v>183</v>
      </c>
      <c r="AB966" s="19" t="n">
        <v>70</v>
      </c>
      <c r="AC966" s="9"/>
      <c r="AD966" s="9"/>
      <c r="AE966" s="9" t="s">
        <v>165</v>
      </c>
    </row>
    <row r="967" customFormat="false" ht="21.75" hidden="false" customHeight="true" outlineLevel="0" collapsed="false">
      <c r="B967" s="14" t="n">
        <v>963</v>
      </c>
      <c r="C967" s="7" t="s">
        <v>59</v>
      </c>
      <c r="D967" s="7" t="s">
        <v>27</v>
      </c>
      <c r="E967" s="7" t="s">
        <v>91</v>
      </c>
      <c r="F967" s="7" t="s">
        <v>73</v>
      </c>
      <c r="G967" s="7" t="s">
        <v>1756</v>
      </c>
      <c r="H967" s="7" t="s">
        <v>163</v>
      </c>
      <c r="I967" s="7" t="s">
        <v>164</v>
      </c>
      <c r="J967" s="7" t="s">
        <v>468</v>
      </c>
      <c r="K967" s="7" t="s">
        <v>1130</v>
      </c>
      <c r="L967" s="7" t="s">
        <v>205</v>
      </c>
      <c r="M967" s="7" t="s">
        <v>281</v>
      </c>
      <c r="N967" s="7" t="s">
        <v>1765</v>
      </c>
      <c r="O967" s="7" t="s">
        <v>1535</v>
      </c>
      <c r="P967" s="7" t="s">
        <v>1734</v>
      </c>
      <c r="Q967" s="7" t="s">
        <v>455</v>
      </c>
      <c r="R967" s="7" t="s">
        <v>281</v>
      </c>
      <c r="S967" s="7" t="s">
        <v>472</v>
      </c>
      <c r="T967" s="7" t="s">
        <v>356</v>
      </c>
      <c r="U967" s="7" t="s">
        <v>1735</v>
      </c>
      <c r="V967" s="7" t="s">
        <v>333</v>
      </c>
      <c r="W967" s="7" t="s">
        <v>921</v>
      </c>
      <c r="X967" s="7" t="s">
        <v>1744</v>
      </c>
      <c r="Y967" s="7" t="s">
        <v>1150</v>
      </c>
      <c r="Z967" s="7" t="s">
        <v>461</v>
      </c>
      <c r="AA967" s="7" t="s">
        <v>183</v>
      </c>
      <c r="AB967" s="18" t="n">
        <v>105</v>
      </c>
      <c r="AC967" s="7"/>
      <c r="AD967" s="7"/>
      <c r="AE967" s="7" t="s">
        <v>167</v>
      </c>
    </row>
    <row r="968" customFormat="false" ht="21.75" hidden="false" customHeight="true" outlineLevel="0" collapsed="false">
      <c r="B968" s="15" t="n">
        <v>964</v>
      </c>
      <c r="C968" s="9" t="s">
        <v>59</v>
      </c>
      <c r="D968" s="9" t="s">
        <v>27</v>
      </c>
      <c r="E968" s="9" t="s">
        <v>91</v>
      </c>
      <c r="F968" s="9" t="s">
        <v>74</v>
      </c>
      <c r="G968" s="9" t="s">
        <v>1733</v>
      </c>
      <c r="H968" s="9" t="s">
        <v>136</v>
      </c>
      <c r="I968" s="9" t="s">
        <v>137</v>
      </c>
      <c r="J968" s="9" t="s">
        <v>468</v>
      </c>
      <c r="K968" s="9" t="s">
        <v>1419</v>
      </c>
      <c r="L968" s="9" t="s">
        <v>1045</v>
      </c>
      <c r="M968" s="9" t="s">
        <v>281</v>
      </c>
      <c r="N968" s="9" t="s">
        <v>1421</v>
      </c>
      <c r="O968" s="9" t="s">
        <v>1535</v>
      </c>
      <c r="P968" s="9" t="s">
        <v>1734</v>
      </c>
      <c r="Q968" s="9" t="s">
        <v>455</v>
      </c>
      <c r="R968" s="9" t="s">
        <v>281</v>
      </c>
      <c r="S968" s="9" t="s">
        <v>472</v>
      </c>
      <c r="T968" s="9" t="s">
        <v>223</v>
      </c>
      <c r="U968" s="9" t="s">
        <v>588</v>
      </c>
      <c r="V968" s="9" t="s">
        <v>1537</v>
      </c>
      <c r="W968" s="9" t="s">
        <v>921</v>
      </c>
      <c r="X968" s="9" t="s">
        <v>1736</v>
      </c>
      <c r="Y968" s="9" t="s">
        <v>1767</v>
      </c>
      <c r="Z968" s="9" t="s">
        <v>461</v>
      </c>
      <c r="AA968" s="9" t="s">
        <v>223</v>
      </c>
      <c r="AB968" s="19" t="n">
        <v>25</v>
      </c>
      <c r="AC968" s="9"/>
      <c r="AD968" s="9"/>
      <c r="AE968" s="9" t="s">
        <v>155</v>
      </c>
    </row>
    <row r="969" customFormat="false" ht="21.75" hidden="false" customHeight="true" outlineLevel="0" collapsed="false">
      <c r="B969" s="14" t="n">
        <v>965</v>
      </c>
      <c r="C969" s="7" t="s">
        <v>59</v>
      </c>
      <c r="D969" s="7" t="s">
        <v>27</v>
      </c>
      <c r="E969" s="7" t="s">
        <v>91</v>
      </c>
      <c r="F969" s="7" t="s">
        <v>74</v>
      </c>
      <c r="G969" s="7" t="s">
        <v>1768</v>
      </c>
      <c r="H969" s="7" t="s">
        <v>136</v>
      </c>
      <c r="I969" s="7" t="s">
        <v>137</v>
      </c>
      <c r="J969" s="7" t="s">
        <v>468</v>
      </c>
      <c r="K969" s="7" t="s">
        <v>1419</v>
      </c>
      <c r="L969" s="7" t="s">
        <v>1045</v>
      </c>
      <c r="M969" s="7" t="s">
        <v>281</v>
      </c>
      <c r="N969" s="7" t="s">
        <v>1421</v>
      </c>
      <c r="O969" s="7" t="s">
        <v>1535</v>
      </c>
      <c r="P969" s="7" t="s">
        <v>1734</v>
      </c>
      <c r="Q969" s="7" t="s">
        <v>455</v>
      </c>
      <c r="R969" s="7" t="s">
        <v>281</v>
      </c>
      <c r="S969" s="7" t="s">
        <v>472</v>
      </c>
      <c r="T969" s="7" t="s">
        <v>223</v>
      </c>
      <c r="U969" s="7" t="s">
        <v>588</v>
      </c>
      <c r="V969" s="7" t="s">
        <v>1537</v>
      </c>
      <c r="W969" s="7" t="s">
        <v>921</v>
      </c>
      <c r="X969" s="7" t="s">
        <v>1736</v>
      </c>
      <c r="Y969" s="7" t="s">
        <v>1767</v>
      </c>
      <c r="Z969" s="7" t="s">
        <v>461</v>
      </c>
      <c r="AA969" s="7" t="s">
        <v>223</v>
      </c>
      <c r="AB969" s="18" t="n">
        <v>25</v>
      </c>
      <c r="AC969" s="7"/>
      <c r="AD969" s="7"/>
      <c r="AE969" s="7" t="s">
        <v>159</v>
      </c>
    </row>
    <row r="970" customFormat="false" ht="21.75" hidden="false" customHeight="true" outlineLevel="0" collapsed="false">
      <c r="B970" s="15" t="n">
        <v>966</v>
      </c>
      <c r="C970" s="9" t="s">
        <v>59</v>
      </c>
      <c r="D970" s="9" t="s">
        <v>27</v>
      </c>
      <c r="E970" s="9" t="s">
        <v>91</v>
      </c>
      <c r="F970" s="9" t="s">
        <v>74</v>
      </c>
      <c r="G970" s="9" t="s">
        <v>1737</v>
      </c>
      <c r="H970" s="9" t="s">
        <v>157</v>
      </c>
      <c r="I970" s="9" t="s">
        <v>158</v>
      </c>
      <c r="J970" s="9" t="s">
        <v>468</v>
      </c>
      <c r="K970" s="9" t="s">
        <v>1419</v>
      </c>
      <c r="L970" s="9" t="s">
        <v>1045</v>
      </c>
      <c r="M970" s="9" t="s">
        <v>281</v>
      </c>
      <c r="N970" s="9" t="s">
        <v>1421</v>
      </c>
      <c r="O970" s="9" t="s">
        <v>1535</v>
      </c>
      <c r="P970" s="9" t="s">
        <v>1734</v>
      </c>
      <c r="Q970" s="9" t="s">
        <v>455</v>
      </c>
      <c r="R970" s="9" t="s">
        <v>281</v>
      </c>
      <c r="S970" s="9" t="s">
        <v>472</v>
      </c>
      <c r="T970" s="9" t="s">
        <v>223</v>
      </c>
      <c r="U970" s="9" t="s">
        <v>588</v>
      </c>
      <c r="V970" s="9" t="s">
        <v>1537</v>
      </c>
      <c r="W970" s="9" t="s">
        <v>921</v>
      </c>
      <c r="X970" s="9" t="s">
        <v>1736</v>
      </c>
      <c r="Y970" s="9" t="s">
        <v>1767</v>
      </c>
      <c r="Z970" s="9" t="s">
        <v>461</v>
      </c>
      <c r="AA970" s="9" t="s">
        <v>223</v>
      </c>
      <c r="AB970" s="19" t="n">
        <v>25</v>
      </c>
      <c r="AC970" s="9"/>
      <c r="AD970" s="9"/>
      <c r="AE970" s="9" t="s">
        <v>1692</v>
      </c>
    </row>
    <row r="971" customFormat="false" ht="21.75" hidden="false" customHeight="true" outlineLevel="0" collapsed="false">
      <c r="B971" s="14" t="n">
        <v>967</v>
      </c>
      <c r="C971" s="7" t="s">
        <v>59</v>
      </c>
      <c r="D971" s="7" t="s">
        <v>27</v>
      </c>
      <c r="E971" s="7" t="s">
        <v>91</v>
      </c>
      <c r="F971" s="7" t="s">
        <v>74</v>
      </c>
      <c r="G971" s="7" t="s">
        <v>1769</v>
      </c>
      <c r="H971" s="7" t="s">
        <v>157</v>
      </c>
      <c r="I971" s="7" t="s">
        <v>158</v>
      </c>
      <c r="J971" s="7" t="s">
        <v>468</v>
      </c>
      <c r="K971" s="7" t="s">
        <v>1419</v>
      </c>
      <c r="L971" s="7" t="s">
        <v>1045</v>
      </c>
      <c r="M971" s="7" t="s">
        <v>281</v>
      </c>
      <c r="N971" s="7" t="s">
        <v>1421</v>
      </c>
      <c r="O971" s="7" t="s">
        <v>1535</v>
      </c>
      <c r="P971" s="7" t="s">
        <v>1734</v>
      </c>
      <c r="Q971" s="7" t="s">
        <v>455</v>
      </c>
      <c r="R971" s="7" t="s">
        <v>281</v>
      </c>
      <c r="S971" s="7" t="s">
        <v>472</v>
      </c>
      <c r="T971" s="7" t="s">
        <v>223</v>
      </c>
      <c r="U971" s="7" t="s">
        <v>588</v>
      </c>
      <c r="V971" s="7" t="s">
        <v>1537</v>
      </c>
      <c r="W971" s="7" t="s">
        <v>921</v>
      </c>
      <c r="X971" s="7" t="s">
        <v>1736</v>
      </c>
      <c r="Y971" s="7" t="s">
        <v>1767</v>
      </c>
      <c r="Z971" s="7" t="s">
        <v>461</v>
      </c>
      <c r="AA971" s="7" t="s">
        <v>223</v>
      </c>
      <c r="AB971" s="18" t="n">
        <v>40</v>
      </c>
      <c r="AC971" s="7"/>
      <c r="AD971" s="7"/>
      <c r="AE971" s="7" t="s">
        <v>165</v>
      </c>
    </row>
    <row r="972" customFormat="false" ht="21.75" hidden="false" customHeight="true" outlineLevel="0" collapsed="false">
      <c r="B972" s="15" t="n">
        <v>968</v>
      </c>
      <c r="C972" s="9" t="s">
        <v>59</v>
      </c>
      <c r="D972" s="9" t="s">
        <v>27</v>
      </c>
      <c r="E972" s="9" t="s">
        <v>91</v>
      </c>
      <c r="F972" s="9" t="s">
        <v>74</v>
      </c>
      <c r="G972" s="9" t="s">
        <v>1741</v>
      </c>
      <c r="H972" s="9" t="s">
        <v>163</v>
      </c>
      <c r="I972" s="9" t="s">
        <v>164</v>
      </c>
      <c r="J972" s="9" t="s">
        <v>468</v>
      </c>
      <c r="K972" s="9" t="s">
        <v>1419</v>
      </c>
      <c r="L972" s="9" t="s">
        <v>1045</v>
      </c>
      <c r="M972" s="9" t="s">
        <v>281</v>
      </c>
      <c r="N972" s="9" t="s">
        <v>1421</v>
      </c>
      <c r="O972" s="9" t="s">
        <v>1535</v>
      </c>
      <c r="P972" s="9" t="s">
        <v>1734</v>
      </c>
      <c r="Q972" s="9" t="s">
        <v>455</v>
      </c>
      <c r="R972" s="9" t="s">
        <v>281</v>
      </c>
      <c r="S972" s="9" t="s">
        <v>472</v>
      </c>
      <c r="T972" s="9" t="s">
        <v>223</v>
      </c>
      <c r="U972" s="9" t="s">
        <v>588</v>
      </c>
      <c r="V972" s="9" t="s">
        <v>1537</v>
      </c>
      <c r="W972" s="9" t="s">
        <v>921</v>
      </c>
      <c r="X972" s="9" t="s">
        <v>1736</v>
      </c>
      <c r="Y972" s="9" t="s">
        <v>1767</v>
      </c>
      <c r="Z972" s="9" t="s">
        <v>461</v>
      </c>
      <c r="AA972" s="9" t="s">
        <v>223</v>
      </c>
      <c r="AB972" s="19" t="n">
        <v>60</v>
      </c>
      <c r="AC972" s="9"/>
      <c r="AD972" s="9"/>
      <c r="AE972" s="9" t="s">
        <v>167</v>
      </c>
    </row>
  </sheetData>
  <autoFilter ref="B4:AE972"/>
  <mergeCells count="1">
    <mergeCell ref="B2:AE2"/>
  </mergeCells>
  <conditionalFormatting sqref="G5:G972">
    <cfRule type="expression" priority="2" aboveAverage="0" equalAverage="0" bottom="0" percent="0" rank="0" text="" dxfId="7">
      <formula>ISNUMBER(SEARCH("No disponible",$G5))</formula>
    </cfRule>
  </conditionalFormatting>
  <dataValidations count="3">
    <dataValidation allowBlank="true" errorStyle="stop" operator="between" showDropDown="false" showErrorMessage="false" showInputMessage="false" sqref="D5:D972" type="list">
      <formula1>"Premium,Medio-Alto,Medio,Económico,Premium (Cloud)"</formula1>
      <formula2>0</formula2>
    </dataValidation>
    <dataValidation allowBlank="true" errorStyle="stop" operator="between" showDropDown="false" showErrorMessage="false" showInputMessage="false" sqref="AA5:AA972" type="list">
      <formula1>"Interior,Exterior,Interior/Exterior"</formula1>
      <formula2>0</formula2>
    </dataValidation>
    <dataValidation allowBlank="true" errorStyle="stop" operator="between" showDropDown="false" showErrorMessage="false" showInputMessage="false" sqref="AD5:AD972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6B"/>
    <pageSetUpPr fitToPage="false"/>
  </sheetPr>
  <dimension ref="B2:R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34"/>
    <col collapsed="false" customWidth="true" hidden="false" outlineLevel="0" max="8" min="8" style="1" width="30"/>
    <col collapsed="false" customWidth="true" hidden="false" outlineLevel="0" max="9" min="9" style="1" width="44"/>
    <col collapsed="false" customWidth="true" hidden="false" outlineLevel="0" max="10" min="10" style="1" width="30"/>
    <col collapsed="false" customWidth="true" hidden="false" outlineLevel="0" max="11" min="11" style="1" width="16"/>
    <col collapsed="false" customWidth="true" hidden="false" outlineLevel="0" max="12" min="12" style="1" width="18"/>
    <col collapsed="false" customWidth="true" hidden="false" outlineLevel="0" max="13" min="13" style="1" width="20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2"/>
    <col collapsed="false" customWidth="true" hidden="false" outlineLevel="0" max="18" min="18" style="1" width="42"/>
  </cols>
  <sheetData>
    <row r="2" customFormat="false" ht="31.5" hidden="false" customHeight="true" outlineLevel="0" collapsed="false">
      <c r="B2" s="2" t="s">
        <v>1770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108</v>
      </c>
      <c r="C4" s="5" t="s">
        <v>1771</v>
      </c>
      <c r="D4" s="5" t="s">
        <v>77</v>
      </c>
      <c r="E4" s="5" t="s">
        <v>16</v>
      </c>
      <c r="F4" s="5" t="s">
        <v>110</v>
      </c>
      <c r="G4" s="5" t="s">
        <v>1772</v>
      </c>
      <c r="H4" s="5" t="s">
        <v>1773</v>
      </c>
      <c r="I4" s="5" t="s">
        <v>1774</v>
      </c>
      <c r="J4" s="5" t="s">
        <v>1775</v>
      </c>
      <c r="K4" s="5" t="s">
        <v>1776</v>
      </c>
      <c r="L4" s="5" t="s">
        <v>1777</v>
      </c>
      <c r="M4" s="5" t="s">
        <v>127</v>
      </c>
      <c r="N4" s="5" t="s">
        <v>128</v>
      </c>
      <c r="O4" s="5" t="s">
        <v>131</v>
      </c>
      <c r="P4" s="5" t="s">
        <v>132</v>
      </c>
      <c r="Q4" s="5" t="s">
        <v>133</v>
      </c>
      <c r="R4" s="5" t="s">
        <v>134</v>
      </c>
    </row>
    <row r="5" customFormat="false" ht="21.75" hidden="false" customHeight="true" outlineLevel="0" collapsed="false">
      <c r="B5" s="14" t="n">
        <v>1</v>
      </c>
      <c r="C5" s="7" t="s">
        <v>96</v>
      </c>
      <c r="D5" s="7" t="s">
        <v>40</v>
      </c>
      <c r="E5" s="14" t="s">
        <v>18</v>
      </c>
      <c r="F5" s="7" t="s">
        <v>1778</v>
      </c>
      <c r="G5" s="7" t="s">
        <v>1779</v>
      </c>
      <c r="H5" s="7" t="s">
        <v>1780</v>
      </c>
      <c r="I5" s="7" t="s">
        <v>1781</v>
      </c>
      <c r="J5" s="7" t="s">
        <v>1782</v>
      </c>
      <c r="K5" s="7" t="s">
        <v>1783</v>
      </c>
      <c r="L5" s="7" t="s">
        <v>1784</v>
      </c>
      <c r="M5" s="7" t="s">
        <v>1785</v>
      </c>
      <c r="N5" s="7" t="s">
        <v>1786</v>
      </c>
      <c r="O5" s="18" t="n">
        <v>449</v>
      </c>
      <c r="P5" s="7"/>
      <c r="Q5" s="7"/>
      <c r="R5" s="7" t="s">
        <v>1787</v>
      </c>
    </row>
    <row r="6" customFormat="false" ht="21.75" hidden="false" customHeight="true" outlineLevel="0" collapsed="false">
      <c r="B6" s="15" t="n">
        <v>2</v>
      </c>
      <c r="C6" s="9" t="s">
        <v>96</v>
      </c>
      <c r="D6" s="9" t="s">
        <v>51</v>
      </c>
      <c r="E6" s="15" t="s">
        <v>24</v>
      </c>
      <c r="F6" s="9" t="s">
        <v>1788</v>
      </c>
      <c r="G6" s="9" t="s">
        <v>1789</v>
      </c>
      <c r="H6" s="9" t="s">
        <v>1790</v>
      </c>
      <c r="I6" s="9" t="s">
        <v>1791</v>
      </c>
      <c r="J6" s="9" t="s">
        <v>1792</v>
      </c>
      <c r="K6" s="9" t="s">
        <v>1783</v>
      </c>
      <c r="L6" s="9" t="s">
        <v>1793</v>
      </c>
      <c r="M6" s="9" t="s">
        <v>1794</v>
      </c>
      <c r="N6" s="9" t="s">
        <v>785</v>
      </c>
      <c r="O6" s="19" t="n">
        <v>289</v>
      </c>
      <c r="P6" s="9"/>
      <c r="Q6" s="9"/>
      <c r="R6" s="9" t="s">
        <v>1795</v>
      </c>
    </row>
    <row r="7" customFormat="false" ht="21.75" hidden="false" customHeight="true" outlineLevel="0" collapsed="false">
      <c r="B7" s="14" t="n">
        <v>3</v>
      </c>
      <c r="C7" s="7" t="s">
        <v>96</v>
      </c>
      <c r="D7" s="7" t="s">
        <v>51</v>
      </c>
      <c r="E7" s="14" t="s">
        <v>24</v>
      </c>
      <c r="F7" s="7" t="s">
        <v>1796</v>
      </c>
      <c r="G7" s="7" t="s">
        <v>1797</v>
      </c>
      <c r="H7" s="7" t="s">
        <v>1798</v>
      </c>
      <c r="I7" s="7" t="s">
        <v>1799</v>
      </c>
      <c r="J7" s="7" t="s">
        <v>1800</v>
      </c>
      <c r="K7" s="7" t="s">
        <v>1783</v>
      </c>
      <c r="L7" s="7" t="s">
        <v>1793</v>
      </c>
      <c r="M7" s="7" t="s">
        <v>1801</v>
      </c>
      <c r="N7" s="7" t="s">
        <v>1802</v>
      </c>
      <c r="O7" s="18" t="n">
        <v>139</v>
      </c>
      <c r="P7" s="7"/>
      <c r="Q7" s="7"/>
      <c r="R7" s="7" t="s">
        <v>1803</v>
      </c>
    </row>
    <row r="8" customFormat="false" ht="21.75" hidden="false" customHeight="true" outlineLevel="0" collapsed="false">
      <c r="B8" s="15" t="n">
        <v>4</v>
      </c>
      <c r="C8" s="9" t="s">
        <v>96</v>
      </c>
      <c r="D8" s="9" t="s">
        <v>52</v>
      </c>
      <c r="E8" s="15" t="s">
        <v>24</v>
      </c>
      <c r="F8" s="9" t="s">
        <v>1804</v>
      </c>
      <c r="G8" s="9" t="s">
        <v>1805</v>
      </c>
      <c r="H8" s="9" t="s">
        <v>1806</v>
      </c>
      <c r="I8" s="9" t="s">
        <v>1807</v>
      </c>
      <c r="J8" s="9" t="s">
        <v>1808</v>
      </c>
      <c r="K8" s="9" t="s">
        <v>1783</v>
      </c>
      <c r="L8" s="9" t="s">
        <v>1793</v>
      </c>
      <c r="M8" s="9" t="s">
        <v>1809</v>
      </c>
      <c r="N8" s="9" t="s">
        <v>709</v>
      </c>
      <c r="O8" s="19" t="n">
        <v>519</v>
      </c>
      <c r="P8" s="9"/>
      <c r="Q8" s="9"/>
      <c r="R8" s="9" t="s">
        <v>1810</v>
      </c>
    </row>
    <row r="9" customFormat="false" ht="21.75" hidden="false" customHeight="true" outlineLevel="0" collapsed="false">
      <c r="B9" s="14" t="n">
        <v>5</v>
      </c>
      <c r="C9" s="7" t="s">
        <v>96</v>
      </c>
      <c r="D9" s="7" t="s">
        <v>53</v>
      </c>
      <c r="E9" s="14" t="s">
        <v>24</v>
      </c>
      <c r="F9" s="7" t="s">
        <v>1811</v>
      </c>
      <c r="G9" s="7" t="s">
        <v>1812</v>
      </c>
      <c r="H9" s="7" t="s">
        <v>1806</v>
      </c>
      <c r="I9" s="7" t="s">
        <v>1813</v>
      </c>
      <c r="J9" s="7" t="s">
        <v>1814</v>
      </c>
      <c r="K9" s="7" t="s">
        <v>1783</v>
      </c>
      <c r="L9" s="7" t="s">
        <v>1793</v>
      </c>
      <c r="M9" s="7" t="s">
        <v>1815</v>
      </c>
      <c r="N9" s="7" t="s">
        <v>1816</v>
      </c>
      <c r="O9" s="18" t="n">
        <v>379</v>
      </c>
      <c r="P9" s="7"/>
      <c r="Q9" s="7"/>
      <c r="R9" s="7" t="s">
        <v>1817</v>
      </c>
    </row>
    <row r="10" customFormat="false" ht="21.75" hidden="false" customHeight="true" outlineLevel="0" collapsed="false">
      <c r="B10" s="15" t="n">
        <v>6</v>
      </c>
      <c r="C10" s="9" t="s">
        <v>96</v>
      </c>
      <c r="D10" s="9" t="s">
        <v>42</v>
      </c>
      <c r="E10" s="15" t="s">
        <v>18</v>
      </c>
      <c r="F10" s="9" t="s">
        <v>1818</v>
      </c>
      <c r="G10" s="9" t="s">
        <v>1819</v>
      </c>
      <c r="H10" s="9" t="s">
        <v>1820</v>
      </c>
      <c r="I10" s="9" t="s">
        <v>1821</v>
      </c>
      <c r="J10" s="9" t="s">
        <v>1822</v>
      </c>
      <c r="K10" s="9" t="s">
        <v>1783</v>
      </c>
      <c r="L10" s="9" t="s">
        <v>1784</v>
      </c>
      <c r="M10" s="9" t="s">
        <v>1823</v>
      </c>
      <c r="N10" s="9" t="s">
        <v>1824</v>
      </c>
      <c r="O10" s="19" t="n">
        <v>439</v>
      </c>
      <c r="P10" s="9"/>
      <c r="Q10" s="9"/>
      <c r="R10" s="9" t="s">
        <v>1825</v>
      </c>
    </row>
    <row r="11" customFormat="false" ht="21.75" hidden="false" customHeight="true" outlineLevel="0" collapsed="false">
      <c r="B11" s="14" t="n">
        <v>7</v>
      </c>
      <c r="C11" s="7" t="s">
        <v>96</v>
      </c>
      <c r="D11" s="7" t="s">
        <v>57</v>
      </c>
      <c r="E11" s="14" t="s">
        <v>27</v>
      </c>
      <c r="F11" s="7" t="s">
        <v>1826</v>
      </c>
      <c r="G11" s="7" t="s">
        <v>1827</v>
      </c>
      <c r="H11" s="7" t="s">
        <v>1828</v>
      </c>
      <c r="I11" s="7" t="s">
        <v>1829</v>
      </c>
      <c r="J11" s="7" t="s">
        <v>1830</v>
      </c>
      <c r="K11" s="7" t="s">
        <v>1783</v>
      </c>
      <c r="L11" s="7" t="s">
        <v>1784</v>
      </c>
      <c r="M11" s="7" t="s">
        <v>1831</v>
      </c>
      <c r="N11" s="7" t="s">
        <v>1832</v>
      </c>
      <c r="O11" s="18" t="n">
        <v>269</v>
      </c>
      <c r="P11" s="7"/>
      <c r="Q11" s="7"/>
      <c r="R11" s="7" t="s">
        <v>1833</v>
      </c>
    </row>
    <row r="12" customFormat="false" ht="21.75" hidden="false" customHeight="true" outlineLevel="0" collapsed="false">
      <c r="B12" s="15" t="n">
        <v>8</v>
      </c>
      <c r="C12" s="9" t="s">
        <v>96</v>
      </c>
      <c r="D12" s="9" t="s">
        <v>58</v>
      </c>
      <c r="E12" s="15" t="s">
        <v>27</v>
      </c>
      <c r="F12" s="9" t="s">
        <v>1834</v>
      </c>
      <c r="G12" s="9" t="s">
        <v>1835</v>
      </c>
      <c r="H12" s="9" t="s">
        <v>1836</v>
      </c>
      <c r="I12" s="9" t="s">
        <v>1837</v>
      </c>
      <c r="J12" s="9" t="s">
        <v>1838</v>
      </c>
      <c r="K12" s="9" t="s">
        <v>1783</v>
      </c>
      <c r="L12" s="9" t="s">
        <v>1784</v>
      </c>
      <c r="M12" s="9" t="s">
        <v>1839</v>
      </c>
      <c r="N12" s="9" t="s">
        <v>410</v>
      </c>
      <c r="O12" s="19" t="n">
        <v>159</v>
      </c>
      <c r="P12" s="9"/>
      <c r="Q12" s="9"/>
      <c r="R12" s="9" t="s">
        <v>1840</v>
      </c>
    </row>
    <row r="13" customFormat="false" ht="21.75" hidden="false" customHeight="true" outlineLevel="0" collapsed="false">
      <c r="B13" s="14" t="n">
        <v>9</v>
      </c>
      <c r="C13" s="7" t="s">
        <v>96</v>
      </c>
      <c r="D13" s="7" t="s">
        <v>54</v>
      </c>
      <c r="E13" s="14" t="s">
        <v>27</v>
      </c>
      <c r="F13" s="7" t="s">
        <v>1841</v>
      </c>
      <c r="G13" s="7" t="s">
        <v>1842</v>
      </c>
      <c r="H13" s="7" t="s">
        <v>1843</v>
      </c>
      <c r="I13" s="7" t="s">
        <v>1844</v>
      </c>
      <c r="J13" s="7" t="s">
        <v>1845</v>
      </c>
      <c r="K13" s="7" t="s">
        <v>1783</v>
      </c>
      <c r="L13" s="7" t="s">
        <v>1793</v>
      </c>
      <c r="M13" s="7" t="s">
        <v>1846</v>
      </c>
      <c r="N13" s="7" t="s">
        <v>657</v>
      </c>
      <c r="O13" s="18" t="n">
        <v>139</v>
      </c>
      <c r="P13" s="7"/>
      <c r="Q13" s="7"/>
      <c r="R13" s="7" t="s">
        <v>1847</v>
      </c>
    </row>
    <row r="14" customFormat="false" ht="21.75" hidden="false" customHeight="true" outlineLevel="0" collapsed="false">
      <c r="B14" s="15" t="n">
        <v>10</v>
      </c>
      <c r="C14" s="9" t="s">
        <v>96</v>
      </c>
      <c r="D14" s="9" t="s">
        <v>55</v>
      </c>
      <c r="E14" s="15" t="s">
        <v>27</v>
      </c>
      <c r="F14" s="9" t="s">
        <v>1848</v>
      </c>
      <c r="G14" s="9" t="s">
        <v>1849</v>
      </c>
      <c r="H14" s="9" t="s">
        <v>1836</v>
      </c>
      <c r="I14" s="9" t="s">
        <v>1850</v>
      </c>
      <c r="J14" s="9" t="s">
        <v>1851</v>
      </c>
      <c r="K14" s="9" t="s">
        <v>1783</v>
      </c>
      <c r="L14" s="9" t="s">
        <v>1852</v>
      </c>
      <c r="M14" s="9" t="s">
        <v>1853</v>
      </c>
      <c r="N14" s="9" t="s">
        <v>307</v>
      </c>
      <c r="O14" s="19" t="n">
        <v>119</v>
      </c>
      <c r="P14" s="9"/>
      <c r="Q14" s="9"/>
      <c r="R14" s="9" t="s">
        <v>1854</v>
      </c>
    </row>
    <row r="15" customFormat="false" ht="21.75" hidden="false" customHeight="true" outlineLevel="0" collapsed="false">
      <c r="B15" s="14" t="n">
        <v>11</v>
      </c>
      <c r="C15" s="7" t="s">
        <v>97</v>
      </c>
      <c r="D15" s="7" t="s">
        <v>1855</v>
      </c>
      <c r="E15" s="14" t="s">
        <v>24</v>
      </c>
      <c r="F15" s="7" t="s">
        <v>1856</v>
      </c>
      <c r="G15" s="7" t="s">
        <v>1857</v>
      </c>
      <c r="H15" s="7" t="s">
        <v>1858</v>
      </c>
      <c r="I15" s="7" t="s">
        <v>1859</v>
      </c>
      <c r="J15" s="7" t="s">
        <v>1860</v>
      </c>
      <c r="K15" s="7" t="s">
        <v>1861</v>
      </c>
      <c r="L15" s="7" t="s">
        <v>1862</v>
      </c>
      <c r="M15" s="7" t="s">
        <v>1863</v>
      </c>
      <c r="N15" s="7" t="s">
        <v>923</v>
      </c>
      <c r="O15" s="18" t="n">
        <v>189</v>
      </c>
      <c r="P15" s="7"/>
      <c r="Q15" s="7"/>
      <c r="R15" s="7" t="s">
        <v>1864</v>
      </c>
    </row>
    <row r="16" customFormat="false" ht="21.75" hidden="false" customHeight="true" outlineLevel="0" collapsed="false">
      <c r="B16" s="15" t="n">
        <v>12</v>
      </c>
      <c r="C16" s="9" t="s">
        <v>97</v>
      </c>
      <c r="D16" s="9" t="s">
        <v>1865</v>
      </c>
      <c r="E16" s="15" t="s">
        <v>24</v>
      </c>
      <c r="F16" s="9" t="s">
        <v>1866</v>
      </c>
      <c r="G16" s="9" t="s">
        <v>1867</v>
      </c>
      <c r="H16" s="9" t="s">
        <v>1868</v>
      </c>
      <c r="I16" s="9" t="s">
        <v>1869</v>
      </c>
      <c r="J16" s="9" t="s">
        <v>1860</v>
      </c>
      <c r="K16" s="9" t="s">
        <v>1861</v>
      </c>
      <c r="L16" s="9" t="s">
        <v>1862</v>
      </c>
      <c r="M16" s="9" t="s">
        <v>1870</v>
      </c>
      <c r="N16" s="9" t="s">
        <v>400</v>
      </c>
      <c r="O16" s="19" t="n">
        <v>185</v>
      </c>
      <c r="P16" s="9"/>
      <c r="Q16" s="9"/>
      <c r="R16" s="9" t="s">
        <v>1871</v>
      </c>
    </row>
    <row r="17" customFormat="false" ht="21.75" hidden="false" customHeight="true" outlineLevel="0" collapsed="false">
      <c r="B17" s="14" t="n">
        <v>13</v>
      </c>
      <c r="C17" s="7" t="s">
        <v>97</v>
      </c>
      <c r="D17" s="7" t="s">
        <v>1872</v>
      </c>
      <c r="E17" s="14" t="s">
        <v>24</v>
      </c>
      <c r="F17" s="7" t="s">
        <v>1873</v>
      </c>
      <c r="G17" s="7" t="s">
        <v>1874</v>
      </c>
      <c r="H17" s="7" t="s">
        <v>1875</v>
      </c>
      <c r="I17" s="7" t="s">
        <v>1876</v>
      </c>
      <c r="J17" s="7" t="s">
        <v>1860</v>
      </c>
      <c r="K17" s="7" t="s">
        <v>1861</v>
      </c>
      <c r="L17" s="7" t="s">
        <v>1862</v>
      </c>
      <c r="M17" s="7" t="s">
        <v>1863</v>
      </c>
      <c r="N17" s="7" t="s">
        <v>1877</v>
      </c>
      <c r="O17" s="18" t="n">
        <v>139</v>
      </c>
      <c r="P17" s="7"/>
      <c r="Q17" s="7"/>
      <c r="R17" s="7" t="s">
        <v>1878</v>
      </c>
    </row>
    <row r="18" customFormat="false" ht="21.75" hidden="false" customHeight="true" outlineLevel="0" collapsed="false">
      <c r="B18" s="15" t="n">
        <v>14</v>
      </c>
      <c r="C18" s="9" t="s">
        <v>97</v>
      </c>
      <c r="D18" s="9" t="s">
        <v>1865</v>
      </c>
      <c r="E18" s="15" t="s">
        <v>27</v>
      </c>
      <c r="F18" s="9" t="s">
        <v>1879</v>
      </c>
      <c r="G18" s="9" t="s">
        <v>1880</v>
      </c>
      <c r="H18" s="9" t="s">
        <v>1881</v>
      </c>
      <c r="I18" s="9" t="s">
        <v>1882</v>
      </c>
      <c r="J18" s="9" t="s">
        <v>1860</v>
      </c>
      <c r="K18" s="9" t="s">
        <v>1861</v>
      </c>
      <c r="L18" s="9" t="s">
        <v>1862</v>
      </c>
      <c r="M18" s="9" t="s">
        <v>1870</v>
      </c>
      <c r="N18" s="9" t="s">
        <v>1883</v>
      </c>
      <c r="O18" s="19" t="n">
        <v>99</v>
      </c>
      <c r="P18" s="9"/>
      <c r="Q18" s="9"/>
      <c r="R18" s="9" t="s">
        <v>1884</v>
      </c>
    </row>
    <row r="19" customFormat="false" ht="21.75" hidden="false" customHeight="true" outlineLevel="0" collapsed="false">
      <c r="B19" s="14" t="n">
        <v>15</v>
      </c>
      <c r="C19" s="7" t="s">
        <v>97</v>
      </c>
      <c r="D19" s="7" t="s">
        <v>1855</v>
      </c>
      <c r="E19" s="14" t="s">
        <v>27</v>
      </c>
      <c r="F19" s="7" t="s">
        <v>1885</v>
      </c>
      <c r="G19" s="7" t="s">
        <v>1880</v>
      </c>
      <c r="H19" s="7" t="s">
        <v>1881</v>
      </c>
      <c r="I19" s="7" t="s">
        <v>1886</v>
      </c>
      <c r="J19" s="7" t="s">
        <v>1860</v>
      </c>
      <c r="K19" s="7" t="s">
        <v>1861</v>
      </c>
      <c r="L19" s="7" t="s">
        <v>1862</v>
      </c>
      <c r="M19" s="7" t="s">
        <v>1887</v>
      </c>
      <c r="N19" s="7" t="s">
        <v>1015</v>
      </c>
      <c r="O19" s="18" t="n">
        <v>95</v>
      </c>
      <c r="P19" s="7"/>
      <c r="Q19" s="7"/>
      <c r="R19" s="7" t="s">
        <v>1888</v>
      </c>
    </row>
    <row r="20" customFormat="false" ht="21.75" hidden="false" customHeight="true" outlineLevel="0" collapsed="false">
      <c r="B20" s="15" t="n">
        <v>16</v>
      </c>
      <c r="C20" s="9" t="s">
        <v>98</v>
      </c>
      <c r="D20" s="9" t="s">
        <v>1889</v>
      </c>
      <c r="E20" s="15" t="s">
        <v>27</v>
      </c>
      <c r="F20" s="9" t="s">
        <v>1890</v>
      </c>
      <c r="G20" s="9" t="s">
        <v>1891</v>
      </c>
      <c r="H20" s="9" t="s">
        <v>1892</v>
      </c>
      <c r="I20" s="9" t="s">
        <v>1893</v>
      </c>
      <c r="J20" s="9" t="s">
        <v>1894</v>
      </c>
      <c r="K20" s="9" t="s">
        <v>1783</v>
      </c>
      <c r="L20" s="9" t="s">
        <v>1895</v>
      </c>
      <c r="M20" s="9" t="s">
        <v>1896</v>
      </c>
      <c r="N20" s="9" t="s">
        <v>616</v>
      </c>
      <c r="O20" s="19" t="n">
        <v>79</v>
      </c>
      <c r="P20" s="9"/>
      <c r="Q20" s="9"/>
      <c r="R20" s="9" t="s">
        <v>1897</v>
      </c>
    </row>
    <row r="21" customFormat="false" ht="21.75" hidden="false" customHeight="true" outlineLevel="0" collapsed="false">
      <c r="B21" s="14" t="n">
        <v>17</v>
      </c>
      <c r="C21" s="7" t="s">
        <v>98</v>
      </c>
      <c r="D21" s="7" t="s">
        <v>1889</v>
      </c>
      <c r="E21" s="14" t="s">
        <v>24</v>
      </c>
      <c r="F21" s="7" t="s">
        <v>1898</v>
      </c>
      <c r="G21" s="7" t="s">
        <v>1899</v>
      </c>
      <c r="H21" s="7" t="s">
        <v>1900</v>
      </c>
      <c r="I21" s="7" t="s">
        <v>1901</v>
      </c>
      <c r="J21" s="7" t="s">
        <v>1894</v>
      </c>
      <c r="K21" s="7" t="s">
        <v>1783</v>
      </c>
      <c r="L21" s="7" t="s">
        <v>1902</v>
      </c>
      <c r="M21" s="7" t="s">
        <v>1903</v>
      </c>
      <c r="N21" s="7" t="s">
        <v>1904</v>
      </c>
      <c r="O21" s="18" t="n">
        <v>269</v>
      </c>
      <c r="P21" s="7"/>
      <c r="Q21" s="7"/>
      <c r="R21" s="7" t="s">
        <v>1905</v>
      </c>
    </row>
    <row r="22" customFormat="false" ht="21.75" hidden="false" customHeight="true" outlineLevel="0" collapsed="false">
      <c r="B22" s="15" t="n">
        <v>18</v>
      </c>
      <c r="C22" s="9" t="s">
        <v>98</v>
      </c>
      <c r="D22" s="9" t="s">
        <v>1906</v>
      </c>
      <c r="E22" s="15" t="s">
        <v>24</v>
      </c>
      <c r="F22" s="9" t="s">
        <v>1907</v>
      </c>
      <c r="G22" s="9" t="s">
        <v>1908</v>
      </c>
      <c r="H22" s="9" t="s">
        <v>1909</v>
      </c>
      <c r="I22" s="9" t="s">
        <v>1910</v>
      </c>
      <c r="J22" s="9" t="s">
        <v>1894</v>
      </c>
      <c r="K22" s="9" t="s">
        <v>1783</v>
      </c>
      <c r="L22" s="9" t="s">
        <v>1911</v>
      </c>
      <c r="M22" s="9" t="s">
        <v>1912</v>
      </c>
      <c r="N22" s="9" t="s">
        <v>1913</v>
      </c>
      <c r="O22" s="19" t="n">
        <v>109</v>
      </c>
      <c r="P22" s="9"/>
      <c r="Q22" s="9"/>
      <c r="R22" s="9" t="s">
        <v>1914</v>
      </c>
    </row>
    <row r="23" customFormat="false" ht="21.75" hidden="false" customHeight="true" outlineLevel="0" collapsed="false">
      <c r="B23" s="14" t="n">
        <v>19</v>
      </c>
      <c r="C23" s="7" t="s">
        <v>98</v>
      </c>
      <c r="D23" s="7" t="s">
        <v>1906</v>
      </c>
      <c r="E23" s="14" t="s">
        <v>24</v>
      </c>
      <c r="F23" s="7" t="s">
        <v>1915</v>
      </c>
      <c r="G23" s="7" t="s">
        <v>1916</v>
      </c>
      <c r="H23" s="7" t="s">
        <v>1917</v>
      </c>
      <c r="I23" s="7" t="s">
        <v>1918</v>
      </c>
      <c r="J23" s="7" t="s">
        <v>1919</v>
      </c>
      <c r="K23" s="7" t="s">
        <v>1783</v>
      </c>
      <c r="L23" s="7" t="s">
        <v>1902</v>
      </c>
      <c r="M23" s="7" t="s">
        <v>1920</v>
      </c>
      <c r="N23" s="7" t="s">
        <v>1921</v>
      </c>
      <c r="O23" s="18" t="n">
        <v>599</v>
      </c>
      <c r="P23" s="7"/>
      <c r="Q23" s="7"/>
      <c r="R23" s="7" t="s">
        <v>1922</v>
      </c>
    </row>
    <row r="24" customFormat="false" ht="21.75" hidden="false" customHeight="true" outlineLevel="0" collapsed="false">
      <c r="B24" s="15" t="n">
        <v>20</v>
      </c>
      <c r="C24" s="9" t="s">
        <v>98</v>
      </c>
      <c r="D24" s="9" t="s">
        <v>51</v>
      </c>
      <c r="E24" s="15" t="s">
        <v>24</v>
      </c>
      <c r="F24" s="9" t="s">
        <v>1923</v>
      </c>
      <c r="G24" s="9" t="s">
        <v>1924</v>
      </c>
      <c r="H24" s="9" t="s">
        <v>1925</v>
      </c>
      <c r="I24" s="9" t="s">
        <v>1926</v>
      </c>
      <c r="J24" s="9" t="s">
        <v>1927</v>
      </c>
      <c r="K24" s="9" t="s">
        <v>1783</v>
      </c>
      <c r="L24" s="9" t="s">
        <v>1902</v>
      </c>
      <c r="M24" s="9" t="s">
        <v>1928</v>
      </c>
      <c r="N24" s="9" t="s">
        <v>1929</v>
      </c>
      <c r="O24" s="19" t="n">
        <v>159</v>
      </c>
      <c r="P24" s="9"/>
      <c r="Q24" s="9"/>
      <c r="R24" s="9" t="s">
        <v>1930</v>
      </c>
    </row>
    <row r="25" customFormat="false" ht="21.75" hidden="false" customHeight="true" outlineLevel="0" collapsed="false">
      <c r="B25" s="14" t="n">
        <v>21</v>
      </c>
      <c r="C25" s="7" t="s">
        <v>98</v>
      </c>
      <c r="D25" s="7" t="s">
        <v>52</v>
      </c>
      <c r="E25" s="14" t="s">
        <v>24</v>
      </c>
      <c r="F25" s="7" t="s">
        <v>1931</v>
      </c>
      <c r="G25" s="7" t="s">
        <v>1932</v>
      </c>
      <c r="H25" s="7" t="s">
        <v>1933</v>
      </c>
      <c r="I25" s="7" t="s">
        <v>1934</v>
      </c>
      <c r="J25" s="7" t="s">
        <v>1894</v>
      </c>
      <c r="K25" s="7" t="s">
        <v>1783</v>
      </c>
      <c r="L25" s="7" t="s">
        <v>1902</v>
      </c>
      <c r="M25" s="7" t="s">
        <v>1935</v>
      </c>
      <c r="N25" s="7" t="s">
        <v>1936</v>
      </c>
      <c r="O25" s="18" t="n">
        <v>189</v>
      </c>
      <c r="P25" s="7"/>
      <c r="Q25" s="7"/>
      <c r="R25" s="7" t="s">
        <v>1937</v>
      </c>
    </row>
    <row r="26" customFormat="false" ht="21.75" hidden="false" customHeight="true" outlineLevel="0" collapsed="false">
      <c r="B26" s="15" t="n">
        <v>22</v>
      </c>
      <c r="C26" s="9" t="s">
        <v>98</v>
      </c>
      <c r="D26" s="9" t="s">
        <v>1938</v>
      </c>
      <c r="E26" s="15" t="s">
        <v>24</v>
      </c>
      <c r="F26" s="9" t="s">
        <v>1939</v>
      </c>
      <c r="G26" s="9" t="s">
        <v>1940</v>
      </c>
      <c r="H26" s="9" t="s">
        <v>1941</v>
      </c>
      <c r="I26" s="9" t="s">
        <v>1942</v>
      </c>
      <c r="J26" s="9" t="s">
        <v>1919</v>
      </c>
      <c r="K26" s="9" t="s">
        <v>1783</v>
      </c>
      <c r="L26" s="9" t="s">
        <v>1943</v>
      </c>
      <c r="M26" s="9" t="s">
        <v>1944</v>
      </c>
      <c r="N26" s="9" t="s">
        <v>1945</v>
      </c>
      <c r="O26" s="19" t="n">
        <v>329</v>
      </c>
      <c r="P26" s="9"/>
      <c r="Q26" s="9"/>
      <c r="R26" s="9" t="s">
        <v>1946</v>
      </c>
    </row>
    <row r="27" customFormat="false" ht="21.75" hidden="false" customHeight="true" outlineLevel="0" collapsed="false">
      <c r="B27" s="14" t="n">
        <v>23</v>
      </c>
      <c r="C27" s="7" t="s">
        <v>99</v>
      </c>
      <c r="D27" s="7" t="s">
        <v>1947</v>
      </c>
      <c r="E27" s="14" t="s">
        <v>27</v>
      </c>
      <c r="F27" s="7" t="s">
        <v>1948</v>
      </c>
      <c r="G27" s="7" t="s">
        <v>1949</v>
      </c>
      <c r="H27" s="7" t="s">
        <v>1950</v>
      </c>
      <c r="I27" s="7" t="s">
        <v>1951</v>
      </c>
      <c r="J27" s="7" t="s">
        <v>1952</v>
      </c>
      <c r="K27" s="7" t="s">
        <v>1953</v>
      </c>
      <c r="L27" s="7" t="s">
        <v>1954</v>
      </c>
      <c r="M27" s="7" t="s">
        <v>1955</v>
      </c>
      <c r="N27" s="7" t="s">
        <v>1956</v>
      </c>
      <c r="O27" s="18" t="n">
        <v>79</v>
      </c>
      <c r="P27" s="7"/>
      <c r="Q27" s="7"/>
      <c r="R27" s="7" t="s">
        <v>1957</v>
      </c>
    </row>
    <row r="28" customFormat="false" ht="21.75" hidden="false" customHeight="true" outlineLevel="0" collapsed="false">
      <c r="B28" s="15" t="n">
        <v>24</v>
      </c>
      <c r="C28" s="9" t="s">
        <v>99</v>
      </c>
      <c r="D28" s="9" t="s">
        <v>1958</v>
      </c>
      <c r="E28" s="15" t="s">
        <v>24</v>
      </c>
      <c r="F28" s="9" t="s">
        <v>1959</v>
      </c>
      <c r="G28" s="9" t="s">
        <v>1949</v>
      </c>
      <c r="H28" s="9" t="s">
        <v>1960</v>
      </c>
      <c r="I28" s="9" t="s">
        <v>1961</v>
      </c>
      <c r="J28" s="9" t="s">
        <v>1962</v>
      </c>
      <c r="K28" s="9" t="s">
        <v>1963</v>
      </c>
      <c r="L28" s="9" t="s">
        <v>1954</v>
      </c>
      <c r="M28" s="9" t="s">
        <v>1964</v>
      </c>
      <c r="N28" s="9" t="s">
        <v>1965</v>
      </c>
      <c r="O28" s="19" t="n">
        <v>149</v>
      </c>
      <c r="P28" s="9"/>
      <c r="Q28" s="9"/>
      <c r="R28" s="9" t="s">
        <v>1966</v>
      </c>
    </row>
    <row r="29" customFormat="false" ht="21.75" hidden="false" customHeight="true" outlineLevel="0" collapsed="false">
      <c r="B29" s="14" t="n">
        <v>25</v>
      </c>
      <c r="C29" s="7" t="s">
        <v>99</v>
      </c>
      <c r="D29" s="7" t="s">
        <v>1967</v>
      </c>
      <c r="E29" s="14" t="s">
        <v>24</v>
      </c>
      <c r="F29" s="7" t="s">
        <v>1968</v>
      </c>
      <c r="G29" s="7" t="s">
        <v>1969</v>
      </c>
      <c r="H29" s="7" t="s">
        <v>1970</v>
      </c>
      <c r="I29" s="7" t="s">
        <v>1971</v>
      </c>
      <c r="J29" s="7" t="s">
        <v>1972</v>
      </c>
      <c r="K29" s="7" t="s">
        <v>1973</v>
      </c>
      <c r="L29" s="7" t="s">
        <v>1954</v>
      </c>
      <c r="M29" s="7" t="s">
        <v>1974</v>
      </c>
      <c r="N29" s="7" t="s">
        <v>1975</v>
      </c>
      <c r="O29" s="18" t="n">
        <v>199</v>
      </c>
      <c r="P29" s="7"/>
      <c r="Q29" s="7"/>
      <c r="R29" s="7" t="s">
        <v>1976</v>
      </c>
    </row>
    <row r="30" customFormat="false" ht="21.75" hidden="false" customHeight="true" outlineLevel="0" collapsed="false">
      <c r="B30" s="15" t="n">
        <v>26</v>
      </c>
      <c r="C30" s="9" t="s">
        <v>99</v>
      </c>
      <c r="D30" s="9" t="s">
        <v>1977</v>
      </c>
      <c r="E30" s="15" t="s">
        <v>24</v>
      </c>
      <c r="F30" s="9" t="s">
        <v>1978</v>
      </c>
      <c r="G30" s="9" t="s">
        <v>1949</v>
      </c>
      <c r="H30" s="9" t="s">
        <v>1979</v>
      </c>
      <c r="I30" s="9" t="s">
        <v>1980</v>
      </c>
      <c r="J30" s="9" t="s">
        <v>1972</v>
      </c>
      <c r="K30" s="9" t="s">
        <v>1953</v>
      </c>
      <c r="L30" s="9" t="s">
        <v>1954</v>
      </c>
      <c r="M30" s="9" t="s">
        <v>1981</v>
      </c>
      <c r="N30" s="9" t="s">
        <v>423</v>
      </c>
      <c r="O30" s="19" t="n">
        <v>179</v>
      </c>
      <c r="P30" s="9"/>
      <c r="Q30" s="9"/>
      <c r="R30" s="9" t="s">
        <v>1982</v>
      </c>
    </row>
    <row r="31" customFormat="false" ht="21.75" hidden="false" customHeight="true" outlineLevel="0" collapsed="false">
      <c r="B31" s="14" t="n">
        <v>27</v>
      </c>
      <c r="C31" s="7" t="s">
        <v>99</v>
      </c>
      <c r="D31" s="7" t="s">
        <v>1947</v>
      </c>
      <c r="E31" s="14" t="s">
        <v>18</v>
      </c>
      <c r="F31" s="7" t="s">
        <v>1983</v>
      </c>
      <c r="G31" s="7" t="s">
        <v>1984</v>
      </c>
      <c r="H31" s="7" t="s">
        <v>1985</v>
      </c>
      <c r="I31" s="7" t="s">
        <v>1986</v>
      </c>
      <c r="J31" s="7" t="s">
        <v>1987</v>
      </c>
      <c r="K31" s="7" t="s">
        <v>1953</v>
      </c>
      <c r="L31" s="7" t="s">
        <v>1988</v>
      </c>
      <c r="M31" s="7" t="s">
        <v>1989</v>
      </c>
      <c r="N31" s="7" t="s">
        <v>1990</v>
      </c>
      <c r="O31" s="18" t="n">
        <v>549</v>
      </c>
      <c r="P31" s="7"/>
      <c r="Q31" s="7"/>
      <c r="R31" s="7" t="s">
        <v>1991</v>
      </c>
    </row>
    <row r="32" customFormat="false" ht="21.75" hidden="false" customHeight="true" outlineLevel="0" collapsed="false">
      <c r="B32" s="15" t="n">
        <v>28</v>
      </c>
      <c r="C32" s="9" t="s">
        <v>99</v>
      </c>
      <c r="D32" s="9" t="s">
        <v>1947</v>
      </c>
      <c r="E32" s="15" t="s">
        <v>18</v>
      </c>
      <c r="F32" s="9" t="s">
        <v>1992</v>
      </c>
      <c r="G32" s="9" t="s">
        <v>1993</v>
      </c>
      <c r="H32" s="9" t="s">
        <v>1994</v>
      </c>
      <c r="I32" s="9" t="s">
        <v>1995</v>
      </c>
      <c r="J32" s="9" t="s">
        <v>1996</v>
      </c>
      <c r="K32" s="9" t="s">
        <v>1997</v>
      </c>
      <c r="L32" s="9" t="s">
        <v>1998</v>
      </c>
      <c r="M32" s="9" t="s">
        <v>1999</v>
      </c>
      <c r="N32" s="9" t="s">
        <v>2000</v>
      </c>
      <c r="O32" s="19" t="n">
        <v>2999</v>
      </c>
      <c r="P32" s="9"/>
      <c r="Q32" s="9"/>
      <c r="R32" s="9" t="s">
        <v>2001</v>
      </c>
    </row>
    <row r="33" customFormat="false" ht="21.75" hidden="false" customHeight="true" outlineLevel="0" collapsed="false">
      <c r="B33" s="14" t="n">
        <v>29</v>
      </c>
      <c r="C33" s="7" t="s">
        <v>100</v>
      </c>
      <c r="D33" s="7" t="s">
        <v>2002</v>
      </c>
      <c r="E33" s="14" t="s">
        <v>27</v>
      </c>
      <c r="F33" s="7" t="s">
        <v>2003</v>
      </c>
      <c r="G33" s="7" t="s">
        <v>2004</v>
      </c>
      <c r="H33" s="7" t="s">
        <v>2005</v>
      </c>
      <c r="I33" s="7" t="s">
        <v>2006</v>
      </c>
      <c r="J33" s="7" t="s">
        <v>2007</v>
      </c>
      <c r="K33" s="7" t="s">
        <v>1783</v>
      </c>
      <c r="L33" s="7" t="s">
        <v>2008</v>
      </c>
      <c r="M33" s="7" t="s">
        <v>2009</v>
      </c>
      <c r="N33" s="7" t="s">
        <v>1824</v>
      </c>
      <c r="O33" s="18" t="n">
        <v>99</v>
      </c>
      <c r="P33" s="7"/>
      <c r="Q33" s="7"/>
      <c r="R33" s="7" t="s">
        <v>2010</v>
      </c>
    </row>
    <row r="34" customFormat="false" ht="21.75" hidden="false" customHeight="true" outlineLevel="0" collapsed="false">
      <c r="B34" s="15" t="n">
        <v>30</v>
      </c>
      <c r="C34" s="9" t="s">
        <v>100</v>
      </c>
      <c r="D34" s="9" t="s">
        <v>2011</v>
      </c>
      <c r="E34" s="15" t="s">
        <v>27</v>
      </c>
      <c r="F34" s="9" t="s">
        <v>2012</v>
      </c>
      <c r="G34" s="9" t="s">
        <v>2004</v>
      </c>
      <c r="H34" s="9" t="s">
        <v>2005</v>
      </c>
      <c r="I34" s="9" t="s">
        <v>2013</v>
      </c>
      <c r="J34" s="9" t="s">
        <v>2007</v>
      </c>
      <c r="K34" s="9" t="s">
        <v>1783</v>
      </c>
      <c r="L34" s="9" t="s">
        <v>2008</v>
      </c>
      <c r="M34" s="9" t="s">
        <v>2014</v>
      </c>
      <c r="N34" s="9" t="s">
        <v>554</v>
      </c>
      <c r="O34" s="19" t="n">
        <v>109</v>
      </c>
      <c r="P34" s="9"/>
      <c r="Q34" s="9"/>
      <c r="R34" s="9" t="s">
        <v>2015</v>
      </c>
    </row>
    <row r="35" customFormat="false" ht="21.75" hidden="false" customHeight="true" outlineLevel="0" collapsed="false">
      <c r="B35" s="14" t="n">
        <v>31</v>
      </c>
      <c r="C35" s="7" t="s">
        <v>100</v>
      </c>
      <c r="D35" s="7" t="s">
        <v>2016</v>
      </c>
      <c r="E35" s="14" t="s">
        <v>24</v>
      </c>
      <c r="F35" s="7" t="s">
        <v>2017</v>
      </c>
      <c r="G35" s="7" t="s">
        <v>2018</v>
      </c>
      <c r="H35" s="7" t="s">
        <v>2005</v>
      </c>
      <c r="I35" s="7" t="s">
        <v>2019</v>
      </c>
      <c r="J35" s="7" t="s">
        <v>2007</v>
      </c>
      <c r="K35" s="7" t="s">
        <v>1783</v>
      </c>
      <c r="L35" s="7" t="s">
        <v>2008</v>
      </c>
      <c r="M35" s="7" t="s">
        <v>2020</v>
      </c>
      <c r="N35" s="7" t="s">
        <v>1816</v>
      </c>
      <c r="O35" s="18" t="n">
        <v>139</v>
      </c>
      <c r="P35" s="7"/>
      <c r="Q35" s="7"/>
      <c r="R35" s="7" t="s">
        <v>2021</v>
      </c>
    </row>
    <row r="36" customFormat="false" ht="21.75" hidden="false" customHeight="true" outlineLevel="0" collapsed="false">
      <c r="B36" s="15" t="n">
        <v>32</v>
      </c>
      <c r="C36" s="9" t="s">
        <v>100</v>
      </c>
      <c r="D36" s="9" t="s">
        <v>2022</v>
      </c>
      <c r="E36" s="15" t="s">
        <v>24</v>
      </c>
      <c r="F36" s="9" t="s">
        <v>2023</v>
      </c>
      <c r="G36" s="9" t="s">
        <v>2024</v>
      </c>
      <c r="H36" s="9" t="s">
        <v>2025</v>
      </c>
      <c r="I36" s="9" t="s">
        <v>2026</v>
      </c>
      <c r="J36" s="9" t="s">
        <v>2027</v>
      </c>
      <c r="K36" s="9" t="s">
        <v>1783</v>
      </c>
      <c r="L36" s="9" t="s">
        <v>2008</v>
      </c>
      <c r="M36" s="9" t="s">
        <v>2028</v>
      </c>
      <c r="N36" s="9" t="s">
        <v>2029</v>
      </c>
      <c r="O36" s="19" t="n">
        <v>189</v>
      </c>
      <c r="P36" s="9"/>
      <c r="Q36" s="9"/>
      <c r="R36" s="9" t="s">
        <v>2030</v>
      </c>
    </row>
    <row r="37" customFormat="false" ht="21.75" hidden="false" customHeight="true" outlineLevel="0" collapsed="false">
      <c r="B37" s="14" t="n">
        <v>33</v>
      </c>
      <c r="C37" s="7" t="s">
        <v>100</v>
      </c>
      <c r="D37" s="7" t="s">
        <v>2031</v>
      </c>
      <c r="E37" s="14" t="s">
        <v>24</v>
      </c>
      <c r="F37" s="7" t="s">
        <v>2032</v>
      </c>
      <c r="G37" s="7" t="s">
        <v>2033</v>
      </c>
      <c r="H37" s="7" t="s">
        <v>2034</v>
      </c>
      <c r="I37" s="7" t="s">
        <v>2035</v>
      </c>
      <c r="J37" s="7" t="s">
        <v>2027</v>
      </c>
      <c r="K37" s="7" t="s">
        <v>1783</v>
      </c>
      <c r="L37" s="7" t="s">
        <v>2008</v>
      </c>
      <c r="M37" s="7" t="s">
        <v>2036</v>
      </c>
      <c r="N37" s="7" t="s">
        <v>1965</v>
      </c>
      <c r="O37" s="18" t="n">
        <v>249</v>
      </c>
      <c r="P37" s="7"/>
      <c r="Q37" s="7"/>
      <c r="R37" s="7" t="s">
        <v>2037</v>
      </c>
    </row>
    <row r="38" customFormat="false" ht="21.75" hidden="false" customHeight="true" outlineLevel="0" collapsed="false">
      <c r="B38" s="15" t="n">
        <v>34</v>
      </c>
      <c r="C38" s="9" t="s">
        <v>101</v>
      </c>
      <c r="D38" s="9" t="s">
        <v>1947</v>
      </c>
      <c r="E38" s="15" t="s">
        <v>18</v>
      </c>
      <c r="F38" s="9" t="s">
        <v>2038</v>
      </c>
      <c r="G38" s="9" t="s">
        <v>2039</v>
      </c>
      <c r="H38" s="9" t="s">
        <v>2040</v>
      </c>
      <c r="I38" s="9" t="s">
        <v>2041</v>
      </c>
      <c r="J38" s="9" t="s">
        <v>2042</v>
      </c>
      <c r="K38" s="9" t="s">
        <v>281</v>
      </c>
      <c r="L38" s="9" t="s">
        <v>2043</v>
      </c>
      <c r="M38" s="9" t="s">
        <v>2044</v>
      </c>
      <c r="N38" s="9" t="s">
        <v>2045</v>
      </c>
      <c r="O38" s="19" t="n">
        <v>299</v>
      </c>
      <c r="P38" s="9"/>
      <c r="Q38" s="9"/>
      <c r="R38" s="9" t="s">
        <v>2046</v>
      </c>
    </row>
    <row r="39" customFormat="false" ht="21.75" hidden="false" customHeight="true" outlineLevel="0" collapsed="false">
      <c r="B39" s="14" t="n">
        <v>35</v>
      </c>
      <c r="C39" s="7" t="s">
        <v>101</v>
      </c>
      <c r="D39" s="7" t="s">
        <v>2047</v>
      </c>
      <c r="E39" s="14" t="s">
        <v>24</v>
      </c>
      <c r="F39" s="7" t="s">
        <v>2048</v>
      </c>
      <c r="G39" s="7" t="s">
        <v>2039</v>
      </c>
      <c r="H39" s="7" t="s">
        <v>2049</v>
      </c>
      <c r="I39" s="7" t="s">
        <v>2050</v>
      </c>
      <c r="J39" s="7" t="s">
        <v>2051</v>
      </c>
      <c r="K39" s="7" t="s">
        <v>281</v>
      </c>
      <c r="L39" s="7" t="s">
        <v>2043</v>
      </c>
      <c r="M39" s="7" t="s">
        <v>2052</v>
      </c>
      <c r="N39" s="7" t="s">
        <v>2053</v>
      </c>
      <c r="O39" s="18" t="n">
        <v>259</v>
      </c>
      <c r="P39" s="7"/>
      <c r="Q39" s="7"/>
      <c r="R39" s="7" t="s">
        <v>2054</v>
      </c>
    </row>
    <row r="40" customFormat="false" ht="21.75" hidden="false" customHeight="true" outlineLevel="0" collapsed="false">
      <c r="B40" s="15" t="n">
        <v>36</v>
      </c>
      <c r="C40" s="9" t="s">
        <v>101</v>
      </c>
      <c r="D40" s="9" t="s">
        <v>2055</v>
      </c>
      <c r="E40" s="15" t="s">
        <v>24</v>
      </c>
      <c r="F40" s="9" t="s">
        <v>2056</v>
      </c>
      <c r="G40" s="9" t="s">
        <v>2057</v>
      </c>
      <c r="H40" s="9" t="s">
        <v>2058</v>
      </c>
      <c r="I40" s="9" t="s">
        <v>2059</v>
      </c>
      <c r="J40" s="9" t="s">
        <v>2060</v>
      </c>
      <c r="K40" s="9" t="s">
        <v>281</v>
      </c>
      <c r="L40" s="9" t="s">
        <v>2043</v>
      </c>
      <c r="M40" s="9" t="s">
        <v>2061</v>
      </c>
      <c r="N40" s="9" t="s">
        <v>2062</v>
      </c>
      <c r="O40" s="19" t="n">
        <v>189</v>
      </c>
      <c r="P40" s="9"/>
      <c r="Q40" s="9"/>
      <c r="R40" s="9" t="s">
        <v>2063</v>
      </c>
    </row>
    <row r="41" customFormat="false" ht="21.75" hidden="false" customHeight="true" outlineLevel="0" collapsed="false">
      <c r="B41" s="14" t="n">
        <v>37</v>
      </c>
      <c r="C41" s="7" t="s">
        <v>101</v>
      </c>
      <c r="D41" s="7" t="s">
        <v>2064</v>
      </c>
      <c r="E41" s="14" t="s">
        <v>27</v>
      </c>
      <c r="F41" s="7" t="s">
        <v>2065</v>
      </c>
      <c r="G41" s="7" t="s">
        <v>2066</v>
      </c>
      <c r="H41" s="7" t="s">
        <v>2067</v>
      </c>
      <c r="I41" s="7" t="s">
        <v>2068</v>
      </c>
      <c r="J41" s="7" t="s">
        <v>2069</v>
      </c>
      <c r="K41" s="7" t="s">
        <v>281</v>
      </c>
      <c r="L41" s="7" t="s">
        <v>2070</v>
      </c>
      <c r="M41" s="7" t="s">
        <v>2071</v>
      </c>
      <c r="N41" s="7" t="s">
        <v>2072</v>
      </c>
      <c r="O41" s="18" t="n">
        <v>179</v>
      </c>
      <c r="P41" s="7"/>
      <c r="Q41" s="7"/>
      <c r="R41" s="7" t="s">
        <v>2073</v>
      </c>
    </row>
    <row r="42" customFormat="false" ht="21.75" hidden="false" customHeight="true" outlineLevel="0" collapsed="false">
      <c r="B42" s="15" t="n">
        <v>38</v>
      </c>
      <c r="C42" s="9" t="s">
        <v>101</v>
      </c>
      <c r="D42" s="9" t="s">
        <v>2074</v>
      </c>
      <c r="E42" s="15" t="s">
        <v>18</v>
      </c>
      <c r="F42" s="9" t="s">
        <v>2075</v>
      </c>
      <c r="G42" s="9" t="s">
        <v>2076</v>
      </c>
      <c r="H42" s="9" t="s">
        <v>2077</v>
      </c>
      <c r="I42" s="9" t="s">
        <v>2078</v>
      </c>
      <c r="J42" s="9" t="s">
        <v>2079</v>
      </c>
      <c r="K42" s="9" t="s">
        <v>281</v>
      </c>
      <c r="L42" s="9" t="s">
        <v>2080</v>
      </c>
      <c r="M42" s="9" t="s">
        <v>2081</v>
      </c>
      <c r="N42" s="9" t="s">
        <v>2082</v>
      </c>
      <c r="O42" s="19" t="n">
        <v>1149</v>
      </c>
      <c r="P42" s="9"/>
      <c r="Q42" s="9"/>
      <c r="R42" s="9" t="s">
        <v>2083</v>
      </c>
    </row>
    <row r="43" customFormat="false" ht="21.75" hidden="false" customHeight="true" outlineLevel="0" collapsed="false">
      <c r="B43" s="14" t="n">
        <v>39</v>
      </c>
      <c r="C43" s="7" t="s">
        <v>102</v>
      </c>
      <c r="D43" s="7" t="s">
        <v>2084</v>
      </c>
      <c r="E43" s="14" t="s">
        <v>18</v>
      </c>
      <c r="F43" s="7" t="s">
        <v>2085</v>
      </c>
      <c r="G43" s="7" t="s">
        <v>2086</v>
      </c>
      <c r="H43" s="7" t="s">
        <v>2087</v>
      </c>
      <c r="I43" s="7" t="s">
        <v>2088</v>
      </c>
      <c r="J43" s="7" t="s">
        <v>2089</v>
      </c>
      <c r="K43" s="7" t="s">
        <v>281</v>
      </c>
      <c r="L43" s="7" t="s">
        <v>2090</v>
      </c>
      <c r="M43" s="7" t="s">
        <v>2091</v>
      </c>
      <c r="N43" s="7" t="s">
        <v>423</v>
      </c>
      <c r="O43" s="18" t="n">
        <v>189</v>
      </c>
      <c r="P43" s="7"/>
      <c r="Q43" s="7"/>
      <c r="R43" s="7" t="s">
        <v>2092</v>
      </c>
    </row>
    <row r="44" customFormat="false" ht="21.75" hidden="false" customHeight="true" outlineLevel="0" collapsed="false">
      <c r="B44" s="15" t="n">
        <v>40</v>
      </c>
      <c r="C44" s="9" t="s">
        <v>102</v>
      </c>
      <c r="D44" s="9" t="s">
        <v>2064</v>
      </c>
      <c r="E44" s="15" t="s">
        <v>27</v>
      </c>
      <c r="F44" s="9" t="s">
        <v>2093</v>
      </c>
      <c r="G44" s="9" t="s">
        <v>2094</v>
      </c>
      <c r="H44" s="9" t="s">
        <v>2095</v>
      </c>
      <c r="I44" s="9" t="s">
        <v>2096</v>
      </c>
      <c r="J44" s="9" t="s">
        <v>2097</v>
      </c>
      <c r="K44" s="9" t="s">
        <v>281</v>
      </c>
      <c r="L44" s="9" t="s">
        <v>2098</v>
      </c>
      <c r="M44" s="9" t="s">
        <v>2091</v>
      </c>
      <c r="N44" s="9" t="s">
        <v>2099</v>
      </c>
      <c r="O44" s="19" t="n">
        <v>79</v>
      </c>
      <c r="P44" s="9"/>
      <c r="Q44" s="9"/>
      <c r="R44" s="9" t="s">
        <v>2100</v>
      </c>
    </row>
    <row r="45" customFormat="false" ht="21.75" hidden="false" customHeight="true" outlineLevel="0" collapsed="false">
      <c r="B45" s="14" t="n">
        <v>41</v>
      </c>
      <c r="C45" s="7" t="s">
        <v>102</v>
      </c>
      <c r="D45" s="7" t="s">
        <v>2064</v>
      </c>
      <c r="E45" s="14" t="s">
        <v>27</v>
      </c>
      <c r="F45" s="7" t="s">
        <v>2101</v>
      </c>
      <c r="G45" s="7" t="s">
        <v>2102</v>
      </c>
      <c r="H45" s="7" t="s">
        <v>2103</v>
      </c>
      <c r="I45" s="7" t="s">
        <v>2104</v>
      </c>
      <c r="J45" s="7" t="s">
        <v>2105</v>
      </c>
      <c r="K45" s="7" t="s">
        <v>281</v>
      </c>
      <c r="L45" s="7" t="s">
        <v>2098</v>
      </c>
      <c r="M45" s="7" t="s">
        <v>2091</v>
      </c>
      <c r="N45" s="7" t="s">
        <v>2106</v>
      </c>
      <c r="O45" s="18" t="n">
        <v>89</v>
      </c>
      <c r="P45" s="7"/>
      <c r="Q45" s="7"/>
      <c r="R45" s="7" t="s">
        <v>2107</v>
      </c>
    </row>
    <row r="46" customFormat="false" ht="21.75" hidden="false" customHeight="true" outlineLevel="0" collapsed="false">
      <c r="B46" s="15" t="n">
        <v>42</v>
      </c>
      <c r="C46" s="9" t="s">
        <v>102</v>
      </c>
      <c r="D46" s="9" t="s">
        <v>1889</v>
      </c>
      <c r="E46" s="15" t="s">
        <v>27</v>
      </c>
      <c r="F46" s="9" t="s">
        <v>2108</v>
      </c>
      <c r="G46" s="9" t="s">
        <v>2109</v>
      </c>
      <c r="H46" s="9" t="s">
        <v>2110</v>
      </c>
      <c r="I46" s="9" t="s">
        <v>2111</v>
      </c>
      <c r="J46" s="9" t="s">
        <v>2112</v>
      </c>
      <c r="K46" s="9" t="s">
        <v>2113</v>
      </c>
      <c r="L46" s="9" t="s">
        <v>1895</v>
      </c>
      <c r="M46" s="9" t="s">
        <v>2114</v>
      </c>
      <c r="N46" s="9" t="s">
        <v>2115</v>
      </c>
      <c r="O46" s="19" t="n">
        <v>49</v>
      </c>
      <c r="P46" s="9"/>
      <c r="Q46" s="9"/>
      <c r="R46" s="9" t="s">
        <v>2116</v>
      </c>
    </row>
    <row r="47" customFormat="false" ht="21.75" hidden="false" customHeight="true" outlineLevel="0" collapsed="false">
      <c r="B47" s="14" t="n">
        <v>43</v>
      </c>
      <c r="C47" s="7" t="s">
        <v>102</v>
      </c>
      <c r="D47" s="7" t="s">
        <v>2117</v>
      </c>
      <c r="E47" s="14" t="s">
        <v>18</v>
      </c>
      <c r="F47" s="7" t="s">
        <v>2118</v>
      </c>
      <c r="G47" s="7" t="s">
        <v>2119</v>
      </c>
      <c r="H47" s="7" t="s">
        <v>2120</v>
      </c>
      <c r="I47" s="7" t="s">
        <v>2121</v>
      </c>
      <c r="J47" s="7" t="s">
        <v>2122</v>
      </c>
      <c r="K47" s="7" t="s">
        <v>281</v>
      </c>
      <c r="L47" s="7" t="s">
        <v>1902</v>
      </c>
      <c r="M47" s="7" t="s">
        <v>2123</v>
      </c>
      <c r="N47" s="7" t="s">
        <v>358</v>
      </c>
      <c r="O47" s="18" t="n">
        <v>59</v>
      </c>
      <c r="P47" s="7"/>
      <c r="Q47" s="7"/>
      <c r="R47" s="7" t="s">
        <v>2124</v>
      </c>
    </row>
    <row r="48" customFormat="false" ht="21.75" hidden="false" customHeight="true" outlineLevel="0" collapsed="false">
      <c r="B48" s="15" t="n">
        <v>44</v>
      </c>
      <c r="C48" s="9" t="s">
        <v>102</v>
      </c>
      <c r="D48" s="9" t="s">
        <v>2064</v>
      </c>
      <c r="E48" s="15" t="s">
        <v>27</v>
      </c>
      <c r="F48" s="9" t="s">
        <v>2125</v>
      </c>
      <c r="G48" s="9" t="s">
        <v>2126</v>
      </c>
      <c r="H48" s="9" t="s">
        <v>2127</v>
      </c>
      <c r="I48" s="9" t="s">
        <v>2128</v>
      </c>
      <c r="J48" s="9" t="s">
        <v>2129</v>
      </c>
      <c r="K48" s="9" t="s">
        <v>281</v>
      </c>
      <c r="L48" s="9" t="s">
        <v>281</v>
      </c>
      <c r="M48" s="9" t="s">
        <v>2130</v>
      </c>
      <c r="N48" s="9" t="s">
        <v>2115</v>
      </c>
      <c r="O48" s="19" t="n">
        <v>19</v>
      </c>
      <c r="P48" s="9"/>
      <c r="Q48" s="9"/>
      <c r="R48" s="9" t="s">
        <v>2131</v>
      </c>
    </row>
    <row r="49" customFormat="false" ht="21.75" hidden="false" customHeight="true" outlineLevel="0" collapsed="false">
      <c r="B49" s="14" t="n">
        <v>45</v>
      </c>
      <c r="C49" s="7" t="s">
        <v>103</v>
      </c>
      <c r="D49" s="7" t="s">
        <v>51</v>
      </c>
      <c r="E49" s="14" t="s">
        <v>27</v>
      </c>
      <c r="F49" s="7" t="s">
        <v>2132</v>
      </c>
      <c r="G49" s="7" t="s">
        <v>2133</v>
      </c>
      <c r="H49" s="7" t="s">
        <v>2134</v>
      </c>
      <c r="I49" s="7" t="s">
        <v>2135</v>
      </c>
      <c r="J49" s="7" t="s">
        <v>2136</v>
      </c>
      <c r="K49" s="7" t="s">
        <v>281</v>
      </c>
      <c r="L49" s="7" t="s">
        <v>2137</v>
      </c>
      <c r="M49" s="7" t="s">
        <v>2138</v>
      </c>
      <c r="N49" s="7" t="s">
        <v>2139</v>
      </c>
      <c r="O49" s="18" t="n">
        <v>12</v>
      </c>
      <c r="P49" s="7"/>
      <c r="Q49" s="7"/>
      <c r="R49" s="7" t="s">
        <v>2140</v>
      </c>
    </row>
    <row r="50" customFormat="false" ht="21.75" hidden="false" customHeight="true" outlineLevel="0" collapsed="false">
      <c r="B50" s="15" t="n">
        <v>46</v>
      </c>
      <c r="C50" s="9" t="s">
        <v>103</v>
      </c>
      <c r="D50" s="9" t="s">
        <v>52</v>
      </c>
      <c r="E50" s="15" t="s">
        <v>27</v>
      </c>
      <c r="F50" s="9" t="s">
        <v>2141</v>
      </c>
      <c r="G50" s="9" t="s">
        <v>2142</v>
      </c>
      <c r="H50" s="9" t="s">
        <v>2143</v>
      </c>
      <c r="I50" s="9" t="s">
        <v>2144</v>
      </c>
      <c r="J50" s="9" t="s">
        <v>2145</v>
      </c>
      <c r="K50" s="9" t="s">
        <v>281</v>
      </c>
      <c r="L50" s="9" t="s">
        <v>2043</v>
      </c>
      <c r="M50" s="9" t="s">
        <v>2146</v>
      </c>
      <c r="N50" s="9" t="s">
        <v>2115</v>
      </c>
      <c r="O50" s="19" t="n">
        <v>15</v>
      </c>
      <c r="P50" s="9"/>
      <c r="Q50" s="9"/>
      <c r="R50" s="9" t="s">
        <v>2147</v>
      </c>
    </row>
    <row r="51" customFormat="false" ht="21.75" hidden="false" customHeight="true" outlineLevel="0" collapsed="false">
      <c r="B51" s="14" t="n">
        <v>47</v>
      </c>
      <c r="C51" s="7" t="s">
        <v>103</v>
      </c>
      <c r="D51" s="7" t="s">
        <v>40</v>
      </c>
      <c r="E51" s="14" t="s">
        <v>18</v>
      </c>
      <c r="F51" s="7" t="s">
        <v>2148</v>
      </c>
      <c r="G51" s="7" t="s">
        <v>2149</v>
      </c>
      <c r="H51" s="7" t="s">
        <v>2150</v>
      </c>
      <c r="I51" s="7" t="s">
        <v>2151</v>
      </c>
      <c r="J51" s="7" t="s">
        <v>2152</v>
      </c>
      <c r="K51" s="7" t="s">
        <v>281</v>
      </c>
      <c r="L51" s="7" t="s">
        <v>2137</v>
      </c>
      <c r="M51" s="7" t="s">
        <v>2153</v>
      </c>
      <c r="N51" s="7" t="s">
        <v>2154</v>
      </c>
      <c r="O51" s="18" t="n">
        <v>39</v>
      </c>
      <c r="P51" s="7"/>
      <c r="Q51" s="7"/>
      <c r="R51" s="7" t="s">
        <v>2155</v>
      </c>
    </row>
    <row r="52" customFormat="false" ht="21.75" hidden="false" customHeight="true" outlineLevel="0" collapsed="false">
      <c r="B52" s="15" t="n">
        <v>48</v>
      </c>
      <c r="C52" s="9" t="s">
        <v>103</v>
      </c>
      <c r="D52" s="9" t="s">
        <v>40</v>
      </c>
      <c r="E52" s="15" t="s">
        <v>18</v>
      </c>
      <c r="F52" s="9" t="s">
        <v>2156</v>
      </c>
      <c r="G52" s="9" t="s">
        <v>2157</v>
      </c>
      <c r="H52" s="9" t="s">
        <v>2158</v>
      </c>
      <c r="I52" s="9" t="s">
        <v>2159</v>
      </c>
      <c r="J52" s="9" t="s">
        <v>2160</v>
      </c>
      <c r="K52" s="9" t="s">
        <v>2161</v>
      </c>
      <c r="L52" s="9" t="s">
        <v>2162</v>
      </c>
      <c r="M52" s="9" t="s">
        <v>2163</v>
      </c>
      <c r="N52" s="9" t="s">
        <v>2164</v>
      </c>
      <c r="O52" s="19" t="n">
        <v>229</v>
      </c>
      <c r="P52" s="9"/>
      <c r="Q52" s="9"/>
      <c r="R52" s="9" t="s">
        <v>2165</v>
      </c>
    </row>
    <row r="53" customFormat="false" ht="21.75" hidden="false" customHeight="true" outlineLevel="0" collapsed="false">
      <c r="B53" s="14" t="n">
        <v>49</v>
      </c>
      <c r="C53" s="7" t="s">
        <v>103</v>
      </c>
      <c r="D53" s="7" t="s">
        <v>2064</v>
      </c>
      <c r="E53" s="14" t="s">
        <v>27</v>
      </c>
      <c r="F53" s="7" t="s">
        <v>2166</v>
      </c>
      <c r="G53" s="7" t="s">
        <v>2167</v>
      </c>
      <c r="H53" s="7" t="s">
        <v>2168</v>
      </c>
      <c r="I53" s="7" t="s">
        <v>2169</v>
      </c>
      <c r="J53" s="7" t="s">
        <v>2170</v>
      </c>
      <c r="K53" s="7" t="s">
        <v>2171</v>
      </c>
      <c r="L53" s="7" t="s">
        <v>2043</v>
      </c>
      <c r="M53" s="7" t="s">
        <v>2172</v>
      </c>
      <c r="N53" s="7" t="s">
        <v>2173</v>
      </c>
      <c r="O53" s="18" t="n">
        <v>29</v>
      </c>
      <c r="P53" s="7"/>
      <c r="Q53" s="7"/>
      <c r="R53" s="7" t="s">
        <v>2174</v>
      </c>
    </row>
    <row r="54" customFormat="false" ht="21.75" hidden="false" customHeight="true" outlineLevel="0" collapsed="false">
      <c r="B54" s="15" t="n">
        <v>50</v>
      </c>
      <c r="C54" s="9" t="s">
        <v>103</v>
      </c>
      <c r="D54" s="9" t="s">
        <v>2175</v>
      </c>
      <c r="E54" s="15" t="s">
        <v>24</v>
      </c>
      <c r="F54" s="9" t="s">
        <v>2176</v>
      </c>
      <c r="G54" s="9" t="s">
        <v>2177</v>
      </c>
      <c r="H54" s="9" t="s">
        <v>2178</v>
      </c>
      <c r="I54" s="9" t="s">
        <v>2179</v>
      </c>
      <c r="J54" s="9" t="s">
        <v>2180</v>
      </c>
      <c r="K54" s="9" t="s">
        <v>281</v>
      </c>
      <c r="L54" s="9" t="s">
        <v>2181</v>
      </c>
      <c r="M54" s="9" t="s">
        <v>2182</v>
      </c>
      <c r="N54" s="9" t="s">
        <v>2183</v>
      </c>
      <c r="O54" s="19" t="n">
        <v>99</v>
      </c>
      <c r="P54" s="9"/>
      <c r="Q54" s="9"/>
      <c r="R54" s="9" t="s">
        <v>2184</v>
      </c>
    </row>
    <row r="55" customFormat="false" ht="21.75" hidden="false" customHeight="true" outlineLevel="0" collapsed="false">
      <c r="B55" s="14" t="n">
        <v>51</v>
      </c>
      <c r="C55" s="7" t="s">
        <v>103</v>
      </c>
      <c r="D55" s="7" t="s">
        <v>2064</v>
      </c>
      <c r="E55" s="14" t="s">
        <v>27</v>
      </c>
      <c r="F55" s="7" t="s">
        <v>2185</v>
      </c>
      <c r="G55" s="7" t="s">
        <v>2186</v>
      </c>
      <c r="H55" s="7" t="s">
        <v>2187</v>
      </c>
      <c r="I55" s="7" t="s">
        <v>2188</v>
      </c>
      <c r="J55" s="7" t="s">
        <v>2189</v>
      </c>
      <c r="K55" s="7" t="s">
        <v>2190</v>
      </c>
      <c r="L55" s="7" t="s">
        <v>2162</v>
      </c>
      <c r="M55" s="7" t="s">
        <v>2191</v>
      </c>
      <c r="N55" s="7" t="s">
        <v>1347</v>
      </c>
      <c r="O55" s="18" t="n">
        <v>35</v>
      </c>
      <c r="P55" s="7"/>
      <c r="Q55" s="7"/>
      <c r="R55" s="7" t="s">
        <v>2192</v>
      </c>
    </row>
    <row r="56" customFormat="false" ht="21.75" hidden="false" customHeight="true" outlineLevel="0" collapsed="false">
      <c r="B56" s="15" t="n">
        <v>52</v>
      </c>
      <c r="C56" s="9" t="s">
        <v>104</v>
      </c>
      <c r="D56" s="9" t="s">
        <v>2064</v>
      </c>
      <c r="E56" s="15" t="s">
        <v>27</v>
      </c>
      <c r="F56" s="9" t="s">
        <v>2193</v>
      </c>
      <c r="G56" s="9" t="s">
        <v>2194</v>
      </c>
      <c r="H56" s="9" t="s">
        <v>2195</v>
      </c>
      <c r="I56" s="9" t="s">
        <v>2196</v>
      </c>
      <c r="J56" s="9" t="s">
        <v>2197</v>
      </c>
      <c r="K56" s="9" t="s">
        <v>2198</v>
      </c>
      <c r="L56" s="9" t="s">
        <v>2199</v>
      </c>
      <c r="M56" s="9" t="s">
        <v>2200</v>
      </c>
      <c r="N56" s="9" t="s">
        <v>2201</v>
      </c>
      <c r="O56" s="19" t="n">
        <v>19</v>
      </c>
      <c r="P56" s="9"/>
      <c r="Q56" s="9"/>
      <c r="R56" s="9" t="s">
        <v>2202</v>
      </c>
    </row>
    <row r="57" customFormat="false" ht="21.75" hidden="false" customHeight="true" outlineLevel="0" collapsed="false">
      <c r="B57" s="14" t="n">
        <v>53</v>
      </c>
      <c r="C57" s="7" t="s">
        <v>104</v>
      </c>
      <c r="D57" s="7" t="s">
        <v>2064</v>
      </c>
      <c r="E57" s="14" t="s">
        <v>27</v>
      </c>
      <c r="F57" s="7" t="s">
        <v>2203</v>
      </c>
      <c r="G57" s="7" t="s">
        <v>2204</v>
      </c>
      <c r="H57" s="7" t="s">
        <v>2205</v>
      </c>
      <c r="I57" s="7" t="s">
        <v>2206</v>
      </c>
      <c r="J57" s="7" t="s">
        <v>2197</v>
      </c>
      <c r="K57" s="7" t="s">
        <v>2198</v>
      </c>
      <c r="L57" s="7" t="s">
        <v>2207</v>
      </c>
      <c r="M57" s="7" t="s">
        <v>2208</v>
      </c>
      <c r="N57" s="7" t="s">
        <v>210</v>
      </c>
      <c r="O57" s="18" t="n">
        <v>29</v>
      </c>
      <c r="P57" s="7"/>
      <c r="Q57" s="7"/>
      <c r="R57" s="7" t="s">
        <v>2209</v>
      </c>
    </row>
    <row r="58" customFormat="false" ht="21.75" hidden="false" customHeight="true" outlineLevel="0" collapsed="false">
      <c r="B58" s="15" t="n">
        <v>54</v>
      </c>
      <c r="C58" s="9" t="s">
        <v>104</v>
      </c>
      <c r="D58" s="9" t="s">
        <v>1906</v>
      </c>
      <c r="E58" s="15" t="s">
        <v>24</v>
      </c>
      <c r="F58" s="9" t="s">
        <v>2210</v>
      </c>
      <c r="G58" s="9" t="s">
        <v>2211</v>
      </c>
      <c r="H58" s="9" t="s">
        <v>2212</v>
      </c>
      <c r="I58" s="9" t="s">
        <v>2213</v>
      </c>
      <c r="J58" s="9" t="s">
        <v>2214</v>
      </c>
      <c r="K58" s="9" t="s">
        <v>1783</v>
      </c>
      <c r="L58" s="9" t="s">
        <v>2215</v>
      </c>
      <c r="M58" s="9" t="s">
        <v>2216</v>
      </c>
      <c r="N58" s="9" t="s">
        <v>2217</v>
      </c>
      <c r="O58" s="19" t="n">
        <v>29</v>
      </c>
      <c r="P58" s="9"/>
      <c r="Q58" s="9"/>
      <c r="R58" s="9" t="s">
        <v>2218</v>
      </c>
    </row>
    <row r="59" customFormat="false" ht="21.75" hidden="false" customHeight="true" outlineLevel="0" collapsed="false">
      <c r="B59" s="14" t="n">
        <v>55</v>
      </c>
      <c r="C59" s="7" t="s">
        <v>104</v>
      </c>
      <c r="D59" s="7" t="s">
        <v>52</v>
      </c>
      <c r="E59" s="14" t="s">
        <v>24</v>
      </c>
      <c r="F59" s="7" t="s">
        <v>2219</v>
      </c>
      <c r="G59" s="7" t="s">
        <v>2220</v>
      </c>
      <c r="H59" s="7" t="s">
        <v>2221</v>
      </c>
      <c r="I59" s="7" t="s">
        <v>2222</v>
      </c>
      <c r="J59" s="7" t="s">
        <v>2223</v>
      </c>
      <c r="K59" s="7" t="s">
        <v>2224</v>
      </c>
      <c r="L59" s="7" t="s">
        <v>2225</v>
      </c>
      <c r="M59" s="7" t="s">
        <v>2226</v>
      </c>
      <c r="N59" s="7" t="s">
        <v>2227</v>
      </c>
      <c r="O59" s="18" t="n">
        <v>29</v>
      </c>
      <c r="P59" s="7"/>
      <c r="Q59" s="7"/>
      <c r="R59" s="7" t="s">
        <v>2228</v>
      </c>
    </row>
    <row r="60" customFormat="false" ht="21.75" hidden="false" customHeight="true" outlineLevel="0" collapsed="false">
      <c r="B60" s="15" t="n">
        <v>56</v>
      </c>
      <c r="C60" s="9" t="s">
        <v>104</v>
      </c>
      <c r="D60" s="9" t="s">
        <v>1889</v>
      </c>
      <c r="E60" s="15" t="s">
        <v>24</v>
      </c>
      <c r="F60" s="9" t="s">
        <v>2229</v>
      </c>
      <c r="G60" s="9" t="s">
        <v>2230</v>
      </c>
      <c r="H60" s="9" t="s">
        <v>2231</v>
      </c>
      <c r="I60" s="9" t="s">
        <v>2232</v>
      </c>
      <c r="J60" s="9" t="s">
        <v>2233</v>
      </c>
      <c r="K60" s="9" t="s">
        <v>1783</v>
      </c>
      <c r="L60" s="9" t="s">
        <v>2215</v>
      </c>
      <c r="M60" s="9" t="s">
        <v>2234</v>
      </c>
      <c r="N60" s="9" t="s">
        <v>2217</v>
      </c>
      <c r="O60" s="19" t="n">
        <v>19</v>
      </c>
      <c r="P60" s="9"/>
      <c r="Q60" s="9"/>
      <c r="R60" s="9" t="s">
        <v>2235</v>
      </c>
    </row>
    <row r="61" customFormat="false" ht="21.75" hidden="false" customHeight="true" outlineLevel="0" collapsed="false">
      <c r="B61" s="14" t="n">
        <v>57</v>
      </c>
      <c r="C61" s="7" t="s">
        <v>105</v>
      </c>
      <c r="D61" s="7" t="s">
        <v>2236</v>
      </c>
      <c r="E61" s="14" t="s">
        <v>18</v>
      </c>
      <c r="F61" s="7" t="s">
        <v>2237</v>
      </c>
      <c r="G61" s="7" t="s">
        <v>2238</v>
      </c>
      <c r="H61" s="7" t="s">
        <v>2239</v>
      </c>
      <c r="I61" s="7" t="s">
        <v>2240</v>
      </c>
      <c r="J61" s="7" t="s">
        <v>2241</v>
      </c>
      <c r="K61" s="7" t="s">
        <v>2242</v>
      </c>
      <c r="L61" s="7" t="s">
        <v>2243</v>
      </c>
      <c r="M61" s="7" t="s">
        <v>281</v>
      </c>
      <c r="N61" s="7" t="s">
        <v>281</v>
      </c>
      <c r="O61" s="18" t="n">
        <v>79</v>
      </c>
      <c r="P61" s="7"/>
      <c r="Q61" s="7"/>
      <c r="R61" s="7" t="s">
        <v>2244</v>
      </c>
    </row>
    <row r="62" customFormat="false" ht="21.75" hidden="false" customHeight="true" outlineLevel="0" collapsed="false">
      <c r="B62" s="15" t="n">
        <v>58</v>
      </c>
      <c r="C62" s="9" t="s">
        <v>105</v>
      </c>
      <c r="D62" s="9" t="s">
        <v>2236</v>
      </c>
      <c r="E62" s="15" t="s">
        <v>18</v>
      </c>
      <c r="F62" s="9" t="s">
        <v>2245</v>
      </c>
      <c r="G62" s="9" t="s">
        <v>2246</v>
      </c>
      <c r="H62" s="9" t="s">
        <v>2247</v>
      </c>
      <c r="I62" s="9" t="s">
        <v>2248</v>
      </c>
      <c r="J62" s="9" t="s">
        <v>2241</v>
      </c>
      <c r="K62" s="9" t="s">
        <v>2242</v>
      </c>
      <c r="L62" s="9" t="s">
        <v>2243</v>
      </c>
      <c r="M62" s="9" t="s">
        <v>281</v>
      </c>
      <c r="N62" s="9" t="s">
        <v>281</v>
      </c>
      <c r="O62" s="19" t="n">
        <v>129</v>
      </c>
      <c r="P62" s="9"/>
      <c r="Q62" s="9"/>
      <c r="R62" s="9" t="s">
        <v>2249</v>
      </c>
    </row>
    <row r="63" customFormat="false" ht="21.75" hidden="false" customHeight="true" outlineLevel="0" collapsed="false">
      <c r="B63" s="14" t="n">
        <v>59</v>
      </c>
      <c r="C63" s="7" t="s">
        <v>105</v>
      </c>
      <c r="D63" s="7" t="s">
        <v>40</v>
      </c>
      <c r="E63" s="14" t="s">
        <v>18</v>
      </c>
      <c r="F63" s="7" t="s">
        <v>2250</v>
      </c>
      <c r="G63" s="7" t="s">
        <v>2251</v>
      </c>
      <c r="H63" s="7" t="s">
        <v>2252</v>
      </c>
      <c r="I63" s="7" t="s">
        <v>2253</v>
      </c>
      <c r="J63" s="7" t="s">
        <v>2254</v>
      </c>
      <c r="K63" s="7" t="s">
        <v>2242</v>
      </c>
      <c r="L63" s="7" t="s">
        <v>2243</v>
      </c>
      <c r="M63" s="7" t="s">
        <v>281</v>
      </c>
      <c r="N63" s="7" t="s">
        <v>281</v>
      </c>
      <c r="O63" s="18" t="n">
        <v>99</v>
      </c>
      <c r="P63" s="7"/>
      <c r="Q63" s="7"/>
      <c r="R63" s="7" t="s">
        <v>2255</v>
      </c>
    </row>
    <row r="64" customFormat="false" ht="21.75" hidden="false" customHeight="true" outlineLevel="0" collapsed="false">
      <c r="B64" s="15" t="n">
        <v>60</v>
      </c>
      <c r="C64" s="9" t="s">
        <v>105</v>
      </c>
      <c r="D64" s="9" t="s">
        <v>42</v>
      </c>
      <c r="E64" s="15" t="s">
        <v>18</v>
      </c>
      <c r="F64" s="9" t="s">
        <v>2256</v>
      </c>
      <c r="G64" s="9" t="s">
        <v>2257</v>
      </c>
      <c r="H64" s="9" t="s">
        <v>2258</v>
      </c>
      <c r="I64" s="9" t="s">
        <v>2259</v>
      </c>
      <c r="J64" s="9" t="s">
        <v>2260</v>
      </c>
      <c r="K64" s="9" t="s">
        <v>2261</v>
      </c>
      <c r="L64" s="9" t="s">
        <v>2243</v>
      </c>
      <c r="M64" s="9" t="s">
        <v>281</v>
      </c>
      <c r="N64" s="9" t="s">
        <v>281</v>
      </c>
      <c r="O64" s="19" t="n">
        <v>99</v>
      </c>
      <c r="P64" s="9"/>
      <c r="Q64" s="9"/>
      <c r="R64" s="9" t="s">
        <v>2262</v>
      </c>
    </row>
    <row r="65" customFormat="false" ht="21.75" hidden="false" customHeight="true" outlineLevel="0" collapsed="false">
      <c r="B65" s="14" t="n">
        <v>61</v>
      </c>
      <c r="C65" s="7" t="s">
        <v>105</v>
      </c>
      <c r="D65" s="7" t="s">
        <v>51</v>
      </c>
      <c r="E65" s="14" t="s">
        <v>24</v>
      </c>
      <c r="F65" s="7" t="s">
        <v>2263</v>
      </c>
      <c r="G65" s="7" t="s">
        <v>2264</v>
      </c>
      <c r="H65" s="7" t="s">
        <v>2265</v>
      </c>
      <c r="I65" s="7" t="s">
        <v>2266</v>
      </c>
      <c r="J65" s="7" t="s">
        <v>2267</v>
      </c>
      <c r="K65" s="7" t="s">
        <v>2242</v>
      </c>
      <c r="L65" s="7" t="s">
        <v>2243</v>
      </c>
      <c r="M65" s="7" t="s">
        <v>281</v>
      </c>
      <c r="N65" s="7" t="s">
        <v>281</v>
      </c>
      <c r="O65" s="18" t="n">
        <v>549</v>
      </c>
      <c r="P65" s="7"/>
      <c r="Q65" s="7"/>
      <c r="R65" s="7" t="s">
        <v>2268</v>
      </c>
    </row>
    <row r="66" customFormat="false" ht="21.75" hidden="false" customHeight="true" outlineLevel="0" collapsed="false">
      <c r="B66" s="15" t="n">
        <v>62</v>
      </c>
      <c r="C66" s="9" t="s">
        <v>105</v>
      </c>
      <c r="D66" s="9" t="s">
        <v>2269</v>
      </c>
      <c r="E66" s="15" t="s">
        <v>27</v>
      </c>
      <c r="F66" s="9" t="s">
        <v>2270</v>
      </c>
      <c r="G66" s="9" t="s">
        <v>2271</v>
      </c>
      <c r="H66" s="9" t="s">
        <v>2272</v>
      </c>
      <c r="I66" s="9" t="s">
        <v>2273</v>
      </c>
      <c r="J66" s="9" t="s">
        <v>2274</v>
      </c>
      <c r="K66" s="9" t="s">
        <v>2275</v>
      </c>
      <c r="L66" s="9" t="s">
        <v>2243</v>
      </c>
      <c r="M66" s="9" t="s">
        <v>281</v>
      </c>
      <c r="N66" s="9" t="s">
        <v>281</v>
      </c>
      <c r="O66" s="19" t="n">
        <v>70</v>
      </c>
      <c r="P66" s="9"/>
      <c r="Q66" s="9"/>
      <c r="R66" s="9" t="s">
        <v>2276</v>
      </c>
    </row>
  </sheetData>
  <autoFilter ref="B4:R66"/>
  <mergeCells count="1">
    <mergeCell ref="B2:R2"/>
  </mergeCells>
  <dataValidations count="3">
    <dataValidation allowBlank="true" errorStyle="stop" operator="between" showDropDown="false" showErrorMessage="false" showInputMessage="false" sqref="C5:C66" type="list">
      <formula1>"NVR / DVR,Almacenamiento (HDD),Switch PoE,UPS,Monitor,Rack / Gabinete,Cableado y Conectores,Accesorios de Instalación,Alimentación / PoE,Software VMS"</formula1>
      <formula2>0</formula2>
    </dataValidation>
    <dataValidation allowBlank="true" errorStyle="stop" operator="between" showDropDown="false" showErrorMessage="false" showInputMessage="false" sqref="E5:E66" type="list">
      <formula1>"Premium,Medio,Económico"</formula1>
      <formula2>0</formula2>
    </dataValidation>
    <dataValidation allowBlank="true" errorStyle="stop" operator="between" showDropDown="false" showErrorMessage="false" showInputMessage="false" sqref="Q5:Q66" type="list">
      <formula1>"En stock,Bajo pedido,Agotado,Consultar"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E2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5" min="3" style="1" width="38"/>
  </cols>
  <sheetData>
    <row r="2" customFormat="false" ht="31.5" hidden="false" customHeight="true" outlineLevel="0" collapsed="false">
      <c r="B2" s="2" t="s">
        <v>2277</v>
      </c>
      <c r="C2" s="2"/>
      <c r="D2" s="2"/>
      <c r="E2" s="2"/>
    </row>
    <row r="3" customFormat="false" ht="7.5" hidden="false" customHeight="true" outlineLevel="0" collapsed="false"/>
    <row r="5" customFormat="false" ht="21.75" hidden="false" customHeight="true" outlineLevel="0" collapsed="false">
      <c r="B5" s="22" t="s">
        <v>2278</v>
      </c>
      <c r="C5" s="22"/>
      <c r="D5" s="22"/>
      <c r="E5" s="22"/>
    </row>
    <row r="6" customFormat="false" ht="13.5" hidden="false" customHeight="true" outlineLevel="0" collapsed="false">
      <c r="B6" s="23" t="s">
        <v>2279</v>
      </c>
      <c r="C6" s="23"/>
      <c r="D6" s="23"/>
      <c r="E6" s="23"/>
    </row>
    <row r="7" customFormat="false" ht="31.5" hidden="false" customHeight="true" outlineLevel="0" collapsed="false">
      <c r="B7" s="5" t="s">
        <v>2280</v>
      </c>
      <c r="C7" s="5" t="s">
        <v>2281</v>
      </c>
      <c r="D7" s="5" t="s">
        <v>2282</v>
      </c>
      <c r="E7" s="5" t="s">
        <v>2283</v>
      </c>
    </row>
    <row r="8" customFormat="false" ht="25.5" hidden="false" customHeight="true" outlineLevel="0" collapsed="false">
      <c r="B8" s="7" t="s">
        <v>16</v>
      </c>
      <c r="C8" s="11" t="s">
        <v>18</v>
      </c>
      <c r="D8" s="11" t="s">
        <v>24</v>
      </c>
      <c r="E8" s="11" t="s">
        <v>27</v>
      </c>
    </row>
    <row r="9" customFormat="false" ht="25.5" hidden="false" customHeight="true" outlineLevel="0" collapsed="false">
      <c r="B9" s="9" t="s">
        <v>2284</v>
      </c>
      <c r="C9" s="12" t="s">
        <v>157</v>
      </c>
      <c r="D9" s="12" t="s">
        <v>157</v>
      </c>
      <c r="E9" s="12" t="s">
        <v>157</v>
      </c>
    </row>
    <row r="10" customFormat="false" ht="25.5" hidden="false" customHeight="true" outlineLevel="0" collapsed="false">
      <c r="B10" s="7" t="s">
        <v>112</v>
      </c>
      <c r="C10" s="11" t="s">
        <v>158</v>
      </c>
      <c r="D10" s="11" t="s">
        <v>158</v>
      </c>
      <c r="E10" s="11" t="s">
        <v>158</v>
      </c>
    </row>
    <row r="11" customFormat="false" ht="25.5" hidden="false" customHeight="true" outlineLevel="0" collapsed="false">
      <c r="B11" s="9" t="s">
        <v>113</v>
      </c>
      <c r="C11" s="12" t="s">
        <v>138</v>
      </c>
      <c r="D11" s="12" t="s">
        <v>203</v>
      </c>
      <c r="E11" s="12" t="s">
        <v>468</v>
      </c>
    </row>
    <row r="12" customFormat="false" ht="25.5" hidden="false" customHeight="true" outlineLevel="0" collapsed="false">
      <c r="B12" s="7" t="s">
        <v>114</v>
      </c>
      <c r="C12" s="11" t="s">
        <v>139</v>
      </c>
      <c r="D12" s="11" t="s">
        <v>918</v>
      </c>
      <c r="E12" s="11" t="s">
        <v>1130</v>
      </c>
    </row>
    <row r="13" customFormat="false" ht="25.5" hidden="false" customHeight="true" outlineLevel="0" collapsed="false">
      <c r="B13" s="9" t="s">
        <v>115</v>
      </c>
      <c r="C13" s="12" t="s">
        <v>140</v>
      </c>
      <c r="D13" s="12" t="s">
        <v>205</v>
      </c>
      <c r="E13" s="12" t="s">
        <v>205</v>
      </c>
    </row>
    <row r="14" customFormat="false" ht="25.5" hidden="false" customHeight="true" outlineLevel="0" collapsed="false">
      <c r="B14" s="7" t="s">
        <v>116</v>
      </c>
      <c r="C14" s="11" t="s">
        <v>141</v>
      </c>
      <c r="D14" s="11" t="s">
        <v>326</v>
      </c>
      <c r="E14" s="11" t="s">
        <v>326</v>
      </c>
    </row>
    <row r="15" customFormat="false" ht="25.5" hidden="false" customHeight="true" outlineLevel="0" collapsed="false">
      <c r="B15" s="9" t="s">
        <v>117</v>
      </c>
      <c r="C15" s="12" t="s">
        <v>142</v>
      </c>
      <c r="D15" s="12" t="s">
        <v>1184</v>
      </c>
      <c r="E15" s="12" t="s">
        <v>1501</v>
      </c>
    </row>
    <row r="16" customFormat="false" ht="25.5" hidden="false" customHeight="true" outlineLevel="0" collapsed="false">
      <c r="B16" s="7" t="s">
        <v>120</v>
      </c>
      <c r="C16" s="11" t="s">
        <v>145</v>
      </c>
      <c r="D16" s="11" t="s">
        <v>1186</v>
      </c>
      <c r="E16" s="11" t="s">
        <v>1503</v>
      </c>
    </row>
    <row r="17" customFormat="false" ht="25.5" hidden="false" customHeight="true" outlineLevel="0" collapsed="false">
      <c r="B17" s="9" t="s">
        <v>123</v>
      </c>
      <c r="C17" s="12" t="s">
        <v>147</v>
      </c>
      <c r="D17" s="12" t="s">
        <v>356</v>
      </c>
      <c r="E17" s="12" t="s">
        <v>356</v>
      </c>
    </row>
    <row r="18" customFormat="false" ht="25.5" hidden="false" customHeight="true" outlineLevel="0" collapsed="false">
      <c r="B18" s="7" t="s">
        <v>124</v>
      </c>
      <c r="C18" s="11" t="s">
        <v>148</v>
      </c>
      <c r="D18" s="11" t="s">
        <v>148</v>
      </c>
      <c r="E18" s="11" t="s">
        <v>148</v>
      </c>
    </row>
    <row r="19" customFormat="false" ht="25.5" hidden="false" customHeight="true" outlineLevel="0" collapsed="false">
      <c r="B19" s="9" t="s">
        <v>125</v>
      </c>
      <c r="C19" s="12" t="s">
        <v>149</v>
      </c>
      <c r="D19" s="12" t="s">
        <v>1138</v>
      </c>
      <c r="E19" s="12" t="s">
        <v>220</v>
      </c>
    </row>
    <row r="20" customFormat="false" ht="25.5" hidden="false" customHeight="true" outlineLevel="0" collapsed="false">
      <c r="B20" s="7" t="s">
        <v>126</v>
      </c>
      <c r="C20" s="11" t="s">
        <v>150</v>
      </c>
      <c r="D20" s="11" t="s">
        <v>682</v>
      </c>
      <c r="E20" s="11" t="s">
        <v>682</v>
      </c>
    </row>
    <row r="21" customFormat="false" ht="25.5" hidden="false" customHeight="true" outlineLevel="0" collapsed="false">
      <c r="B21" s="16" t="s">
        <v>131</v>
      </c>
      <c r="C21" s="20" t="n">
        <v>1090</v>
      </c>
      <c r="D21" s="20" t="n">
        <v>95</v>
      </c>
      <c r="E21" s="20" t="n">
        <v>50</v>
      </c>
    </row>
    <row r="23" customFormat="false" ht="21.75" hidden="false" customHeight="true" outlineLevel="0" collapsed="false">
      <c r="B23" s="22" t="s">
        <v>2285</v>
      </c>
      <c r="C23" s="22"/>
      <c r="D23" s="22"/>
      <c r="E23" s="22"/>
    </row>
    <row r="24" customFormat="false" ht="13.5" hidden="false" customHeight="true" outlineLevel="0" collapsed="false">
      <c r="B24" s="23" t="s">
        <v>2286</v>
      </c>
      <c r="C24" s="23"/>
      <c r="D24" s="23"/>
      <c r="E24" s="23"/>
    </row>
    <row r="25" customFormat="false" ht="31.5" hidden="false" customHeight="true" outlineLevel="0" collapsed="false">
      <c r="B25" s="5" t="s">
        <v>2280</v>
      </c>
      <c r="C25" s="5" t="s">
        <v>2287</v>
      </c>
      <c r="D25" s="5" t="s">
        <v>2288</v>
      </c>
      <c r="E25" s="5" t="s">
        <v>2289</v>
      </c>
    </row>
    <row r="26" customFormat="false" ht="25.5" hidden="false" customHeight="true" outlineLevel="0" collapsed="false">
      <c r="B26" s="7" t="s">
        <v>16</v>
      </c>
      <c r="C26" s="11" t="s">
        <v>18</v>
      </c>
      <c r="D26" s="11" t="s">
        <v>24</v>
      </c>
      <c r="E26" s="11" t="s">
        <v>27</v>
      </c>
    </row>
    <row r="27" customFormat="false" ht="25.5" hidden="false" customHeight="true" outlineLevel="0" collapsed="false">
      <c r="B27" s="9" t="s">
        <v>2284</v>
      </c>
      <c r="C27" s="12" t="s">
        <v>157</v>
      </c>
      <c r="D27" s="12" t="s">
        <v>157</v>
      </c>
      <c r="E27" s="12" t="s">
        <v>157</v>
      </c>
    </row>
    <row r="28" customFormat="false" ht="25.5" hidden="false" customHeight="true" outlineLevel="0" collapsed="false">
      <c r="B28" s="7" t="s">
        <v>112</v>
      </c>
      <c r="C28" s="11" t="s">
        <v>158</v>
      </c>
      <c r="D28" s="11" t="s">
        <v>158</v>
      </c>
      <c r="E28" s="11" t="s">
        <v>158</v>
      </c>
    </row>
    <row r="29" customFormat="false" ht="25.5" hidden="false" customHeight="true" outlineLevel="0" collapsed="false">
      <c r="B29" s="9" t="s">
        <v>113</v>
      </c>
      <c r="C29" s="12" t="s">
        <v>203</v>
      </c>
      <c r="D29" s="12" t="s">
        <v>203</v>
      </c>
      <c r="E29" s="12" t="s">
        <v>1011</v>
      </c>
    </row>
    <row r="30" customFormat="false" ht="25.5" hidden="false" customHeight="true" outlineLevel="0" collapsed="false">
      <c r="B30" s="7" t="s">
        <v>114</v>
      </c>
      <c r="C30" s="11" t="s">
        <v>324</v>
      </c>
      <c r="D30" s="11" t="s">
        <v>1315</v>
      </c>
      <c r="E30" s="11" t="s">
        <v>1683</v>
      </c>
    </row>
    <row r="31" customFormat="false" ht="25.5" hidden="false" customHeight="true" outlineLevel="0" collapsed="false">
      <c r="B31" s="9" t="s">
        <v>115</v>
      </c>
      <c r="C31" s="12" t="s">
        <v>205</v>
      </c>
      <c r="D31" s="12" t="s">
        <v>1281</v>
      </c>
      <c r="E31" s="12" t="s">
        <v>1702</v>
      </c>
    </row>
    <row r="32" customFormat="false" ht="25.5" hidden="false" customHeight="true" outlineLevel="0" collapsed="false">
      <c r="B32" s="7" t="s">
        <v>116</v>
      </c>
      <c r="C32" s="11" t="s">
        <v>326</v>
      </c>
      <c r="D32" s="11" t="s">
        <v>326</v>
      </c>
      <c r="E32" s="11" t="s">
        <v>116</v>
      </c>
    </row>
    <row r="33" customFormat="false" ht="25.5" hidden="false" customHeight="true" outlineLevel="0" collapsed="false">
      <c r="B33" s="9" t="s">
        <v>117</v>
      </c>
      <c r="C33" s="12" t="s">
        <v>327</v>
      </c>
      <c r="D33" s="12" t="s">
        <v>1316</v>
      </c>
      <c r="E33" s="12" t="s">
        <v>1641</v>
      </c>
    </row>
    <row r="34" customFormat="false" ht="25.5" hidden="false" customHeight="true" outlineLevel="0" collapsed="false">
      <c r="B34" s="7" t="s">
        <v>120</v>
      </c>
      <c r="C34" s="11" t="s">
        <v>329</v>
      </c>
      <c r="D34" s="11" t="s">
        <v>1186</v>
      </c>
      <c r="E34" s="11" t="s">
        <v>455</v>
      </c>
    </row>
    <row r="35" customFormat="false" ht="25.5" hidden="false" customHeight="true" outlineLevel="0" collapsed="false">
      <c r="B35" s="9" t="s">
        <v>123</v>
      </c>
      <c r="C35" s="12" t="s">
        <v>147</v>
      </c>
      <c r="D35" s="12" t="s">
        <v>1317</v>
      </c>
      <c r="E35" s="12" t="s">
        <v>147</v>
      </c>
    </row>
    <row r="36" customFormat="false" ht="25.5" hidden="false" customHeight="true" outlineLevel="0" collapsed="false">
      <c r="B36" s="7" t="s">
        <v>124</v>
      </c>
      <c r="C36" s="11" t="s">
        <v>148</v>
      </c>
      <c r="D36" s="11" t="s">
        <v>148</v>
      </c>
      <c r="E36" s="11" t="s">
        <v>148</v>
      </c>
    </row>
    <row r="37" customFormat="false" ht="25.5" hidden="false" customHeight="true" outlineLevel="0" collapsed="false">
      <c r="B37" s="9" t="s">
        <v>125</v>
      </c>
      <c r="C37" s="12" t="s">
        <v>344</v>
      </c>
      <c r="D37" s="12" t="s">
        <v>380</v>
      </c>
      <c r="E37" s="12" t="s">
        <v>344</v>
      </c>
    </row>
    <row r="38" customFormat="false" ht="25.5" hidden="false" customHeight="true" outlineLevel="0" collapsed="false">
      <c r="B38" s="7" t="s">
        <v>126</v>
      </c>
      <c r="C38" s="11" t="s">
        <v>334</v>
      </c>
      <c r="D38" s="11" t="s">
        <v>682</v>
      </c>
      <c r="E38" s="11" t="s">
        <v>921</v>
      </c>
    </row>
    <row r="39" customFormat="false" ht="25.5" hidden="false" customHeight="true" outlineLevel="0" collapsed="false">
      <c r="B39" s="16" t="s">
        <v>131</v>
      </c>
      <c r="C39" s="20" t="n">
        <v>890</v>
      </c>
      <c r="D39" s="20" t="n">
        <v>145</v>
      </c>
      <c r="E39" s="20" t="n">
        <v>85</v>
      </c>
    </row>
    <row r="41" customFormat="false" ht="21.75" hidden="false" customHeight="true" outlineLevel="0" collapsed="false">
      <c r="B41" s="22" t="s">
        <v>2290</v>
      </c>
      <c r="C41" s="22"/>
      <c r="D41" s="22"/>
      <c r="E41" s="22"/>
    </row>
    <row r="42" customFormat="false" ht="13.5" hidden="false" customHeight="true" outlineLevel="0" collapsed="false">
      <c r="B42" s="23" t="s">
        <v>2291</v>
      </c>
      <c r="C42" s="23"/>
      <c r="D42" s="23"/>
      <c r="E42" s="23"/>
    </row>
    <row r="43" customFormat="false" ht="31.5" hidden="false" customHeight="true" outlineLevel="0" collapsed="false">
      <c r="B43" s="5" t="s">
        <v>2280</v>
      </c>
      <c r="C43" s="5" t="s">
        <v>2292</v>
      </c>
      <c r="D43" s="5" t="s">
        <v>2293</v>
      </c>
      <c r="E43" s="5" t="s">
        <v>2294</v>
      </c>
    </row>
    <row r="44" customFormat="false" ht="25.5" hidden="false" customHeight="true" outlineLevel="0" collapsed="false">
      <c r="B44" s="7" t="s">
        <v>16</v>
      </c>
      <c r="C44" s="11" t="s">
        <v>18</v>
      </c>
      <c r="D44" s="11" t="s">
        <v>24</v>
      </c>
      <c r="E44" s="11" t="s">
        <v>27</v>
      </c>
    </row>
    <row r="45" customFormat="false" ht="25.5" hidden="false" customHeight="true" outlineLevel="0" collapsed="false">
      <c r="B45" s="9" t="s">
        <v>2284</v>
      </c>
      <c r="C45" s="12" t="s">
        <v>157</v>
      </c>
      <c r="D45" s="12" t="s">
        <v>157</v>
      </c>
      <c r="E45" s="12" t="s">
        <v>157</v>
      </c>
    </row>
    <row r="46" customFormat="false" ht="25.5" hidden="false" customHeight="true" outlineLevel="0" collapsed="false">
      <c r="B46" s="7" t="s">
        <v>112</v>
      </c>
      <c r="C46" s="11" t="s">
        <v>158</v>
      </c>
      <c r="D46" s="11" t="s">
        <v>158</v>
      </c>
      <c r="E46" s="11" t="s">
        <v>158</v>
      </c>
    </row>
    <row r="47" customFormat="false" ht="25.5" hidden="false" customHeight="true" outlineLevel="0" collapsed="false">
      <c r="B47" s="9" t="s">
        <v>113</v>
      </c>
      <c r="C47" s="12" t="s">
        <v>138</v>
      </c>
      <c r="D47" s="12" t="s">
        <v>1202</v>
      </c>
      <c r="E47" s="12" t="s">
        <v>203</v>
      </c>
    </row>
    <row r="48" customFormat="false" ht="25.5" hidden="false" customHeight="true" outlineLevel="0" collapsed="false">
      <c r="B48" s="7" t="s">
        <v>114</v>
      </c>
      <c r="C48" s="11" t="s">
        <v>168</v>
      </c>
      <c r="D48" s="11" t="s">
        <v>488</v>
      </c>
      <c r="E48" s="11" t="s">
        <v>1593</v>
      </c>
    </row>
    <row r="49" customFormat="false" ht="25.5" hidden="false" customHeight="true" outlineLevel="0" collapsed="false">
      <c r="B49" s="9" t="s">
        <v>115</v>
      </c>
      <c r="C49" s="12" t="s">
        <v>178</v>
      </c>
      <c r="D49" s="12" t="s">
        <v>1203</v>
      </c>
      <c r="E49" s="12" t="s">
        <v>205</v>
      </c>
    </row>
    <row r="50" customFormat="false" ht="25.5" hidden="false" customHeight="true" outlineLevel="0" collapsed="false">
      <c r="B50" s="7" t="s">
        <v>116</v>
      </c>
      <c r="C50" s="11" t="s">
        <v>141</v>
      </c>
      <c r="D50" s="11" t="s">
        <v>326</v>
      </c>
      <c r="E50" s="11" t="s">
        <v>116</v>
      </c>
    </row>
    <row r="51" customFormat="false" ht="25.5" hidden="false" customHeight="true" outlineLevel="0" collapsed="false">
      <c r="B51" s="9" t="s">
        <v>117</v>
      </c>
      <c r="C51" s="12" t="s">
        <v>142</v>
      </c>
      <c r="D51" s="12" t="s">
        <v>1204</v>
      </c>
      <c r="E51" s="12" t="s">
        <v>1641</v>
      </c>
    </row>
    <row r="52" customFormat="false" ht="25.5" hidden="false" customHeight="true" outlineLevel="0" collapsed="false">
      <c r="B52" s="7" t="s">
        <v>120</v>
      </c>
      <c r="C52" s="11" t="s">
        <v>145</v>
      </c>
      <c r="D52" s="11" t="s">
        <v>1186</v>
      </c>
      <c r="E52" s="11" t="s">
        <v>1135</v>
      </c>
    </row>
    <row r="53" customFormat="false" ht="25.5" hidden="false" customHeight="true" outlineLevel="0" collapsed="false">
      <c r="B53" s="9" t="s">
        <v>123</v>
      </c>
      <c r="C53" s="12" t="s">
        <v>179</v>
      </c>
      <c r="D53" s="12" t="s">
        <v>1205</v>
      </c>
      <c r="E53" s="12" t="s">
        <v>356</v>
      </c>
    </row>
    <row r="54" customFormat="false" ht="25.5" hidden="false" customHeight="true" outlineLevel="0" collapsed="false">
      <c r="B54" s="7" t="s">
        <v>124</v>
      </c>
      <c r="C54" s="11" t="s">
        <v>148</v>
      </c>
      <c r="D54" s="11" t="s">
        <v>148</v>
      </c>
      <c r="E54" s="11" t="s">
        <v>148</v>
      </c>
    </row>
    <row r="55" customFormat="false" ht="25.5" hidden="false" customHeight="true" outlineLevel="0" collapsed="false">
      <c r="B55" s="9" t="s">
        <v>125</v>
      </c>
      <c r="C55" s="12" t="s">
        <v>180</v>
      </c>
      <c r="D55" s="12" t="s">
        <v>236</v>
      </c>
      <c r="E55" s="12" t="s">
        <v>344</v>
      </c>
    </row>
    <row r="56" customFormat="false" ht="25.5" hidden="false" customHeight="true" outlineLevel="0" collapsed="false">
      <c r="B56" s="7" t="s">
        <v>126</v>
      </c>
      <c r="C56" s="11" t="s">
        <v>150</v>
      </c>
      <c r="D56" s="11" t="s">
        <v>682</v>
      </c>
      <c r="E56" s="11" t="s">
        <v>1643</v>
      </c>
    </row>
    <row r="57" customFormat="false" ht="25.5" hidden="false" customHeight="true" outlineLevel="0" collapsed="false">
      <c r="B57" s="16" t="s">
        <v>131</v>
      </c>
      <c r="C57" s="20" t="n">
        <v>940</v>
      </c>
      <c r="D57" s="20" t="n">
        <v>130</v>
      </c>
      <c r="E57" s="20" t="n">
        <v>70</v>
      </c>
    </row>
    <row r="59" customFormat="false" ht="21.75" hidden="false" customHeight="true" outlineLevel="0" collapsed="false">
      <c r="B59" s="22" t="s">
        <v>2295</v>
      </c>
      <c r="C59" s="22"/>
      <c r="D59" s="22"/>
      <c r="E59" s="22"/>
    </row>
    <row r="60" customFormat="false" ht="13.5" hidden="false" customHeight="true" outlineLevel="0" collapsed="false">
      <c r="B60" s="23" t="s">
        <v>2296</v>
      </c>
      <c r="C60" s="23"/>
      <c r="D60" s="23"/>
      <c r="E60" s="23"/>
    </row>
    <row r="61" customFormat="false" ht="31.5" hidden="false" customHeight="true" outlineLevel="0" collapsed="false">
      <c r="B61" s="5" t="s">
        <v>2280</v>
      </c>
      <c r="C61" s="5" t="s">
        <v>2297</v>
      </c>
      <c r="D61" s="5" t="s">
        <v>2298</v>
      </c>
      <c r="E61" s="5" t="s">
        <v>2299</v>
      </c>
    </row>
    <row r="62" customFormat="false" ht="25.5" hidden="false" customHeight="true" outlineLevel="0" collapsed="false">
      <c r="B62" s="7" t="s">
        <v>16</v>
      </c>
      <c r="C62" s="11" t="s">
        <v>18</v>
      </c>
      <c r="D62" s="11" t="s">
        <v>18</v>
      </c>
      <c r="E62" s="11" t="s">
        <v>27</v>
      </c>
    </row>
    <row r="63" customFormat="false" ht="25.5" hidden="false" customHeight="true" outlineLevel="0" collapsed="false">
      <c r="B63" s="9" t="s">
        <v>2284</v>
      </c>
      <c r="C63" s="12" t="s">
        <v>157</v>
      </c>
      <c r="D63" s="12" t="s">
        <v>157</v>
      </c>
      <c r="E63" s="12" t="s">
        <v>157</v>
      </c>
    </row>
    <row r="64" customFormat="false" ht="25.5" hidden="false" customHeight="true" outlineLevel="0" collapsed="false">
      <c r="B64" s="7" t="s">
        <v>112</v>
      </c>
      <c r="C64" s="11" t="s">
        <v>158</v>
      </c>
      <c r="D64" s="11" t="s">
        <v>158</v>
      </c>
      <c r="E64" s="11" t="s">
        <v>158</v>
      </c>
    </row>
    <row r="65" customFormat="false" ht="25.5" hidden="false" customHeight="true" outlineLevel="0" collapsed="false">
      <c r="B65" s="9" t="s">
        <v>113</v>
      </c>
      <c r="C65" s="12" t="s">
        <v>138</v>
      </c>
      <c r="D65" s="12" t="s">
        <v>203</v>
      </c>
      <c r="E65" s="12" t="s">
        <v>203</v>
      </c>
    </row>
    <row r="66" customFormat="false" ht="25.5" hidden="false" customHeight="true" outlineLevel="0" collapsed="false">
      <c r="B66" s="7" t="s">
        <v>114</v>
      </c>
      <c r="C66" s="11" t="s">
        <v>190</v>
      </c>
      <c r="D66" s="11" t="s">
        <v>498</v>
      </c>
      <c r="E66" s="11" t="s">
        <v>1157</v>
      </c>
    </row>
    <row r="67" customFormat="false" ht="25.5" hidden="false" customHeight="true" outlineLevel="0" collapsed="false">
      <c r="B67" s="9" t="s">
        <v>115</v>
      </c>
      <c r="C67" s="12" t="s">
        <v>191</v>
      </c>
      <c r="D67" s="12" t="s">
        <v>499</v>
      </c>
      <c r="E67" s="12" t="s">
        <v>623</v>
      </c>
    </row>
    <row r="68" customFormat="false" ht="25.5" hidden="false" customHeight="true" outlineLevel="0" collapsed="false">
      <c r="B68" s="7" t="s">
        <v>116</v>
      </c>
      <c r="C68" s="11" t="s">
        <v>141</v>
      </c>
      <c r="D68" s="11" t="s">
        <v>116</v>
      </c>
      <c r="E68" s="11" t="s">
        <v>116</v>
      </c>
    </row>
    <row r="69" customFormat="false" ht="25.5" hidden="false" customHeight="true" outlineLevel="0" collapsed="false">
      <c r="B69" s="9" t="s">
        <v>117</v>
      </c>
      <c r="C69" s="12" t="s">
        <v>192</v>
      </c>
      <c r="D69" s="12" t="s">
        <v>500</v>
      </c>
      <c r="E69" s="12" t="s">
        <v>1660</v>
      </c>
    </row>
    <row r="70" customFormat="false" ht="25.5" hidden="false" customHeight="true" outlineLevel="0" collapsed="false">
      <c r="B70" s="7" t="s">
        <v>120</v>
      </c>
      <c r="C70" s="11" t="s">
        <v>145</v>
      </c>
      <c r="D70" s="11" t="s">
        <v>329</v>
      </c>
      <c r="E70" s="11" t="s">
        <v>455</v>
      </c>
    </row>
    <row r="71" customFormat="false" ht="25.5" hidden="false" customHeight="true" outlineLevel="0" collapsed="false">
      <c r="B71" s="9" t="s">
        <v>123</v>
      </c>
      <c r="C71" s="12" t="s">
        <v>193</v>
      </c>
      <c r="D71" s="12" t="s">
        <v>356</v>
      </c>
      <c r="E71" s="12" t="s">
        <v>356</v>
      </c>
    </row>
    <row r="72" customFormat="false" ht="25.5" hidden="false" customHeight="true" outlineLevel="0" collapsed="false">
      <c r="B72" s="7" t="s">
        <v>124</v>
      </c>
      <c r="C72" s="11" t="s">
        <v>194</v>
      </c>
      <c r="D72" s="11" t="s">
        <v>194</v>
      </c>
      <c r="E72" s="11" t="s">
        <v>194</v>
      </c>
    </row>
    <row r="73" customFormat="false" ht="25.5" hidden="false" customHeight="true" outlineLevel="0" collapsed="false">
      <c r="B73" s="9" t="s">
        <v>125</v>
      </c>
      <c r="C73" s="12" t="s">
        <v>195</v>
      </c>
      <c r="D73" s="12" t="s">
        <v>501</v>
      </c>
      <c r="E73" s="12" t="s">
        <v>368</v>
      </c>
    </row>
    <row r="74" customFormat="false" ht="25.5" hidden="false" customHeight="true" outlineLevel="0" collapsed="false">
      <c r="B74" s="7" t="s">
        <v>126</v>
      </c>
      <c r="C74" s="11" t="s">
        <v>150</v>
      </c>
      <c r="D74" s="11" t="s">
        <v>334</v>
      </c>
      <c r="E74" s="11" t="s">
        <v>921</v>
      </c>
    </row>
    <row r="75" customFormat="false" ht="25.5" hidden="false" customHeight="true" outlineLevel="0" collapsed="false">
      <c r="B75" s="16" t="s">
        <v>131</v>
      </c>
      <c r="C75" s="20" t="n">
        <v>5480</v>
      </c>
      <c r="D75" s="20" t="n">
        <v>3200</v>
      </c>
      <c r="E75" s="20" t="n">
        <v>180</v>
      </c>
    </row>
    <row r="77" customFormat="false" ht="21.75" hidden="false" customHeight="true" outlineLevel="0" collapsed="false">
      <c r="B77" s="22" t="s">
        <v>2300</v>
      </c>
      <c r="C77" s="22"/>
      <c r="D77" s="22"/>
      <c r="E77" s="22"/>
    </row>
    <row r="78" customFormat="false" ht="13.5" hidden="false" customHeight="true" outlineLevel="0" collapsed="false">
      <c r="B78" s="23" t="s">
        <v>2301</v>
      </c>
      <c r="C78" s="23"/>
      <c r="D78" s="23"/>
      <c r="E78" s="23"/>
    </row>
    <row r="79" customFormat="false" ht="31.5" hidden="false" customHeight="true" outlineLevel="0" collapsed="false">
      <c r="B79" s="5" t="s">
        <v>2280</v>
      </c>
      <c r="C79" s="5" t="s">
        <v>2302</v>
      </c>
      <c r="D79" s="5" t="s">
        <v>2303</v>
      </c>
      <c r="E79" s="5" t="s">
        <v>2304</v>
      </c>
    </row>
    <row r="80" customFormat="false" ht="25.5" hidden="false" customHeight="true" outlineLevel="0" collapsed="false">
      <c r="B80" s="7" t="s">
        <v>16</v>
      </c>
      <c r="C80" s="11" t="s">
        <v>18</v>
      </c>
      <c r="D80" s="11" t="s">
        <v>24</v>
      </c>
      <c r="E80" s="11" t="s">
        <v>24</v>
      </c>
    </row>
    <row r="81" customFormat="false" ht="25.5" hidden="false" customHeight="true" outlineLevel="0" collapsed="false">
      <c r="B81" s="9" t="s">
        <v>2284</v>
      </c>
      <c r="C81" s="12" t="s">
        <v>157</v>
      </c>
      <c r="D81" s="12" t="s">
        <v>157</v>
      </c>
      <c r="E81" s="12" t="s">
        <v>157</v>
      </c>
    </row>
    <row r="82" customFormat="false" ht="25.5" hidden="false" customHeight="true" outlineLevel="0" collapsed="false">
      <c r="B82" s="7" t="s">
        <v>112</v>
      </c>
      <c r="C82" s="11" t="s">
        <v>158</v>
      </c>
      <c r="D82" s="11" t="s">
        <v>158</v>
      </c>
      <c r="E82" s="11" t="s">
        <v>158</v>
      </c>
    </row>
    <row r="83" customFormat="false" ht="25.5" hidden="false" customHeight="true" outlineLevel="0" collapsed="false">
      <c r="B83" s="9" t="s">
        <v>113</v>
      </c>
      <c r="C83" s="12" t="s">
        <v>203</v>
      </c>
      <c r="D83" s="12" t="s">
        <v>203</v>
      </c>
      <c r="E83" s="12" t="s">
        <v>203</v>
      </c>
    </row>
    <row r="84" customFormat="false" ht="25.5" hidden="false" customHeight="true" outlineLevel="0" collapsed="false">
      <c r="B84" s="7" t="s">
        <v>114</v>
      </c>
      <c r="C84" s="11" t="s">
        <v>204</v>
      </c>
      <c r="D84" s="11" t="s">
        <v>1344</v>
      </c>
      <c r="E84" s="11" t="s">
        <v>1222</v>
      </c>
    </row>
    <row r="85" customFormat="false" ht="25.5" hidden="false" customHeight="true" outlineLevel="0" collapsed="false">
      <c r="B85" s="9" t="s">
        <v>115</v>
      </c>
      <c r="C85" s="12" t="s">
        <v>205</v>
      </c>
      <c r="D85" s="12" t="s">
        <v>1281</v>
      </c>
      <c r="E85" s="12" t="s">
        <v>205</v>
      </c>
    </row>
    <row r="86" customFormat="false" ht="25.5" hidden="false" customHeight="true" outlineLevel="0" collapsed="false">
      <c r="B86" s="7" t="s">
        <v>116</v>
      </c>
      <c r="C86" s="11" t="s">
        <v>116</v>
      </c>
      <c r="D86" s="11" t="s">
        <v>326</v>
      </c>
      <c r="E86" s="11" t="s">
        <v>326</v>
      </c>
    </row>
    <row r="87" customFormat="false" ht="25.5" hidden="false" customHeight="true" outlineLevel="0" collapsed="false">
      <c r="B87" s="9" t="s">
        <v>117</v>
      </c>
      <c r="C87" s="12" t="s">
        <v>206</v>
      </c>
      <c r="D87" s="12" t="s">
        <v>511</v>
      </c>
      <c r="E87" s="12" t="s">
        <v>206</v>
      </c>
    </row>
    <row r="88" customFormat="false" ht="25.5" hidden="false" customHeight="true" outlineLevel="0" collapsed="false">
      <c r="B88" s="7" t="s">
        <v>120</v>
      </c>
      <c r="C88" s="11" t="s">
        <v>145</v>
      </c>
      <c r="D88" s="11" t="s">
        <v>1186</v>
      </c>
      <c r="E88" s="11" t="s">
        <v>1186</v>
      </c>
    </row>
    <row r="89" customFormat="false" ht="25.5" hidden="false" customHeight="true" outlineLevel="0" collapsed="false">
      <c r="B89" s="9" t="s">
        <v>123</v>
      </c>
      <c r="C89" s="12" t="s">
        <v>207</v>
      </c>
      <c r="D89" s="12" t="s">
        <v>356</v>
      </c>
      <c r="E89" s="12" t="s">
        <v>356</v>
      </c>
    </row>
    <row r="90" customFormat="false" ht="25.5" hidden="false" customHeight="true" outlineLevel="0" collapsed="false">
      <c r="B90" s="7" t="s">
        <v>124</v>
      </c>
      <c r="C90" s="11" t="s">
        <v>194</v>
      </c>
      <c r="D90" s="11" t="s">
        <v>148</v>
      </c>
      <c r="E90" s="11" t="s">
        <v>148</v>
      </c>
    </row>
    <row r="91" customFormat="false" ht="25.5" hidden="false" customHeight="true" outlineLevel="0" collapsed="false">
      <c r="B91" s="9" t="s">
        <v>125</v>
      </c>
      <c r="C91" s="12" t="s">
        <v>208</v>
      </c>
      <c r="D91" s="12" t="s">
        <v>1345</v>
      </c>
      <c r="E91" s="12" t="s">
        <v>951</v>
      </c>
    </row>
    <row r="92" customFormat="false" ht="25.5" hidden="false" customHeight="true" outlineLevel="0" collapsed="false">
      <c r="B92" s="7" t="s">
        <v>126</v>
      </c>
      <c r="C92" s="11" t="s">
        <v>150</v>
      </c>
      <c r="D92" s="11" t="s">
        <v>682</v>
      </c>
      <c r="E92" s="11" t="s">
        <v>682</v>
      </c>
    </row>
    <row r="93" customFormat="false" ht="25.5" hidden="false" customHeight="true" outlineLevel="0" collapsed="false">
      <c r="B93" s="16" t="s">
        <v>131</v>
      </c>
      <c r="C93" s="20" t="n">
        <v>1650</v>
      </c>
      <c r="D93" s="20" t="n">
        <v>260</v>
      </c>
      <c r="E93" s="20" t="n">
        <v>210</v>
      </c>
    </row>
    <row r="95" customFormat="false" ht="21.75" hidden="false" customHeight="true" outlineLevel="0" collapsed="false">
      <c r="B95" s="22" t="s">
        <v>2305</v>
      </c>
      <c r="C95" s="22"/>
      <c r="D95" s="22"/>
      <c r="E95" s="22"/>
    </row>
    <row r="96" customFormat="false" ht="13.5" hidden="false" customHeight="true" outlineLevel="0" collapsed="false">
      <c r="B96" s="23" t="s">
        <v>2306</v>
      </c>
      <c r="C96" s="23"/>
      <c r="D96" s="23"/>
      <c r="E96" s="23"/>
    </row>
    <row r="97" customFormat="false" ht="31.5" hidden="false" customHeight="true" outlineLevel="0" collapsed="false">
      <c r="B97" s="5" t="s">
        <v>2280</v>
      </c>
      <c r="C97" s="5" t="s">
        <v>2307</v>
      </c>
      <c r="D97" s="5" t="s">
        <v>2308</v>
      </c>
      <c r="E97" s="5" t="s">
        <v>2309</v>
      </c>
    </row>
    <row r="98" customFormat="false" ht="25.5" hidden="false" customHeight="true" outlineLevel="0" collapsed="false">
      <c r="B98" s="7" t="s">
        <v>16</v>
      </c>
      <c r="C98" s="11" t="s">
        <v>18</v>
      </c>
      <c r="D98" s="11" t="s">
        <v>24</v>
      </c>
      <c r="E98" s="11" t="s">
        <v>24</v>
      </c>
    </row>
    <row r="99" customFormat="false" ht="25.5" hidden="false" customHeight="true" outlineLevel="0" collapsed="false">
      <c r="B99" s="9" t="s">
        <v>2284</v>
      </c>
      <c r="C99" s="12" t="s">
        <v>157</v>
      </c>
      <c r="D99" s="12" t="s">
        <v>157</v>
      </c>
      <c r="E99" s="12" t="s">
        <v>157</v>
      </c>
    </row>
    <row r="100" customFormat="false" ht="25.5" hidden="false" customHeight="true" outlineLevel="0" collapsed="false">
      <c r="B100" s="7" t="s">
        <v>112</v>
      </c>
      <c r="C100" s="11" t="s">
        <v>158</v>
      </c>
      <c r="D100" s="11" t="s">
        <v>158</v>
      </c>
      <c r="E100" s="11" t="s">
        <v>158</v>
      </c>
    </row>
    <row r="101" customFormat="false" ht="25.5" hidden="false" customHeight="true" outlineLevel="0" collapsed="false">
      <c r="B101" s="9" t="s">
        <v>113</v>
      </c>
      <c r="C101" s="12" t="s">
        <v>138</v>
      </c>
      <c r="D101" s="12" t="s">
        <v>1011</v>
      </c>
      <c r="E101" s="12" t="s">
        <v>396</v>
      </c>
    </row>
    <row r="102" customFormat="false" ht="25.5" hidden="false" customHeight="true" outlineLevel="0" collapsed="false">
      <c r="B102" s="7" t="s">
        <v>114</v>
      </c>
      <c r="C102" s="11" t="s">
        <v>217</v>
      </c>
      <c r="D102" s="11" t="s">
        <v>217</v>
      </c>
      <c r="E102" s="11" t="s">
        <v>217</v>
      </c>
    </row>
    <row r="103" customFormat="false" ht="25.5" hidden="false" customHeight="true" outlineLevel="0" collapsed="false">
      <c r="B103" s="9" t="s">
        <v>115</v>
      </c>
      <c r="C103" s="12" t="s">
        <v>218</v>
      </c>
      <c r="D103" s="12" t="s">
        <v>218</v>
      </c>
      <c r="E103" s="12" t="s">
        <v>218</v>
      </c>
    </row>
    <row r="104" customFormat="false" ht="25.5" hidden="false" customHeight="true" outlineLevel="0" collapsed="false">
      <c r="B104" s="7" t="s">
        <v>116</v>
      </c>
      <c r="C104" s="11" t="s">
        <v>141</v>
      </c>
      <c r="D104" s="11" t="s">
        <v>326</v>
      </c>
      <c r="E104" s="11" t="s">
        <v>326</v>
      </c>
    </row>
    <row r="105" customFormat="false" ht="25.5" hidden="false" customHeight="true" outlineLevel="0" collapsed="false">
      <c r="B105" s="9" t="s">
        <v>117</v>
      </c>
      <c r="C105" s="12" t="s">
        <v>142</v>
      </c>
      <c r="D105" s="12" t="s">
        <v>772</v>
      </c>
      <c r="E105" s="12" t="s">
        <v>1316</v>
      </c>
    </row>
    <row r="106" customFormat="false" ht="25.5" hidden="false" customHeight="true" outlineLevel="0" collapsed="false">
      <c r="B106" s="7" t="s">
        <v>120</v>
      </c>
      <c r="C106" s="11" t="s">
        <v>145</v>
      </c>
      <c r="D106" s="11" t="s">
        <v>1186</v>
      </c>
      <c r="E106" s="11" t="s">
        <v>1186</v>
      </c>
    </row>
    <row r="107" customFormat="false" ht="25.5" hidden="false" customHeight="true" outlineLevel="0" collapsed="false">
      <c r="B107" s="9" t="s">
        <v>123</v>
      </c>
      <c r="C107" s="12" t="s">
        <v>219</v>
      </c>
      <c r="D107" s="12" t="s">
        <v>223</v>
      </c>
      <c r="E107" s="12" t="s">
        <v>223</v>
      </c>
    </row>
    <row r="108" customFormat="false" ht="25.5" hidden="false" customHeight="true" outlineLevel="0" collapsed="false">
      <c r="B108" s="7" t="s">
        <v>124</v>
      </c>
      <c r="C108" s="11" t="s">
        <v>148</v>
      </c>
      <c r="D108" s="11" t="s">
        <v>148</v>
      </c>
      <c r="E108" s="11" t="s">
        <v>148</v>
      </c>
    </row>
    <row r="109" customFormat="false" ht="25.5" hidden="false" customHeight="true" outlineLevel="0" collapsed="false">
      <c r="B109" s="9" t="s">
        <v>125</v>
      </c>
      <c r="C109" s="12" t="s">
        <v>220</v>
      </c>
      <c r="D109" s="12" t="s">
        <v>387</v>
      </c>
      <c r="E109" s="12" t="s">
        <v>473</v>
      </c>
    </row>
    <row r="110" customFormat="false" ht="25.5" hidden="false" customHeight="true" outlineLevel="0" collapsed="false">
      <c r="B110" s="7" t="s">
        <v>126</v>
      </c>
      <c r="C110" s="11" t="s">
        <v>150</v>
      </c>
      <c r="D110" s="11" t="s">
        <v>682</v>
      </c>
      <c r="E110" s="11" t="s">
        <v>682</v>
      </c>
    </row>
    <row r="111" customFormat="false" ht="25.5" hidden="false" customHeight="true" outlineLevel="0" collapsed="false">
      <c r="B111" s="16" t="s">
        <v>131</v>
      </c>
      <c r="C111" s="20" t="n">
        <v>590</v>
      </c>
      <c r="D111" s="20" t="n">
        <v>185</v>
      </c>
      <c r="E111" s="20" t="n">
        <v>190</v>
      </c>
    </row>
    <row r="113" customFormat="false" ht="21.75" hidden="false" customHeight="true" outlineLevel="0" collapsed="false">
      <c r="B113" s="22" t="s">
        <v>2310</v>
      </c>
      <c r="C113" s="22"/>
      <c r="D113" s="22"/>
      <c r="E113" s="22"/>
    </row>
    <row r="114" customFormat="false" ht="13.5" hidden="false" customHeight="true" outlineLevel="0" collapsed="false">
      <c r="B114" s="23" t="s">
        <v>2311</v>
      </c>
      <c r="C114" s="23"/>
      <c r="D114" s="23"/>
      <c r="E114" s="23"/>
    </row>
    <row r="115" customFormat="false" ht="31.5" hidden="false" customHeight="true" outlineLevel="0" collapsed="false">
      <c r="B115" s="5" t="s">
        <v>2280</v>
      </c>
      <c r="C115" s="5" t="s">
        <v>2312</v>
      </c>
      <c r="D115" s="5" t="s">
        <v>2313</v>
      </c>
      <c r="E115" s="5" t="s">
        <v>2314</v>
      </c>
    </row>
    <row r="116" customFormat="false" ht="25.5" hidden="false" customHeight="true" outlineLevel="0" collapsed="false">
      <c r="B116" s="7" t="s">
        <v>16</v>
      </c>
      <c r="C116" s="11" t="s">
        <v>18</v>
      </c>
      <c r="D116" s="11" t="s">
        <v>18</v>
      </c>
      <c r="E116" s="11" t="s">
        <v>24</v>
      </c>
    </row>
    <row r="117" customFormat="false" ht="25.5" hidden="false" customHeight="true" outlineLevel="0" collapsed="false">
      <c r="B117" s="9" t="s">
        <v>2284</v>
      </c>
      <c r="C117" s="12" t="s">
        <v>240</v>
      </c>
      <c r="D117" s="12" t="s">
        <v>240</v>
      </c>
      <c r="E117" s="12" t="s">
        <v>240</v>
      </c>
    </row>
    <row r="118" customFormat="false" ht="25.5" hidden="false" customHeight="true" outlineLevel="0" collapsed="false">
      <c r="B118" s="7" t="s">
        <v>112</v>
      </c>
      <c r="C118" s="11" t="s">
        <v>241</v>
      </c>
      <c r="D118" s="11" t="s">
        <v>241</v>
      </c>
      <c r="E118" s="11" t="s">
        <v>241</v>
      </c>
    </row>
    <row r="119" customFormat="false" ht="25.5" hidden="false" customHeight="true" outlineLevel="0" collapsed="false">
      <c r="B119" s="9" t="s">
        <v>113</v>
      </c>
      <c r="C119" s="12" t="s">
        <v>232</v>
      </c>
      <c r="D119" s="12" t="s">
        <v>396</v>
      </c>
      <c r="E119" s="12" t="s">
        <v>203</v>
      </c>
    </row>
    <row r="120" customFormat="false" ht="25.5" hidden="false" customHeight="true" outlineLevel="0" collapsed="false">
      <c r="B120" s="7" t="s">
        <v>114</v>
      </c>
      <c r="C120" s="11" t="s">
        <v>233</v>
      </c>
      <c r="D120" s="11" t="s">
        <v>527</v>
      </c>
      <c r="E120" s="11" t="s">
        <v>527</v>
      </c>
    </row>
    <row r="121" customFormat="false" ht="25.5" hidden="false" customHeight="true" outlineLevel="0" collapsed="false">
      <c r="B121" s="9" t="s">
        <v>115</v>
      </c>
      <c r="C121" s="12" t="s">
        <v>234</v>
      </c>
      <c r="D121" s="12" t="s">
        <v>528</v>
      </c>
      <c r="E121" s="12" t="s">
        <v>1045</v>
      </c>
    </row>
    <row r="122" customFormat="false" ht="25.5" hidden="false" customHeight="true" outlineLevel="0" collapsed="false">
      <c r="B122" s="7" t="s">
        <v>116</v>
      </c>
      <c r="C122" s="11" t="s">
        <v>116</v>
      </c>
      <c r="D122" s="11" t="s">
        <v>116</v>
      </c>
      <c r="E122" s="11" t="s">
        <v>326</v>
      </c>
    </row>
    <row r="123" customFormat="false" ht="25.5" hidden="false" customHeight="true" outlineLevel="0" collapsed="false">
      <c r="B123" s="9" t="s">
        <v>117</v>
      </c>
      <c r="C123" s="12" t="s">
        <v>235</v>
      </c>
      <c r="D123" s="12" t="s">
        <v>529</v>
      </c>
      <c r="E123" s="12" t="s">
        <v>529</v>
      </c>
    </row>
    <row r="124" customFormat="false" ht="25.5" hidden="false" customHeight="true" outlineLevel="0" collapsed="false">
      <c r="B124" s="7" t="s">
        <v>120</v>
      </c>
      <c r="C124" s="11" t="s">
        <v>145</v>
      </c>
      <c r="D124" s="11" t="s">
        <v>329</v>
      </c>
      <c r="E124" s="11" t="s">
        <v>1186</v>
      </c>
    </row>
    <row r="125" customFormat="false" ht="25.5" hidden="false" customHeight="true" outlineLevel="0" collapsed="false">
      <c r="B125" s="9" t="s">
        <v>123</v>
      </c>
      <c r="C125" s="12" t="s">
        <v>147</v>
      </c>
      <c r="D125" s="12" t="s">
        <v>356</v>
      </c>
      <c r="E125" s="12" t="s">
        <v>570</v>
      </c>
    </row>
    <row r="126" customFormat="false" ht="25.5" hidden="false" customHeight="true" outlineLevel="0" collapsed="false">
      <c r="B126" s="7" t="s">
        <v>124</v>
      </c>
      <c r="C126" s="11" t="s">
        <v>194</v>
      </c>
      <c r="D126" s="11" t="s">
        <v>148</v>
      </c>
      <c r="E126" s="11" t="s">
        <v>148</v>
      </c>
    </row>
    <row r="127" customFormat="false" ht="25.5" hidden="false" customHeight="true" outlineLevel="0" collapsed="false">
      <c r="B127" s="9" t="s">
        <v>125</v>
      </c>
      <c r="C127" s="12" t="s">
        <v>236</v>
      </c>
      <c r="D127" s="12" t="s">
        <v>380</v>
      </c>
      <c r="E127" s="12" t="s">
        <v>236</v>
      </c>
    </row>
    <row r="128" customFormat="false" ht="25.5" hidden="false" customHeight="true" outlineLevel="0" collapsed="false">
      <c r="B128" s="7" t="s">
        <v>126</v>
      </c>
      <c r="C128" s="11" t="s">
        <v>150</v>
      </c>
      <c r="D128" s="11" t="s">
        <v>334</v>
      </c>
      <c r="E128" s="11" t="s">
        <v>682</v>
      </c>
    </row>
    <row r="129" customFormat="false" ht="25.5" hidden="false" customHeight="true" outlineLevel="0" collapsed="false">
      <c r="B129" s="16" t="s">
        <v>131</v>
      </c>
      <c r="C129" s="20" t="n">
        <v>990</v>
      </c>
      <c r="D129" s="20" t="n">
        <v>890</v>
      </c>
      <c r="E129" s="20" t="n">
        <v>160</v>
      </c>
    </row>
    <row r="131" customFormat="false" ht="21.75" hidden="false" customHeight="true" outlineLevel="0" collapsed="false">
      <c r="B131" s="22" t="s">
        <v>2315</v>
      </c>
      <c r="C131" s="22"/>
      <c r="D131" s="22"/>
      <c r="E131" s="22"/>
    </row>
    <row r="132" customFormat="false" ht="13.5" hidden="false" customHeight="true" outlineLevel="0" collapsed="false">
      <c r="B132" s="23" t="s">
        <v>2316</v>
      </c>
      <c r="C132" s="23"/>
      <c r="D132" s="23"/>
      <c r="E132" s="23"/>
    </row>
    <row r="133" customFormat="false" ht="31.5" hidden="false" customHeight="true" outlineLevel="0" collapsed="false">
      <c r="B133" s="5" t="s">
        <v>2280</v>
      </c>
      <c r="C133" s="5" t="s">
        <v>2317</v>
      </c>
      <c r="D133" s="5" t="s">
        <v>2318</v>
      </c>
      <c r="E133" s="5" t="s">
        <v>2319</v>
      </c>
    </row>
    <row r="134" customFormat="false" ht="25.5" hidden="false" customHeight="true" outlineLevel="0" collapsed="false">
      <c r="B134" s="7" t="s">
        <v>16</v>
      </c>
      <c r="C134" s="11" t="s">
        <v>18</v>
      </c>
      <c r="D134" s="11" t="s">
        <v>18</v>
      </c>
      <c r="E134" s="11" t="s">
        <v>24</v>
      </c>
    </row>
    <row r="135" customFormat="false" ht="25.5" hidden="false" customHeight="true" outlineLevel="0" collapsed="false">
      <c r="B135" s="9" t="s">
        <v>2284</v>
      </c>
      <c r="C135" s="12" t="s">
        <v>257</v>
      </c>
      <c r="D135" s="12" t="s">
        <v>257</v>
      </c>
      <c r="E135" s="12" t="s">
        <v>257</v>
      </c>
    </row>
    <row r="136" customFormat="false" ht="25.5" hidden="false" customHeight="true" outlineLevel="0" collapsed="false">
      <c r="B136" s="7" t="s">
        <v>112</v>
      </c>
      <c r="C136" s="11" t="s">
        <v>258</v>
      </c>
      <c r="D136" s="11" t="s">
        <v>258</v>
      </c>
      <c r="E136" s="11" t="s">
        <v>258</v>
      </c>
    </row>
    <row r="137" customFormat="false" ht="25.5" hidden="false" customHeight="true" outlineLevel="0" collapsed="false">
      <c r="B137" s="9" t="s">
        <v>113</v>
      </c>
      <c r="C137" s="12" t="s">
        <v>248</v>
      </c>
      <c r="D137" s="12" t="s">
        <v>732</v>
      </c>
      <c r="E137" s="12" t="s">
        <v>1241</v>
      </c>
    </row>
    <row r="138" customFormat="false" ht="25.5" hidden="false" customHeight="true" outlineLevel="0" collapsed="false">
      <c r="B138" s="7" t="s">
        <v>114</v>
      </c>
      <c r="C138" s="11" t="s">
        <v>249</v>
      </c>
      <c r="D138" s="11" t="s">
        <v>733</v>
      </c>
      <c r="E138" s="11" t="s">
        <v>1242</v>
      </c>
    </row>
    <row r="139" customFormat="false" ht="25.5" hidden="false" customHeight="true" outlineLevel="0" collapsed="false">
      <c r="B139" s="9" t="s">
        <v>115</v>
      </c>
      <c r="C139" s="12" t="s">
        <v>205</v>
      </c>
      <c r="D139" s="12" t="s">
        <v>281</v>
      </c>
      <c r="E139" s="12" t="s">
        <v>623</v>
      </c>
    </row>
    <row r="140" customFormat="false" ht="25.5" hidden="false" customHeight="true" outlineLevel="0" collapsed="false">
      <c r="B140" s="7" t="s">
        <v>116</v>
      </c>
      <c r="C140" s="11" t="s">
        <v>116</v>
      </c>
      <c r="D140" s="11" t="s">
        <v>116</v>
      </c>
      <c r="E140" s="11" t="s">
        <v>116</v>
      </c>
    </row>
    <row r="141" customFormat="false" ht="25.5" hidden="false" customHeight="true" outlineLevel="0" collapsed="false">
      <c r="B141" s="9" t="s">
        <v>117</v>
      </c>
      <c r="C141" s="12" t="s">
        <v>250</v>
      </c>
      <c r="D141" s="12" t="s">
        <v>734</v>
      </c>
      <c r="E141" s="12" t="s">
        <v>1243</v>
      </c>
    </row>
    <row r="142" customFormat="false" ht="25.5" hidden="false" customHeight="true" outlineLevel="0" collapsed="false">
      <c r="B142" s="7" t="s">
        <v>120</v>
      </c>
      <c r="C142" s="11" t="s">
        <v>145</v>
      </c>
      <c r="D142" s="11" t="s">
        <v>329</v>
      </c>
      <c r="E142" s="11" t="s">
        <v>1186</v>
      </c>
    </row>
    <row r="143" customFormat="false" ht="25.5" hidden="false" customHeight="true" outlineLevel="0" collapsed="false">
      <c r="B143" s="9" t="s">
        <v>123</v>
      </c>
      <c r="C143" s="12" t="s">
        <v>147</v>
      </c>
      <c r="D143" s="12" t="s">
        <v>356</v>
      </c>
      <c r="E143" s="12" t="s">
        <v>356</v>
      </c>
    </row>
    <row r="144" customFormat="false" ht="25.5" hidden="false" customHeight="true" outlineLevel="0" collapsed="false">
      <c r="B144" s="7" t="s">
        <v>124</v>
      </c>
      <c r="C144" s="11" t="s">
        <v>194</v>
      </c>
      <c r="D144" s="11" t="s">
        <v>194</v>
      </c>
      <c r="E144" s="11" t="s">
        <v>194</v>
      </c>
    </row>
    <row r="145" customFormat="false" ht="25.5" hidden="false" customHeight="true" outlineLevel="0" collapsed="false">
      <c r="B145" s="9" t="s">
        <v>125</v>
      </c>
      <c r="C145" s="12" t="s">
        <v>208</v>
      </c>
      <c r="D145" s="12" t="s">
        <v>296</v>
      </c>
      <c r="E145" s="12" t="s">
        <v>1244</v>
      </c>
    </row>
    <row r="146" customFormat="false" ht="25.5" hidden="false" customHeight="true" outlineLevel="0" collapsed="false">
      <c r="B146" s="7" t="s">
        <v>126</v>
      </c>
      <c r="C146" s="11" t="s">
        <v>150</v>
      </c>
      <c r="D146" s="11" t="s">
        <v>682</v>
      </c>
      <c r="E146" s="11" t="s">
        <v>682</v>
      </c>
    </row>
    <row r="147" customFormat="false" ht="25.5" hidden="false" customHeight="true" outlineLevel="0" collapsed="false">
      <c r="B147" s="16" t="s">
        <v>131</v>
      </c>
      <c r="C147" s="20" t="n">
        <v>3290</v>
      </c>
      <c r="D147" s="20" t="n">
        <v>4200</v>
      </c>
      <c r="E147" s="20" t="n">
        <v>1900</v>
      </c>
    </row>
    <row r="149" customFormat="false" ht="21.75" hidden="false" customHeight="true" outlineLevel="0" collapsed="false">
      <c r="B149" s="22" t="s">
        <v>2320</v>
      </c>
      <c r="C149" s="22"/>
      <c r="D149" s="22"/>
      <c r="E149" s="22"/>
    </row>
    <row r="150" customFormat="false" ht="13.5" hidden="false" customHeight="true" outlineLevel="0" collapsed="false">
      <c r="B150" s="23" t="s">
        <v>2321</v>
      </c>
      <c r="C150" s="23"/>
      <c r="D150" s="23"/>
      <c r="E150" s="23"/>
    </row>
    <row r="151" customFormat="false" ht="31.5" hidden="false" customHeight="true" outlineLevel="0" collapsed="false">
      <c r="B151" s="5" t="s">
        <v>2280</v>
      </c>
      <c r="C151" s="5" t="s">
        <v>2322</v>
      </c>
      <c r="D151" s="5" t="s">
        <v>2323</v>
      </c>
      <c r="E151" s="5" t="s">
        <v>2324</v>
      </c>
    </row>
    <row r="152" customFormat="false" ht="25.5" hidden="false" customHeight="true" outlineLevel="0" collapsed="false">
      <c r="B152" s="7" t="s">
        <v>16</v>
      </c>
      <c r="C152" s="11" t="s">
        <v>18</v>
      </c>
      <c r="D152" s="11" t="s">
        <v>24</v>
      </c>
      <c r="E152" s="11" t="s">
        <v>24</v>
      </c>
    </row>
    <row r="153" customFormat="false" ht="25.5" hidden="false" customHeight="true" outlineLevel="0" collapsed="false">
      <c r="B153" s="9" t="s">
        <v>2284</v>
      </c>
      <c r="C153" s="12" t="s">
        <v>157</v>
      </c>
      <c r="D153" s="12" t="s">
        <v>157</v>
      </c>
      <c r="E153" s="12" t="s">
        <v>157</v>
      </c>
    </row>
    <row r="154" customFormat="false" ht="25.5" hidden="false" customHeight="true" outlineLevel="0" collapsed="false">
      <c r="B154" s="7" t="s">
        <v>112</v>
      </c>
      <c r="C154" s="11" t="s">
        <v>158</v>
      </c>
      <c r="D154" s="11" t="s">
        <v>158</v>
      </c>
      <c r="E154" s="11" t="s">
        <v>158</v>
      </c>
    </row>
    <row r="155" customFormat="false" ht="25.5" hidden="false" customHeight="true" outlineLevel="0" collapsed="false">
      <c r="B155" s="9" t="s">
        <v>113</v>
      </c>
      <c r="C155" s="12" t="s">
        <v>203</v>
      </c>
      <c r="D155" s="12" t="s">
        <v>203</v>
      </c>
      <c r="E155" s="12" t="s">
        <v>203</v>
      </c>
    </row>
    <row r="156" customFormat="false" ht="25.5" hidden="false" customHeight="true" outlineLevel="0" collapsed="false">
      <c r="B156" s="7" t="s">
        <v>114</v>
      </c>
      <c r="C156" s="11" t="s">
        <v>265</v>
      </c>
      <c r="D156" s="11" t="s">
        <v>1252</v>
      </c>
      <c r="E156" s="11" t="s">
        <v>1374</v>
      </c>
    </row>
    <row r="157" customFormat="false" ht="25.5" hidden="false" customHeight="true" outlineLevel="0" collapsed="false">
      <c r="B157" s="9" t="s">
        <v>115</v>
      </c>
      <c r="C157" s="12" t="s">
        <v>218</v>
      </c>
      <c r="D157" s="12" t="s">
        <v>281</v>
      </c>
      <c r="E157" s="12" t="s">
        <v>281</v>
      </c>
    </row>
    <row r="158" customFormat="false" ht="25.5" hidden="false" customHeight="true" outlineLevel="0" collapsed="false">
      <c r="B158" s="7" t="s">
        <v>116</v>
      </c>
      <c r="C158" s="11" t="s">
        <v>116</v>
      </c>
      <c r="D158" s="11" t="s">
        <v>326</v>
      </c>
      <c r="E158" s="11" t="s">
        <v>326</v>
      </c>
    </row>
    <row r="159" customFormat="false" ht="25.5" hidden="false" customHeight="true" outlineLevel="0" collapsed="false">
      <c r="B159" s="9" t="s">
        <v>117</v>
      </c>
      <c r="C159" s="12" t="s">
        <v>266</v>
      </c>
      <c r="D159" s="12" t="s">
        <v>266</v>
      </c>
      <c r="E159" s="12" t="s">
        <v>266</v>
      </c>
    </row>
    <row r="160" customFormat="false" ht="25.5" hidden="false" customHeight="true" outlineLevel="0" collapsed="false">
      <c r="B160" s="7" t="s">
        <v>120</v>
      </c>
      <c r="C160" s="11" t="s">
        <v>145</v>
      </c>
      <c r="D160" s="11" t="s">
        <v>1186</v>
      </c>
      <c r="E160" s="11" t="s">
        <v>1186</v>
      </c>
    </row>
    <row r="161" customFormat="false" ht="25.5" hidden="false" customHeight="true" outlineLevel="0" collapsed="false">
      <c r="B161" s="9" t="s">
        <v>123</v>
      </c>
      <c r="C161" s="12" t="s">
        <v>223</v>
      </c>
      <c r="D161" s="12" t="s">
        <v>223</v>
      </c>
      <c r="E161" s="12" t="s">
        <v>223</v>
      </c>
    </row>
    <row r="162" customFormat="false" ht="25.5" hidden="false" customHeight="true" outlineLevel="0" collapsed="false">
      <c r="B162" s="7" t="s">
        <v>124</v>
      </c>
      <c r="C162" s="11" t="s">
        <v>148</v>
      </c>
      <c r="D162" s="11" t="s">
        <v>148</v>
      </c>
      <c r="E162" s="11" t="s">
        <v>148</v>
      </c>
    </row>
    <row r="163" customFormat="false" ht="25.5" hidden="false" customHeight="true" outlineLevel="0" collapsed="false">
      <c r="B163" s="9" t="s">
        <v>125</v>
      </c>
      <c r="C163" s="12" t="s">
        <v>267</v>
      </c>
      <c r="D163" s="12" t="s">
        <v>1253</v>
      </c>
      <c r="E163" s="12" t="s">
        <v>1375</v>
      </c>
    </row>
    <row r="164" customFormat="false" ht="25.5" hidden="false" customHeight="true" outlineLevel="0" collapsed="false">
      <c r="B164" s="7" t="s">
        <v>126</v>
      </c>
      <c r="C164" s="11" t="s">
        <v>150</v>
      </c>
      <c r="D164" s="11" t="s">
        <v>682</v>
      </c>
      <c r="E164" s="11" t="s">
        <v>682</v>
      </c>
    </row>
    <row r="165" customFormat="false" ht="25.5" hidden="false" customHeight="true" outlineLevel="0" collapsed="false">
      <c r="B165" s="16" t="s">
        <v>131</v>
      </c>
      <c r="C165" s="20" t="n">
        <v>520</v>
      </c>
      <c r="D165" s="20" t="n">
        <v>150</v>
      </c>
      <c r="E165" s="20" t="n">
        <v>75</v>
      </c>
    </row>
    <row r="167" customFormat="false" ht="21.75" hidden="false" customHeight="true" outlineLevel="0" collapsed="false">
      <c r="B167" s="22" t="s">
        <v>2325</v>
      </c>
      <c r="C167" s="22"/>
      <c r="D167" s="22"/>
      <c r="E167" s="22"/>
    </row>
    <row r="168" customFormat="false" ht="13.5" hidden="false" customHeight="true" outlineLevel="0" collapsed="false">
      <c r="B168" s="23" t="s">
        <v>2326</v>
      </c>
      <c r="C168" s="23"/>
      <c r="D168" s="23"/>
      <c r="E168" s="23"/>
    </row>
    <row r="169" customFormat="false" ht="31.5" hidden="false" customHeight="true" outlineLevel="0" collapsed="false">
      <c r="B169" s="5" t="s">
        <v>2280</v>
      </c>
      <c r="C169" s="5" t="s">
        <v>2327</v>
      </c>
      <c r="D169" s="5" t="s">
        <v>2328</v>
      </c>
      <c r="E169" s="5" t="s">
        <v>2329</v>
      </c>
    </row>
    <row r="170" customFormat="false" ht="25.5" hidden="false" customHeight="true" outlineLevel="0" collapsed="false">
      <c r="B170" s="7" t="s">
        <v>16</v>
      </c>
      <c r="C170" s="11" t="s">
        <v>18</v>
      </c>
      <c r="D170" s="11" t="s">
        <v>18</v>
      </c>
      <c r="E170" s="11" t="s">
        <v>24</v>
      </c>
    </row>
    <row r="171" customFormat="false" ht="25.5" hidden="false" customHeight="true" outlineLevel="0" collapsed="false">
      <c r="B171" s="9" t="s">
        <v>2284</v>
      </c>
      <c r="C171" s="12" t="s">
        <v>287</v>
      </c>
      <c r="D171" s="12" t="s">
        <v>287</v>
      </c>
      <c r="E171" s="12" t="s">
        <v>287</v>
      </c>
    </row>
    <row r="172" customFormat="false" ht="25.5" hidden="false" customHeight="true" outlineLevel="0" collapsed="false">
      <c r="B172" s="7" t="s">
        <v>112</v>
      </c>
      <c r="C172" s="11" t="s">
        <v>288</v>
      </c>
      <c r="D172" s="11" t="s">
        <v>288</v>
      </c>
      <c r="E172" s="11" t="s">
        <v>288</v>
      </c>
    </row>
    <row r="173" customFormat="false" ht="25.5" hidden="false" customHeight="true" outlineLevel="0" collapsed="false">
      <c r="B173" s="9" t="s">
        <v>113</v>
      </c>
      <c r="C173" s="12" t="s">
        <v>278</v>
      </c>
      <c r="D173" s="12" t="s">
        <v>278</v>
      </c>
      <c r="E173" s="12" t="s">
        <v>549</v>
      </c>
    </row>
    <row r="174" customFormat="false" ht="25.5" hidden="false" customHeight="true" outlineLevel="0" collapsed="false">
      <c r="B174" s="7" t="s">
        <v>114</v>
      </c>
      <c r="C174" s="11" t="s">
        <v>279</v>
      </c>
      <c r="D174" s="11" t="s">
        <v>418</v>
      </c>
      <c r="E174" s="11" t="s">
        <v>1262</v>
      </c>
    </row>
    <row r="175" customFormat="false" ht="25.5" hidden="false" customHeight="true" outlineLevel="0" collapsed="false">
      <c r="B175" s="9" t="s">
        <v>115</v>
      </c>
      <c r="C175" s="12" t="s">
        <v>280</v>
      </c>
      <c r="D175" s="12" t="s">
        <v>419</v>
      </c>
      <c r="E175" s="12" t="s">
        <v>551</v>
      </c>
    </row>
    <row r="176" customFormat="false" ht="25.5" hidden="false" customHeight="true" outlineLevel="0" collapsed="false">
      <c r="B176" s="7" t="s">
        <v>116</v>
      </c>
      <c r="C176" s="11" t="s">
        <v>281</v>
      </c>
      <c r="D176" s="11" t="s">
        <v>281</v>
      </c>
      <c r="E176" s="11" t="s">
        <v>281</v>
      </c>
    </row>
    <row r="177" customFormat="false" ht="25.5" hidden="false" customHeight="true" outlineLevel="0" collapsed="false">
      <c r="B177" s="9" t="s">
        <v>117</v>
      </c>
      <c r="C177" s="12" t="s">
        <v>282</v>
      </c>
      <c r="D177" s="12" t="s">
        <v>420</v>
      </c>
      <c r="E177" s="12" t="s">
        <v>1263</v>
      </c>
    </row>
    <row r="178" customFormat="false" ht="25.5" hidden="false" customHeight="true" outlineLevel="0" collapsed="false">
      <c r="B178" s="7" t="s">
        <v>120</v>
      </c>
      <c r="C178" s="11" t="s">
        <v>145</v>
      </c>
      <c r="D178" s="11" t="s">
        <v>329</v>
      </c>
      <c r="E178" s="11" t="s">
        <v>1186</v>
      </c>
    </row>
    <row r="179" customFormat="false" ht="25.5" hidden="false" customHeight="true" outlineLevel="0" collapsed="false">
      <c r="B179" s="9" t="s">
        <v>123</v>
      </c>
      <c r="C179" s="12" t="s">
        <v>193</v>
      </c>
      <c r="D179" s="12" t="s">
        <v>147</v>
      </c>
      <c r="E179" s="12" t="s">
        <v>356</v>
      </c>
    </row>
    <row r="180" customFormat="false" ht="25.5" hidden="false" customHeight="true" outlineLevel="0" collapsed="false">
      <c r="B180" s="7" t="s">
        <v>124</v>
      </c>
      <c r="C180" s="11" t="s">
        <v>194</v>
      </c>
      <c r="D180" s="11" t="s">
        <v>194</v>
      </c>
      <c r="E180" s="11" t="s">
        <v>194</v>
      </c>
    </row>
    <row r="181" customFormat="false" ht="25.5" hidden="false" customHeight="true" outlineLevel="0" collapsed="false">
      <c r="B181" s="9" t="s">
        <v>125</v>
      </c>
      <c r="C181" s="12" t="s">
        <v>208</v>
      </c>
      <c r="D181" s="12" t="s">
        <v>421</v>
      </c>
      <c r="E181" s="12" t="s">
        <v>368</v>
      </c>
    </row>
    <row r="182" customFormat="false" ht="25.5" hidden="false" customHeight="true" outlineLevel="0" collapsed="false">
      <c r="B182" s="7" t="s">
        <v>126</v>
      </c>
      <c r="C182" s="11" t="s">
        <v>150</v>
      </c>
      <c r="D182" s="11" t="s">
        <v>334</v>
      </c>
      <c r="E182" s="11" t="s">
        <v>682</v>
      </c>
    </row>
    <row r="183" customFormat="false" ht="25.5" hidden="false" customHeight="true" outlineLevel="0" collapsed="false">
      <c r="B183" s="16" t="s">
        <v>131</v>
      </c>
      <c r="C183" s="20" t="n">
        <v>7900</v>
      </c>
      <c r="D183" s="20" t="n">
        <v>11500</v>
      </c>
      <c r="E183" s="20" t="n">
        <v>1450</v>
      </c>
    </row>
    <row r="185" customFormat="false" ht="21.75" hidden="false" customHeight="true" outlineLevel="0" collapsed="false">
      <c r="B185" s="22" t="s">
        <v>2330</v>
      </c>
      <c r="C185" s="22"/>
      <c r="D185" s="22"/>
      <c r="E185" s="22"/>
    </row>
    <row r="186" customFormat="false" ht="13.5" hidden="false" customHeight="true" outlineLevel="0" collapsed="false">
      <c r="B186" s="23" t="s">
        <v>2331</v>
      </c>
      <c r="C186" s="23"/>
      <c r="D186" s="23"/>
      <c r="E186" s="23"/>
    </row>
    <row r="187" customFormat="false" ht="31.5" hidden="false" customHeight="true" outlineLevel="0" collapsed="false">
      <c r="B187" s="5" t="s">
        <v>2280</v>
      </c>
      <c r="C187" s="5" t="s">
        <v>2332</v>
      </c>
      <c r="D187" s="5" t="s">
        <v>2333</v>
      </c>
      <c r="E187" s="5" t="s">
        <v>2334</v>
      </c>
    </row>
    <row r="188" customFormat="false" ht="25.5" hidden="false" customHeight="true" outlineLevel="0" collapsed="false">
      <c r="B188" s="7" t="s">
        <v>16</v>
      </c>
      <c r="C188" s="11" t="s">
        <v>18</v>
      </c>
      <c r="D188" s="11" t="s">
        <v>24</v>
      </c>
      <c r="E188" s="11" t="s">
        <v>24</v>
      </c>
    </row>
    <row r="189" customFormat="false" ht="25.5" hidden="false" customHeight="true" outlineLevel="0" collapsed="false">
      <c r="B189" s="9" t="s">
        <v>2284</v>
      </c>
      <c r="C189" s="12" t="s">
        <v>163</v>
      </c>
      <c r="D189" s="12" t="s">
        <v>163</v>
      </c>
      <c r="E189" s="12" t="s">
        <v>163</v>
      </c>
    </row>
    <row r="190" customFormat="false" ht="25.5" hidden="false" customHeight="true" outlineLevel="0" collapsed="false">
      <c r="B190" s="7" t="s">
        <v>112</v>
      </c>
      <c r="C190" s="11" t="s">
        <v>164</v>
      </c>
      <c r="D190" s="11" t="s">
        <v>164</v>
      </c>
      <c r="E190" s="11" t="s">
        <v>164</v>
      </c>
    </row>
    <row r="191" customFormat="false" ht="25.5" hidden="false" customHeight="true" outlineLevel="0" collapsed="false">
      <c r="B191" s="9" t="s">
        <v>113</v>
      </c>
      <c r="C191" s="12" t="s">
        <v>293</v>
      </c>
      <c r="D191" s="12" t="s">
        <v>396</v>
      </c>
      <c r="E191" s="12" t="s">
        <v>203</v>
      </c>
    </row>
    <row r="192" customFormat="false" ht="25.5" hidden="false" customHeight="true" outlineLevel="0" collapsed="false">
      <c r="B192" s="7" t="s">
        <v>114</v>
      </c>
      <c r="C192" s="11" t="s">
        <v>294</v>
      </c>
      <c r="D192" s="11" t="s">
        <v>429</v>
      </c>
      <c r="E192" s="11" t="s">
        <v>993</v>
      </c>
    </row>
    <row r="193" customFormat="false" ht="25.5" hidden="false" customHeight="true" outlineLevel="0" collapsed="false">
      <c r="B193" s="9" t="s">
        <v>115</v>
      </c>
      <c r="C193" s="12" t="s">
        <v>205</v>
      </c>
      <c r="D193" s="12" t="s">
        <v>1271</v>
      </c>
      <c r="E193" s="12" t="s">
        <v>1392</v>
      </c>
    </row>
    <row r="194" customFormat="false" ht="25.5" hidden="false" customHeight="true" outlineLevel="0" collapsed="false">
      <c r="B194" s="7" t="s">
        <v>116</v>
      </c>
      <c r="C194" s="11" t="s">
        <v>141</v>
      </c>
      <c r="D194" s="11" t="s">
        <v>326</v>
      </c>
      <c r="E194" s="11" t="s">
        <v>326</v>
      </c>
    </row>
    <row r="195" customFormat="false" ht="25.5" hidden="false" customHeight="true" outlineLevel="0" collapsed="false">
      <c r="B195" s="9" t="s">
        <v>117</v>
      </c>
      <c r="C195" s="12" t="s">
        <v>295</v>
      </c>
      <c r="D195" s="12" t="s">
        <v>1272</v>
      </c>
      <c r="E195" s="12" t="s">
        <v>1393</v>
      </c>
    </row>
    <row r="196" customFormat="false" ht="25.5" hidden="false" customHeight="true" outlineLevel="0" collapsed="false">
      <c r="B196" s="7" t="s">
        <v>120</v>
      </c>
      <c r="C196" s="11" t="s">
        <v>145</v>
      </c>
      <c r="D196" s="11" t="s">
        <v>1186</v>
      </c>
      <c r="E196" s="11" t="s">
        <v>1186</v>
      </c>
    </row>
    <row r="197" customFormat="false" ht="25.5" hidden="false" customHeight="true" outlineLevel="0" collapsed="false">
      <c r="B197" s="9" t="s">
        <v>123</v>
      </c>
      <c r="C197" s="12" t="s">
        <v>147</v>
      </c>
      <c r="D197" s="12" t="s">
        <v>356</v>
      </c>
      <c r="E197" s="12" t="s">
        <v>356</v>
      </c>
    </row>
    <row r="198" customFormat="false" ht="25.5" hidden="false" customHeight="true" outlineLevel="0" collapsed="false">
      <c r="B198" s="7" t="s">
        <v>124</v>
      </c>
      <c r="C198" s="11" t="s">
        <v>194</v>
      </c>
      <c r="D198" s="11" t="s">
        <v>194</v>
      </c>
      <c r="E198" s="11" t="s">
        <v>148</v>
      </c>
    </row>
    <row r="199" customFormat="false" ht="25.5" hidden="false" customHeight="true" outlineLevel="0" collapsed="false">
      <c r="B199" s="9" t="s">
        <v>125</v>
      </c>
      <c r="C199" s="12" t="s">
        <v>296</v>
      </c>
      <c r="D199" s="12" t="s">
        <v>368</v>
      </c>
      <c r="E199" s="12" t="s">
        <v>380</v>
      </c>
    </row>
    <row r="200" customFormat="false" ht="25.5" hidden="false" customHeight="true" outlineLevel="0" collapsed="false">
      <c r="B200" s="7" t="s">
        <v>126</v>
      </c>
      <c r="C200" s="11" t="s">
        <v>150</v>
      </c>
      <c r="D200" s="11" t="s">
        <v>682</v>
      </c>
      <c r="E200" s="11" t="s">
        <v>682</v>
      </c>
    </row>
    <row r="201" customFormat="false" ht="25.5" hidden="false" customHeight="true" outlineLevel="0" collapsed="false">
      <c r="B201" s="16" t="s">
        <v>131</v>
      </c>
      <c r="C201" s="20" t="n">
        <v>3480</v>
      </c>
      <c r="D201" s="20" t="n">
        <v>550</v>
      </c>
      <c r="E201" s="20" t="n">
        <v>420</v>
      </c>
    </row>
    <row r="203" customFormat="false" ht="21.75" hidden="false" customHeight="true" outlineLevel="0" collapsed="false">
      <c r="B203" s="22" t="s">
        <v>2335</v>
      </c>
      <c r="C203" s="22"/>
      <c r="D203" s="22"/>
      <c r="E203" s="22"/>
    </row>
    <row r="204" customFormat="false" ht="13.5" hidden="false" customHeight="true" outlineLevel="0" collapsed="false">
      <c r="B204" s="23" t="s">
        <v>2336</v>
      </c>
      <c r="C204" s="23"/>
      <c r="D204" s="23"/>
      <c r="E204" s="23"/>
    </row>
    <row r="205" customFormat="false" ht="31.5" hidden="false" customHeight="true" outlineLevel="0" collapsed="false">
      <c r="B205" s="5" t="s">
        <v>2280</v>
      </c>
      <c r="C205" s="5" t="s">
        <v>2337</v>
      </c>
      <c r="D205" s="5" t="s">
        <v>2338</v>
      </c>
      <c r="E205" s="5" t="s">
        <v>2339</v>
      </c>
    </row>
    <row r="206" customFormat="false" ht="25.5" hidden="false" customHeight="true" outlineLevel="0" collapsed="false">
      <c r="B206" s="7" t="s">
        <v>16</v>
      </c>
      <c r="C206" s="11" t="s">
        <v>24</v>
      </c>
      <c r="D206" s="11" t="s">
        <v>24</v>
      </c>
      <c r="E206" s="11" t="s">
        <v>27</v>
      </c>
    </row>
    <row r="207" customFormat="false" ht="25.5" hidden="false" customHeight="true" outlineLevel="0" collapsed="false">
      <c r="B207" s="9" t="s">
        <v>2284</v>
      </c>
      <c r="C207" s="12" t="s">
        <v>309</v>
      </c>
      <c r="D207" s="12" t="s">
        <v>309</v>
      </c>
      <c r="E207" s="12" t="s">
        <v>309</v>
      </c>
    </row>
    <row r="208" customFormat="false" ht="25.5" hidden="false" customHeight="true" outlineLevel="0" collapsed="false">
      <c r="B208" s="7" t="s">
        <v>112</v>
      </c>
      <c r="C208" s="11" t="s">
        <v>310</v>
      </c>
      <c r="D208" s="11" t="s">
        <v>310</v>
      </c>
      <c r="E208" s="11" t="s">
        <v>310</v>
      </c>
    </row>
    <row r="209" customFormat="false" ht="25.5" hidden="false" customHeight="true" outlineLevel="0" collapsed="false">
      <c r="B209" s="9" t="s">
        <v>113</v>
      </c>
      <c r="C209" s="12" t="s">
        <v>567</v>
      </c>
      <c r="D209" s="12" t="s">
        <v>866</v>
      </c>
      <c r="E209" s="12" t="s">
        <v>567</v>
      </c>
    </row>
    <row r="210" customFormat="false" ht="25.5" hidden="false" customHeight="true" outlineLevel="0" collapsed="false">
      <c r="B210" s="7" t="s">
        <v>114</v>
      </c>
      <c r="C210" s="11" t="s">
        <v>1280</v>
      </c>
      <c r="D210" s="11" t="s">
        <v>1485</v>
      </c>
      <c r="E210" s="11" t="s">
        <v>1675</v>
      </c>
    </row>
    <row r="211" customFormat="false" ht="25.5" hidden="false" customHeight="true" outlineLevel="0" collapsed="false">
      <c r="B211" s="9" t="s">
        <v>115</v>
      </c>
      <c r="C211" s="12" t="s">
        <v>1281</v>
      </c>
      <c r="D211" s="12" t="s">
        <v>1486</v>
      </c>
      <c r="E211" s="12" t="s">
        <v>528</v>
      </c>
    </row>
    <row r="212" customFormat="false" ht="25.5" hidden="false" customHeight="true" outlineLevel="0" collapsed="false">
      <c r="B212" s="7" t="s">
        <v>116</v>
      </c>
      <c r="C212" s="11" t="s">
        <v>326</v>
      </c>
      <c r="D212" s="11" t="s">
        <v>326</v>
      </c>
      <c r="E212" s="11" t="s">
        <v>116</v>
      </c>
    </row>
    <row r="213" customFormat="false" ht="25.5" hidden="false" customHeight="true" outlineLevel="0" collapsed="false">
      <c r="B213" s="9" t="s">
        <v>117</v>
      </c>
      <c r="C213" s="12" t="s">
        <v>1282</v>
      </c>
      <c r="D213" s="12" t="s">
        <v>1487</v>
      </c>
      <c r="E213" s="12" t="s">
        <v>1676</v>
      </c>
    </row>
    <row r="214" customFormat="false" ht="25.5" hidden="false" customHeight="true" outlineLevel="0" collapsed="false">
      <c r="B214" s="7" t="s">
        <v>120</v>
      </c>
      <c r="C214" s="11" t="s">
        <v>1186</v>
      </c>
      <c r="D214" s="11" t="s">
        <v>1186</v>
      </c>
      <c r="E214" s="11" t="s">
        <v>1135</v>
      </c>
    </row>
    <row r="215" customFormat="false" ht="25.5" hidden="false" customHeight="true" outlineLevel="0" collapsed="false">
      <c r="B215" s="9" t="s">
        <v>123</v>
      </c>
      <c r="C215" s="12" t="s">
        <v>1205</v>
      </c>
      <c r="D215" s="12" t="s">
        <v>356</v>
      </c>
      <c r="E215" s="12" t="s">
        <v>356</v>
      </c>
    </row>
    <row r="216" customFormat="false" ht="25.5" hidden="false" customHeight="true" outlineLevel="0" collapsed="false">
      <c r="B216" s="7" t="s">
        <v>124</v>
      </c>
      <c r="C216" s="11" t="s">
        <v>194</v>
      </c>
      <c r="D216" s="11" t="s">
        <v>194</v>
      </c>
      <c r="E216" s="11" t="s">
        <v>148</v>
      </c>
    </row>
    <row r="217" customFormat="false" ht="25.5" hidden="false" customHeight="true" outlineLevel="0" collapsed="false">
      <c r="B217" s="9" t="s">
        <v>125</v>
      </c>
      <c r="C217" s="12" t="s">
        <v>208</v>
      </c>
      <c r="D217" s="12" t="s">
        <v>783</v>
      </c>
      <c r="E217" s="12" t="s">
        <v>380</v>
      </c>
    </row>
    <row r="218" customFormat="false" ht="25.5" hidden="false" customHeight="true" outlineLevel="0" collapsed="false">
      <c r="B218" s="7" t="s">
        <v>126</v>
      </c>
      <c r="C218" s="11" t="s">
        <v>682</v>
      </c>
      <c r="D218" s="11" t="s">
        <v>682</v>
      </c>
      <c r="E218" s="11" t="s">
        <v>1643</v>
      </c>
    </row>
    <row r="219" customFormat="false" ht="25.5" hidden="false" customHeight="true" outlineLevel="0" collapsed="false">
      <c r="B219" s="16" t="s">
        <v>131</v>
      </c>
      <c r="C219" s="20" t="n">
        <v>620</v>
      </c>
      <c r="D219" s="20" t="n">
        <v>690</v>
      </c>
      <c r="E219" s="20" t="n">
        <v>130</v>
      </c>
    </row>
    <row r="221" customFormat="false" ht="21.75" hidden="false" customHeight="true" outlineLevel="0" collapsed="false">
      <c r="B221" s="22" t="s">
        <v>2340</v>
      </c>
      <c r="C221" s="22"/>
      <c r="D221" s="22"/>
      <c r="E221" s="22"/>
    </row>
    <row r="222" customFormat="false" ht="13.5" hidden="false" customHeight="true" outlineLevel="0" collapsed="false">
      <c r="B222" s="23" t="s">
        <v>2341</v>
      </c>
      <c r="C222" s="23"/>
      <c r="D222" s="23"/>
      <c r="E222" s="23"/>
    </row>
    <row r="223" customFormat="false" ht="31.5" hidden="false" customHeight="true" outlineLevel="0" collapsed="false">
      <c r="B223" s="5" t="s">
        <v>2280</v>
      </c>
      <c r="C223" s="5" t="s">
        <v>2342</v>
      </c>
      <c r="D223" s="5" t="s">
        <v>2343</v>
      </c>
      <c r="E223" s="5" t="s">
        <v>2344</v>
      </c>
    </row>
    <row r="224" customFormat="false" ht="25.5" hidden="false" customHeight="true" outlineLevel="0" collapsed="false">
      <c r="B224" s="7" t="s">
        <v>16</v>
      </c>
      <c r="C224" s="11" t="s">
        <v>18</v>
      </c>
      <c r="D224" s="11" t="s">
        <v>24</v>
      </c>
      <c r="E224" s="11" t="s">
        <v>27</v>
      </c>
    </row>
    <row r="225" customFormat="false" ht="25.5" hidden="false" customHeight="true" outlineLevel="0" collapsed="false">
      <c r="B225" s="9" t="s">
        <v>2284</v>
      </c>
      <c r="C225" s="12" t="s">
        <v>157</v>
      </c>
      <c r="D225" s="12" t="s">
        <v>157</v>
      </c>
      <c r="E225" s="12" t="s">
        <v>157</v>
      </c>
    </row>
    <row r="226" customFormat="false" ht="25.5" hidden="false" customHeight="true" outlineLevel="0" collapsed="false">
      <c r="B226" s="7" t="s">
        <v>112</v>
      </c>
      <c r="C226" s="11" t="s">
        <v>158</v>
      </c>
      <c r="D226" s="11" t="s">
        <v>158</v>
      </c>
      <c r="E226" s="11" t="s">
        <v>158</v>
      </c>
    </row>
    <row r="227" customFormat="false" ht="25.5" hidden="false" customHeight="true" outlineLevel="0" collapsed="false">
      <c r="B227" s="9" t="s">
        <v>113</v>
      </c>
      <c r="C227" s="12" t="s">
        <v>203</v>
      </c>
      <c r="D227" s="12" t="s">
        <v>396</v>
      </c>
      <c r="E227" s="12" t="s">
        <v>203</v>
      </c>
    </row>
    <row r="228" customFormat="false" ht="25.5" hidden="false" customHeight="true" outlineLevel="0" collapsed="false">
      <c r="B228" s="7" t="s">
        <v>114</v>
      </c>
      <c r="C228" s="11" t="s">
        <v>168</v>
      </c>
      <c r="D228" s="11" t="s">
        <v>429</v>
      </c>
      <c r="E228" s="11" t="s">
        <v>1683</v>
      </c>
    </row>
    <row r="229" customFormat="false" ht="25.5" hidden="false" customHeight="true" outlineLevel="0" collapsed="false">
      <c r="B229" s="9" t="s">
        <v>115</v>
      </c>
      <c r="C229" s="12" t="s">
        <v>205</v>
      </c>
      <c r="D229" s="12" t="s">
        <v>1281</v>
      </c>
      <c r="E229" s="12" t="s">
        <v>205</v>
      </c>
    </row>
    <row r="230" customFormat="false" ht="25.5" hidden="false" customHeight="true" outlineLevel="0" collapsed="false">
      <c r="B230" s="7" t="s">
        <v>116</v>
      </c>
      <c r="C230" s="11" t="s">
        <v>116</v>
      </c>
      <c r="D230" s="11" t="s">
        <v>326</v>
      </c>
      <c r="E230" s="11" t="s">
        <v>116</v>
      </c>
    </row>
    <row r="231" customFormat="false" ht="25.5" hidden="false" customHeight="true" outlineLevel="0" collapsed="false">
      <c r="B231" s="9" t="s">
        <v>117</v>
      </c>
      <c r="C231" s="12" t="s">
        <v>672</v>
      </c>
      <c r="D231" s="12" t="s">
        <v>1290</v>
      </c>
      <c r="E231" s="12" t="s">
        <v>1177</v>
      </c>
    </row>
    <row r="232" customFormat="false" ht="25.5" hidden="false" customHeight="true" outlineLevel="0" collapsed="false">
      <c r="B232" s="7" t="s">
        <v>120</v>
      </c>
      <c r="C232" s="11" t="s">
        <v>329</v>
      </c>
      <c r="D232" s="11" t="s">
        <v>1186</v>
      </c>
      <c r="E232" s="11" t="s">
        <v>1135</v>
      </c>
    </row>
    <row r="233" customFormat="false" ht="25.5" hidden="false" customHeight="true" outlineLevel="0" collapsed="false">
      <c r="B233" s="9" t="s">
        <v>123</v>
      </c>
      <c r="C233" s="12" t="s">
        <v>398</v>
      </c>
      <c r="D233" s="12" t="s">
        <v>356</v>
      </c>
      <c r="E233" s="12" t="s">
        <v>356</v>
      </c>
    </row>
    <row r="234" customFormat="false" ht="25.5" hidden="false" customHeight="true" outlineLevel="0" collapsed="false">
      <c r="B234" s="7" t="s">
        <v>124</v>
      </c>
      <c r="C234" s="11" t="s">
        <v>148</v>
      </c>
      <c r="D234" s="11" t="s">
        <v>194</v>
      </c>
      <c r="E234" s="11" t="s">
        <v>148</v>
      </c>
    </row>
    <row r="235" customFormat="false" ht="25.5" hidden="false" customHeight="true" outlineLevel="0" collapsed="false">
      <c r="B235" s="9" t="s">
        <v>125</v>
      </c>
      <c r="C235" s="12" t="s">
        <v>380</v>
      </c>
      <c r="D235" s="12" t="s">
        <v>368</v>
      </c>
      <c r="E235" s="12" t="s">
        <v>380</v>
      </c>
    </row>
    <row r="236" customFormat="false" ht="25.5" hidden="false" customHeight="true" outlineLevel="0" collapsed="false">
      <c r="B236" s="7" t="s">
        <v>126</v>
      </c>
      <c r="C236" s="11" t="s">
        <v>600</v>
      </c>
      <c r="D236" s="11" t="s">
        <v>682</v>
      </c>
      <c r="E236" s="11" t="s">
        <v>1643</v>
      </c>
    </row>
    <row r="237" customFormat="false" ht="25.5" hidden="false" customHeight="true" outlineLevel="0" collapsed="false">
      <c r="B237" s="16" t="s">
        <v>131</v>
      </c>
      <c r="C237" s="20" t="n">
        <v>890</v>
      </c>
      <c r="D237" s="20" t="n">
        <v>480</v>
      </c>
      <c r="E237" s="20" t="n">
        <v>95</v>
      </c>
    </row>
    <row r="239" customFormat="false" ht="21.75" hidden="false" customHeight="true" outlineLevel="0" collapsed="false">
      <c r="B239" s="22" t="s">
        <v>2345</v>
      </c>
      <c r="C239" s="22"/>
      <c r="D239" s="22"/>
      <c r="E239" s="22"/>
    </row>
    <row r="240" customFormat="false" ht="13.5" hidden="false" customHeight="true" outlineLevel="0" collapsed="false">
      <c r="B240" s="23" t="s">
        <v>2346</v>
      </c>
      <c r="C240" s="23"/>
      <c r="D240" s="23"/>
      <c r="E240" s="23"/>
    </row>
    <row r="241" customFormat="false" ht="31.5" hidden="false" customHeight="true" outlineLevel="0" collapsed="false">
      <c r="B241" s="5" t="s">
        <v>2280</v>
      </c>
      <c r="C241" s="5" t="s">
        <v>2347</v>
      </c>
      <c r="D241" s="5" t="s">
        <v>2348</v>
      </c>
      <c r="E241" s="5" t="s">
        <v>2349</v>
      </c>
    </row>
    <row r="242" customFormat="false" ht="25.5" hidden="false" customHeight="true" outlineLevel="0" collapsed="false">
      <c r="B242" s="7" t="s">
        <v>16</v>
      </c>
      <c r="C242" s="11" t="s">
        <v>18</v>
      </c>
      <c r="D242" s="11" t="s">
        <v>18</v>
      </c>
      <c r="E242" s="11" t="s">
        <v>27</v>
      </c>
    </row>
    <row r="243" customFormat="false" ht="25.5" hidden="false" customHeight="true" outlineLevel="0" collapsed="false">
      <c r="B243" s="9" t="s">
        <v>2284</v>
      </c>
      <c r="C243" s="12" t="s">
        <v>157</v>
      </c>
      <c r="D243" s="12" t="s">
        <v>157</v>
      </c>
      <c r="E243" s="12" t="s">
        <v>157</v>
      </c>
    </row>
    <row r="244" customFormat="false" ht="25.5" hidden="false" customHeight="true" outlineLevel="0" collapsed="false">
      <c r="B244" s="7" t="s">
        <v>112</v>
      </c>
      <c r="C244" s="11" t="s">
        <v>158</v>
      </c>
      <c r="D244" s="11" t="s">
        <v>158</v>
      </c>
      <c r="E244" s="11" t="s">
        <v>158</v>
      </c>
    </row>
    <row r="245" customFormat="false" ht="25.5" hidden="false" customHeight="true" outlineLevel="0" collapsed="false">
      <c r="B245" s="9" t="s">
        <v>113</v>
      </c>
      <c r="C245" s="12" t="s">
        <v>449</v>
      </c>
      <c r="D245" s="12" t="s">
        <v>449</v>
      </c>
      <c r="E245" s="12" t="s">
        <v>468</v>
      </c>
    </row>
    <row r="246" customFormat="false" ht="25.5" hidden="false" customHeight="true" outlineLevel="0" collapsed="false">
      <c r="B246" s="7" t="s">
        <v>114</v>
      </c>
      <c r="C246" s="11" t="s">
        <v>450</v>
      </c>
      <c r="D246" s="11" t="s">
        <v>809</v>
      </c>
      <c r="E246" s="11" t="s">
        <v>1634</v>
      </c>
    </row>
    <row r="247" customFormat="false" ht="25.5" hidden="false" customHeight="true" outlineLevel="0" collapsed="false">
      <c r="B247" s="9" t="s">
        <v>115</v>
      </c>
      <c r="C247" s="12" t="s">
        <v>451</v>
      </c>
      <c r="D247" s="12" t="s">
        <v>451</v>
      </c>
      <c r="E247" s="12" t="s">
        <v>1045</v>
      </c>
    </row>
    <row r="248" customFormat="false" ht="25.5" hidden="false" customHeight="true" outlineLevel="0" collapsed="false">
      <c r="B248" s="7" t="s">
        <v>116</v>
      </c>
      <c r="C248" s="11" t="s">
        <v>281</v>
      </c>
      <c r="D248" s="11" t="s">
        <v>281</v>
      </c>
      <c r="E248" s="11" t="s">
        <v>281</v>
      </c>
    </row>
    <row r="249" customFormat="false" ht="25.5" hidden="false" customHeight="true" outlineLevel="0" collapsed="false">
      <c r="B249" s="9" t="s">
        <v>117</v>
      </c>
      <c r="C249" s="12" t="s">
        <v>452</v>
      </c>
      <c r="D249" s="12" t="s">
        <v>810</v>
      </c>
      <c r="E249" s="12" t="s">
        <v>1421</v>
      </c>
    </row>
    <row r="250" customFormat="false" ht="25.5" hidden="false" customHeight="true" outlineLevel="0" collapsed="false">
      <c r="B250" s="7" t="s">
        <v>120</v>
      </c>
      <c r="C250" s="11" t="s">
        <v>455</v>
      </c>
      <c r="D250" s="11" t="s">
        <v>455</v>
      </c>
      <c r="E250" s="11" t="s">
        <v>455</v>
      </c>
    </row>
    <row r="251" customFormat="false" ht="25.5" hidden="false" customHeight="true" outlineLevel="0" collapsed="false">
      <c r="B251" s="9" t="s">
        <v>123</v>
      </c>
      <c r="C251" s="12" t="s">
        <v>223</v>
      </c>
      <c r="D251" s="12" t="s">
        <v>223</v>
      </c>
      <c r="E251" s="12" t="s">
        <v>223</v>
      </c>
    </row>
    <row r="252" customFormat="false" ht="25.5" hidden="false" customHeight="true" outlineLevel="0" collapsed="false">
      <c r="B252" s="7" t="s">
        <v>124</v>
      </c>
      <c r="C252" s="11" t="s">
        <v>457</v>
      </c>
      <c r="D252" s="11" t="s">
        <v>588</v>
      </c>
      <c r="E252" s="11" t="s">
        <v>588</v>
      </c>
    </row>
    <row r="253" customFormat="false" ht="25.5" hidden="false" customHeight="true" outlineLevel="0" collapsed="false">
      <c r="B253" s="9" t="s">
        <v>125</v>
      </c>
      <c r="C253" s="12" t="s">
        <v>220</v>
      </c>
      <c r="D253" s="12" t="s">
        <v>220</v>
      </c>
      <c r="E253" s="12" t="s">
        <v>1375</v>
      </c>
    </row>
    <row r="254" customFormat="false" ht="25.5" hidden="false" customHeight="true" outlineLevel="0" collapsed="false">
      <c r="B254" s="7" t="s">
        <v>126</v>
      </c>
      <c r="C254" s="11" t="s">
        <v>458</v>
      </c>
      <c r="D254" s="11" t="s">
        <v>458</v>
      </c>
      <c r="E254" s="11" t="s">
        <v>921</v>
      </c>
    </row>
    <row r="255" customFormat="false" ht="25.5" hidden="false" customHeight="true" outlineLevel="0" collapsed="false">
      <c r="B255" s="16" t="s">
        <v>131</v>
      </c>
      <c r="C255" s="20" t="n">
        <v>200</v>
      </c>
      <c r="D255" s="20" t="n">
        <v>130</v>
      </c>
      <c r="E255" s="20" t="n">
        <v>35</v>
      </c>
    </row>
  </sheetData>
  <mergeCells count="29">
    <mergeCell ref="B2:E2"/>
    <mergeCell ref="B5:E5"/>
    <mergeCell ref="B6:E6"/>
    <mergeCell ref="B23:E23"/>
    <mergeCell ref="B24:E24"/>
    <mergeCell ref="B41:E41"/>
    <mergeCell ref="B42:E42"/>
    <mergeCell ref="B59:E59"/>
    <mergeCell ref="B60:E60"/>
    <mergeCell ref="B77:E77"/>
    <mergeCell ref="B78:E78"/>
    <mergeCell ref="B95:E95"/>
    <mergeCell ref="B96:E96"/>
    <mergeCell ref="B113:E113"/>
    <mergeCell ref="B114:E114"/>
    <mergeCell ref="B131:E131"/>
    <mergeCell ref="B132:E132"/>
    <mergeCell ref="B149:E149"/>
    <mergeCell ref="B150:E150"/>
    <mergeCell ref="B167:E167"/>
    <mergeCell ref="B168:E168"/>
    <mergeCell ref="B185:E185"/>
    <mergeCell ref="B186:E186"/>
    <mergeCell ref="B203:E203"/>
    <mergeCell ref="B204:E204"/>
    <mergeCell ref="B221:E221"/>
    <mergeCell ref="B222:E222"/>
    <mergeCell ref="B239:E239"/>
    <mergeCell ref="B240:E2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F0EB"/>
    <pageSetUpPr fitToPage="false"/>
  </sheetPr>
  <dimension ref="B2:J10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0"/>
    <col collapsed="false" customWidth="true" hidden="false" outlineLevel="0" max="4" min="4" style="1" width="23"/>
    <col collapsed="false" customWidth="true" hidden="false" outlineLevel="0" max="5" min="5" style="1" width="40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15"/>
    <col collapsed="false" customWidth="true" hidden="false" outlineLevel="0" max="10" min="10" style="1" width="26"/>
  </cols>
  <sheetData>
    <row r="2" customFormat="false" ht="31.5" hidden="false" customHeight="true" outlineLevel="0" collapsed="false">
      <c r="B2" s="2" t="s">
        <v>2350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19.5" hidden="false" customHeight="true" outlineLevel="0" collapsed="false">
      <c r="B4" s="24" t="s">
        <v>2351</v>
      </c>
      <c r="C4" s="25"/>
      <c r="D4" s="25"/>
      <c r="E4" s="25"/>
      <c r="F4" s="25"/>
    </row>
    <row r="5" customFormat="false" ht="19.5" hidden="false" customHeight="true" outlineLevel="0" collapsed="false">
      <c r="B5" s="24" t="s">
        <v>2352</v>
      </c>
      <c r="C5" s="25"/>
      <c r="D5" s="25"/>
      <c r="E5" s="25"/>
      <c r="F5" s="25"/>
    </row>
    <row r="6" customFormat="false" ht="19.5" hidden="false" customHeight="true" outlineLevel="0" collapsed="false">
      <c r="B6" s="24" t="s">
        <v>2353</v>
      </c>
      <c r="C6" s="25"/>
      <c r="D6" s="25"/>
      <c r="E6" s="25"/>
      <c r="F6" s="25"/>
    </row>
    <row r="7" customFormat="false" ht="19.5" hidden="false" customHeight="true" outlineLevel="0" collapsed="false">
      <c r="B7" s="24" t="s">
        <v>2354</v>
      </c>
      <c r="C7" s="25"/>
      <c r="D7" s="25"/>
      <c r="E7" s="25"/>
      <c r="F7" s="25"/>
    </row>
    <row r="9" customFormat="false" ht="21.75" hidden="false" customHeight="true" outlineLevel="0" collapsed="false">
      <c r="B9" s="22" t="s">
        <v>2355</v>
      </c>
      <c r="C9" s="22"/>
      <c r="D9" s="22"/>
      <c r="E9" s="22"/>
      <c r="F9" s="22"/>
      <c r="G9" s="22"/>
      <c r="H9" s="22"/>
      <c r="I9" s="22"/>
      <c r="J9" s="22"/>
    </row>
    <row r="10" customFormat="false" ht="27.75" hidden="false" customHeight="true" outlineLevel="0" collapsed="false">
      <c r="B10" s="5" t="s">
        <v>108</v>
      </c>
      <c r="C10" s="5" t="s">
        <v>77</v>
      </c>
      <c r="D10" s="5" t="s">
        <v>109</v>
      </c>
      <c r="E10" s="5" t="s">
        <v>110</v>
      </c>
      <c r="F10" s="5" t="s">
        <v>2356</v>
      </c>
      <c r="G10" s="5" t="s">
        <v>2357</v>
      </c>
      <c r="H10" s="5" t="s">
        <v>2358</v>
      </c>
      <c r="I10" s="5" t="s">
        <v>2359</v>
      </c>
      <c r="J10" s="5" t="s">
        <v>2360</v>
      </c>
    </row>
    <row r="11" customFormat="false" ht="21.75" hidden="false" customHeight="true" outlineLevel="0" collapsed="false">
      <c r="B11" s="14" t="n">
        <v>1</v>
      </c>
      <c r="C11" s="7" t="s">
        <v>40</v>
      </c>
      <c r="D11" s="7" t="s">
        <v>61</v>
      </c>
      <c r="E11" s="7" t="s">
        <v>135</v>
      </c>
      <c r="F11" s="18" t="n">
        <f aca="false">IF('Base de Datos'!AB5="","",'Base de Datos'!AB5)</f>
        <v>545</v>
      </c>
      <c r="G11" s="14"/>
      <c r="H11" s="26"/>
      <c r="I11" s="27" t="str">
        <f aca="false">IF(OR($G11="",$G11=0),"",IFERROR(ROUND($F11*$G11*(1-IF($H11="",0,$H11)),2),""))</f>
        <v/>
      </c>
      <c r="J11" s="7"/>
    </row>
    <row r="12" customFormat="false" ht="21.75" hidden="false" customHeight="true" outlineLevel="0" collapsed="false">
      <c r="B12" s="15" t="n">
        <v>2</v>
      </c>
      <c r="C12" s="9" t="s">
        <v>40</v>
      </c>
      <c r="D12" s="9" t="s">
        <v>61</v>
      </c>
      <c r="E12" s="9" t="s">
        <v>156</v>
      </c>
      <c r="F12" s="19" t="n">
        <f aca="false">IF('Base de Datos'!AB6="","",'Base de Datos'!AB6)</f>
        <v>820</v>
      </c>
      <c r="G12" s="15"/>
      <c r="H12" s="28"/>
      <c r="I12" s="29" t="str">
        <f aca="false">IF(OR($G12="",$G12=0),"",IFERROR(ROUND($F12*$G12*(1-IF($H12="",0,$H12)),2),""))</f>
        <v/>
      </c>
      <c r="J12" s="9"/>
    </row>
    <row r="13" customFormat="false" ht="21.75" hidden="false" customHeight="true" outlineLevel="0" collapsed="false">
      <c r="B13" s="14" t="n">
        <v>3</v>
      </c>
      <c r="C13" s="7" t="s">
        <v>40</v>
      </c>
      <c r="D13" s="7" t="s">
        <v>61</v>
      </c>
      <c r="E13" s="7" t="s">
        <v>160</v>
      </c>
      <c r="F13" s="18" t="n">
        <f aca="false">IF('Base de Datos'!AB7="","",'Base de Datos'!AB7)</f>
        <v>1090</v>
      </c>
      <c r="G13" s="14"/>
      <c r="H13" s="26"/>
      <c r="I13" s="27" t="str">
        <f aca="false">IF(OR($G13="",$G13=0),"",IFERROR(ROUND($F13*$G13*(1-IF($H13="",0,$H13)),2),""))</f>
        <v/>
      </c>
      <c r="J13" s="7"/>
    </row>
    <row r="14" customFormat="false" ht="21.75" hidden="false" customHeight="true" outlineLevel="0" collapsed="false">
      <c r="B14" s="15" t="n">
        <v>4</v>
      </c>
      <c r="C14" s="9" t="s">
        <v>40</v>
      </c>
      <c r="D14" s="9" t="s">
        <v>61</v>
      </c>
      <c r="E14" s="9" t="s">
        <v>162</v>
      </c>
      <c r="F14" s="19" t="n">
        <f aca="false">IF('Base de Datos'!AB8="","",'Base de Datos'!AB8)</f>
        <v>1635</v>
      </c>
      <c r="G14" s="15"/>
      <c r="H14" s="28"/>
      <c r="I14" s="29" t="str">
        <f aca="false">IF(OR($G14="",$G14=0),"",IFERROR(ROUND($F14*$G14*(1-IF($H14="",0,$H14)),2),""))</f>
        <v/>
      </c>
      <c r="J14" s="9"/>
    </row>
    <row r="15" customFormat="false" ht="21.75" hidden="false" customHeight="true" outlineLevel="0" collapsed="false">
      <c r="B15" s="14" t="n">
        <v>5</v>
      </c>
      <c r="C15" s="7" t="s">
        <v>40</v>
      </c>
      <c r="D15" s="7" t="s">
        <v>61</v>
      </c>
      <c r="E15" s="7" t="s">
        <v>166</v>
      </c>
      <c r="F15" s="18" t="n">
        <f aca="false">IF('Base de Datos'!AB9="","",'Base de Datos'!AB9)</f>
        <v>2400</v>
      </c>
      <c r="G15" s="14"/>
      <c r="H15" s="26"/>
      <c r="I15" s="27" t="str">
        <f aca="false">IF(OR($G15="",$G15=0),"",IFERROR(ROUND($F15*$G15*(1-IF($H15="",0,$H15)),2),""))</f>
        <v/>
      </c>
      <c r="J15" s="7"/>
    </row>
    <row r="16" customFormat="false" ht="21.75" hidden="false" customHeight="true" outlineLevel="0" collapsed="false">
      <c r="B16" s="15" t="n">
        <v>6</v>
      </c>
      <c r="C16" s="9" t="s">
        <v>40</v>
      </c>
      <c r="D16" s="9" t="s">
        <v>62</v>
      </c>
      <c r="E16" s="9" t="s">
        <v>156</v>
      </c>
      <c r="F16" s="19" t="n">
        <f aca="false">IF('Base de Datos'!AB10="","",'Base de Datos'!AB10)</f>
        <v>345</v>
      </c>
      <c r="G16" s="15"/>
      <c r="H16" s="28"/>
      <c r="I16" s="29" t="str">
        <f aca="false">IF(OR($G16="",$G16=0),"",IFERROR(ROUND($F16*$G16*(1-IF($H16="",0,$H16)),2),""))</f>
        <v/>
      </c>
      <c r="J16" s="9"/>
    </row>
    <row r="17" customFormat="false" ht="21.75" hidden="false" customHeight="true" outlineLevel="0" collapsed="false">
      <c r="B17" s="14" t="n">
        <v>7</v>
      </c>
      <c r="C17" s="7" t="s">
        <v>40</v>
      </c>
      <c r="D17" s="7" t="s">
        <v>62</v>
      </c>
      <c r="E17" s="7" t="s">
        <v>160</v>
      </c>
      <c r="F17" s="18" t="n">
        <f aca="false">IF('Base de Datos'!AB11="","",'Base de Datos'!AB11)</f>
        <v>520</v>
      </c>
      <c r="G17" s="14"/>
      <c r="H17" s="26"/>
      <c r="I17" s="27" t="str">
        <f aca="false">IF(OR($G17="",$G17=0),"",IFERROR(ROUND($F17*$G17*(1-IF($H17="",0,$H17)),2),""))</f>
        <v/>
      </c>
      <c r="J17" s="7"/>
    </row>
    <row r="18" customFormat="false" ht="21.75" hidden="false" customHeight="true" outlineLevel="0" collapsed="false">
      <c r="B18" s="15" t="n">
        <v>8</v>
      </c>
      <c r="C18" s="9" t="s">
        <v>40</v>
      </c>
      <c r="D18" s="9" t="s">
        <v>62</v>
      </c>
      <c r="E18" s="9" t="s">
        <v>162</v>
      </c>
      <c r="F18" s="19" t="n">
        <f aca="false">IF('Base de Datos'!AB12="","",'Base de Datos'!AB12)</f>
        <v>690</v>
      </c>
      <c r="G18" s="15"/>
      <c r="H18" s="28"/>
      <c r="I18" s="29" t="str">
        <f aca="false">IF(OR($G18="",$G18=0),"",IFERROR(ROUND($F18*$G18*(1-IF($H18="",0,$H18)),2),""))</f>
        <v/>
      </c>
      <c r="J18" s="9"/>
    </row>
    <row r="19" customFormat="false" ht="21.75" hidden="false" customHeight="true" outlineLevel="0" collapsed="false">
      <c r="B19" s="14" t="n">
        <v>9</v>
      </c>
      <c r="C19" s="7" t="s">
        <v>40</v>
      </c>
      <c r="D19" s="7" t="s">
        <v>62</v>
      </c>
      <c r="E19" s="7" t="s">
        <v>175</v>
      </c>
      <c r="F19" s="18" t="n">
        <f aca="false">IF('Base de Datos'!AB13="","",'Base de Datos'!AB13)</f>
        <v>1035</v>
      </c>
      <c r="G19" s="14"/>
      <c r="H19" s="26"/>
      <c r="I19" s="27" t="str">
        <f aca="false">IF(OR($G19="",$G19=0),"",IFERROR(ROUND($F19*$G19*(1-IF($H19="",0,$H19)),2),""))</f>
        <v/>
      </c>
      <c r="J19" s="7"/>
    </row>
    <row r="20" customFormat="false" ht="21.75" hidden="false" customHeight="true" outlineLevel="0" collapsed="false">
      <c r="B20" s="15" t="n">
        <v>10</v>
      </c>
      <c r="C20" s="9" t="s">
        <v>40</v>
      </c>
      <c r="D20" s="9" t="s">
        <v>62</v>
      </c>
      <c r="E20" s="9" t="s">
        <v>176</v>
      </c>
      <c r="F20" s="19" t="n">
        <f aca="false">IF('Base de Datos'!AB14="","",'Base de Datos'!AB14)</f>
        <v>1520</v>
      </c>
      <c r="G20" s="15"/>
      <c r="H20" s="28"/>
      <c r="I20" s="29" t="str">
        <f aca="false">IF(OR($G20="",$G20=0),"",IFERROR(ROUND($F20*$G20*(1-IF($H20="",0,$H20)),2),""))</f>
        <v/>
      </c>
      <c r="J20" s="9"/>
    </row>
    <row r="21" customFormat="false" ht="21.75" hidden="false" customHeight="true" outlineLevel="0" collapsed="false">
      <c r="B21" s="14" t="n">
        <v>11</v>
      </c>
      <c r="C21" s="7" t="s">
        <v>40</v>
      </c>
      <c r="D21" s="7" t="s">
        <v>63</v>
      </c>
      <c r="E21" s="7" t="s">
        <v>177</v>
      </c>
      <c r="F21" s="18" t="n">
        <f aca="false">IF('Base de Datos'!AB15="","",'Base de Datos'!AB15)</f>
        <v>470</v>
      </c>
      <c r="G21" s="14"/>
      <c r="H21" s="26"/>
      <c r="I21" s="27" t="str">
        <f aca="false">IF(OR($G21="",$G21=0),"",IFERROR(ROUND($F21*$G21*(1-IF($H21="",0,$H21)),2),""))</f>
        <v/>
      </c>
      <c r="J21" s="7"/>
    </row>
    <row r="22" customFormat="false" ht="21.75" hidden="false" customHeight="true" outlineLevel="0" collapsed="false">
      <c r="B22" s="15" t="n">
        <v>12</v>
      </c>
      <c r="C22" s="9" t="s">
        <v>40</v>
      </c>
      <c r="D22" s="9" t="s">
        <v>63</v>
      </c>
      <c r="E22" s="9" t="s">
        <v>184</v>
      </c>
      <c r="F22" s="19" t="n">
        <f aca="false">IF('Base de Datos'!AB16="","",'Base de Datos'!AB16)</f>
        <v>705</v>
      </c>
      <c r="G22" s="15"/>
      <c r="H22" s="28"/>
      <c r="I22" s="29" t="str">
        <f aca="false">IF(OR($G22="",$G22=0),"",IFERROR(ROUND($F22*$G22*(1-IF($H22="",0,$H22)),2),""))</f>
        <v/>
      </c>
      <c r="J22" s="9"/>
    </row>
    <row r="23" customFormat="false" ht="21.75" hidden="false" customHeight="true" outlineLevel="0" collapsed="false">
      <c r="B23" s="14" t="n">
        <v>13</v>
      </c>
      <c r="C23" s="7" t="s">
        <v>40</v>
      </c>
      <c r="D23" s="7" t="s">
        <v>63</v>
      </c>
      <c r="E23" s="7" t="s">
        <v>185</v>
      </c>
      <c r="F23" s="18" t="n">
        <f aca="false">IF('Base de Datos'!AB17="","",'Base de Datos'!AB17)</f>
        <v>940</v>
      </c>
      <c r="G23" s="14"/>
      <c r="H23" s="26"/>
      <c r="I23" s="27" t="str">
        <f aca="false">IF(OR($G23="",$G23=0),"",IFERROR(ROUND($F23*$G23*(1-IF($H23="",0,$H23)),2),""))</f>
        <v/>
      </c>
      <c r="J23" s="7"/>
    </row>
    <row r="24" customFormat="false" ht="21.75" hidden="false" customHeight="true" outlineLevel="0" collapsed="false">
      <c r="B24" s="15" t="n">
        <v>14</v>
      </c>
      <c r="C24" s="9" t="s">
        <v>40</v>
      </c>
      <c r="D24" s="9" t="s">
        <v>63</v>
      </c>
      <c r="E24" s="9" t="s">
        <v>187</v>
      </c>
      <c r="F24" s="19" t="n">
        <f aca="false">IF('Base de Datos'!AB18="","",'Base de Datos'!AB18)</f>
        <v>1410</v>
      </c>
      <c r="G24" s="15"/>
      <c r="H24" s="28"/>
      <c r="I24" s="29" t="str">
        <f aca="false">IF(OR($G24="",$G24=0),"",IFERROR(ROUND($F24*$G24*(1-IF($H24="",0,$H24)),2),""))</f>
        <v/>
      </c>
      <c r="J24" s="9"/>
    </row>
    <row r="25" customFormat="false" ht="21.75" hidden="false" customHeight="true" outlineLevel="0" collapsed="false">
      <c r="B25" s="14" t="n">
        <v>15</v>
      </c>
      <c r="C25" s="7" t="s">
        <v>40</v>
      </c>
      <c r="D25" s="7" t="s">
        <v>63</v>
      </c>
      <c r="E25" s="7" t="s">
        <v>188</v>
      </c>
      <c r="F25" s="18" t="n">
        <f aca="false">IF('Base de Datos'!AB19="","",'Base de Datos'!AB19)</f>
        <v>2070</v>
      </c>
      <c r="G25" s="14"/>
      <c r="H25" s="26"/>
      <c r="I25" s="27" t="str">
        <f aca="false">IF(OR($G25="",$G25=0),"",IFERROR(ROUND($F25*$G25*(1-IF($H25="",0,$H25)),2),""))</f>
        <v/>
      </c>
      <c r="J25" s="7"/>
    </row>
    <row r="26" customFormat="false" ht="21.75" hidden="false" customHeight="true" outlineLevel="0" collapsed="false">
      <c r="B26" s="15" t="n">
        <v>16</v>
      </c>
      <c r="C26" s="9" t="s">
        <v>40</v>
      </c>
      <c r="D26" s="9" t="s">
        <v>64</v>
      </c>
      <c r="E26" s="9" t="s">
        <v>189</v>
      </c>
      <c r="F26" s="19" t="n">
        <f aca="false">IF('Base de Datos'!AB20="","",'Base de Datos'!AB20)</f>
        <v>2740</v>
      </c>
      <c r="G26" s="15"/>
      <c r="H26" s="28"/>
      <c r="I26" s="29" t="str">
        <f aca="false">IF(OR($G26="",$G26=0),"",IFERROR(ROUND($F26*$G26*(1-IF($H26="",0,$H26)),2),""))</f>
        <v/>
      </c>
      <c r="J26" s="9"/>
    </row>
    <row r="27" customFormat="false" ht="21.75" hidden="false" customHeight="true" outlineLevel="0" collapsed="false">
      <c r="B27" s="14" t="n">
        <v>17</v>
      </c>
      <c r="C27" s="7" t="s">
        <v>40</v>
      </c>
      <c r="D27" s="7" t="s">
        <v>64</v>
      </c>
      <c r="E27" s="7" t="s">
        <v>198</v>
      </c>
      <c r="F27" s="18" t="n">
        <f aca="false">IF('Base de Datos'!AB21="","",'Base de Datos'!AB21)</f>
        <v>4110</v>
      </c>
      <c r="G27" s="14"/>
      <c r="H27" s="26"/>
      <c r="I27" s="27" t="str">
        <f aca="false">IF(OR($G27="",$G27=0),"",IFERROR(ROUND($F27*$G27*(1-IF($H27="",0,$H27)),2),""))</f>
        <v/>
      </c>
      <c r="J27" s="7"/>
    </row>
    <row r="28" customFormat="false" ht="21.75" hidden="false" customHeight="true" outlineLevel="0" collapsed="false">
      <c r="B28" s="15" t="n">
        <v>18</v>
      </c>
      <c r="C28" s="9" t="s">
        <v>40</v>
      </c>
      <c r="D28" s="9" t="s">
        <v>64</v>
      </c>
      <c r="E28" s="9" t="s">
        <v>199</v>
      </c>
      <c r="F28" s="19" t="n">
        <f aca="false">IF('Base de Datos'!AB22="","",'Base de Datos'!AB22)</f>
        <v>5480</v>
      </c>
      <c r="G28" s="15"/>
      <c r="H28" s="28"/>
      <c r="I28" s="29" t="str">
        <f aca="false">IF(OR($G28="",$G28=0),"",IFERROR(ROUND($F28*$G28*(1-IF($H28="",0,$H28)),2),""))</f>
        <v/>
      </c>
      <c r="J28" s="9"/>
    </row>
    <row r="29" customFormat="false" ht="21.75" hidden="false" customHeight="true" outlineLevel="0" collapsed="false">
      <c r="B29" s="14" t="n">
        <v>19</v>
      </c>
      <c r="C29" s="7" t="s">
        <v>40</v>
      </c>
      <c r="D29" s="7" t="s">
        <v>64</v>
      </c>
      <c r="E29" s="7" t="s">
        <v>201</v>
      </c>
      <c r="F29" s="18" t="n">
        <f aca="false">IF('Base de Datos'!AB23="","",'Base de Datos'!AB23)</f>
        <v>8220</v>
      </c>
      <c r="G29" s="14"/>
      <c r="H29" s="26"/>
      <c r="I29" s="27" t="str">
        <f aca="false">IF(OR($G29="",$G29=0),"",IFERROR(ROUND($F29*$G29*(1-IF($H29="",0,$H29)),2),""))</f>
        <v/>
      </c>
      <c r="J29" s="7"/>
    </row>
    <row r="30" customFormat="false" ht="21.75" hidden="false" customHeight="true" outlineLevel="0" collapsed="false">
      <c r="B30" s="15" t="n">
        <v>20</v>
      </c>
      <c r="C30" s="9" t="s">
        <v>40</v>
      </c>
      <c r="D30" s="9" t="s">
        <v>64</v>
      </c>
      <c r="E30" s="9" t="s">
        <v>202</v>
      </c>
      <c r="F30" s="19" t="n">
        <f aca="false">IF('Base de Datos'!AB24="","",'Base de Datos'!AB24)</f>
        <v>12055</v>
      </c>
      <c r="G30" s="15"/>
      <c r="H30" s="28"/>
      <c r="I30" s="29" t="str">
        <f aca="false">IF(OR($G30="",$G30=0),"",IFERROR(ROUND($F30*$G30*(1-IF($H30="",0,$H30)),2),""))</f>
        <v/>
      </c>
      <c r="J30" s="9"/>
    </row>
    <row r="31" customFormat="false" ht="21.75" hidden="false" customHeight="true" outlineLevel="0" collapsed="false">
      <c r="B31" s="14" t="n">
        <v>21</v>
      </c>
      <c r="C31" s="7" t="s">
        <v>40</v>
      </c>
      <c r="D31" s="7" t="s">
        <v>65</v>
      </c>
      <c r="E31" s="7" t="s">
        <v>189</v>
      </c>
      <c r="F31" s="18" t="n">
        <f aca="false">IF('Base de Datos'!AB25="","",'Base de Datos'!AB25)</f>
        <v>825</v>
      </c>
      <c r="G31" s="14"/>
      <c r="H31" s="26"/>
      <c r="I31" s="27" t="str">
        <f aca="false">IF(OR($G31="",$G31=0),"",IFERROR(ROUND($F31*$G31*(1-IF($H31="",0,$H31)),2),""))</f>
        <v/>
      </c>
      <c r="J31" s="7"/>
    </row>
    <row r="32" customFormat="false" ht="21.75" hidden="false" customHeight="true" outlineLevel="0" collapsed="false">
      <c r="B32" s="15" t="n">
        <v>22</v>
      </c>
      <c r="C32" s="9" t="s">
        <v>40</v>
      </c>
      <c r="D32" s="9" t="s">
        <v>65</v>
      </c>
      <c r="E32" s="9" t="s">
        <v>211</v>
      </c>
      <c r="F32" s="19" t="n">
        <f aca="false">IF('Base de Datos'!AB26="","",'Base de Datos'!AB26)</f>
        <v>1240</v>
      </c>
      <c r="G32" s="15"/>
      <c r="H32" s="28"/>
      <c r="I32" s="29" t="str">
        <f aca="false">IF(OR($G32="",$G32=0),"",IFERROR(ROUND($F32*$G32*(1-IF($H32="",0,$H32)),2),""))</f>
        <v/>
      </c>
      <c r="J32" s="9"/>
    </row>
    <row r="33" customFormat="false" ht="21.75" hidden="false" customHeight="true" outlineLevel="0" collapsed="false">
      <c r="B33" s="14" t="n">
        <v>23</v>
      </c>
      <c r="C33" s="7" t="s">
        <v>40</v>
      </c>
      <c r="D33" s="7" t="s">
        <v>65</v>
      </c>
      <c r="E33" s="7" t="s">
        <v>212</v>
      </c>
      <c r="F33" s="18" t="n">
        <f aca="false">IF('Base de Datos'!AB27="","",'Base de Datos'!AB27)</f>
        <v>1650</v>
      </c>
      <c r="G33" s="14"/>
      <c r="H33" s="26"/>
      <c r="I33" s="27" t="str">
        <f aca="false">IF(OR($G33="",$G33=0),"",IFERROR(ROUND($F33*$G33*(1-IF($H33="",0,$H33)),2),""))</f>
        <v/>
      </c>
      <c r="J33" s="7"/>
    </row>
    <row r="34" customFormat="false" ht="21.75" hidden="false" customHeight="true" outlineLevel="0" collapsed="false">
      <c r="B34" s="15" t="n">
        <v>24</v>
      </c>
      <c r="C34" s="9" t="s">
        <v>40</v>
      </c>
      <c r="D34" s="9" t="s">
        <v>65</v>
      </c>
      <c r="E34" s="9" t="s">
        <v>214</v>
      </c>
      <c r="F34" s="19" t="n">
        <f aca="false">IF('Base de Datos'!AB28="","",'Base de Datos'!AB28)</f>
        <v>2475</v>
      </c>
      <c r="G34" s="15"/>
      <c r="H34" s="28"/>
      <c r="I34" s="29" t="str">
        <f aca="false">IF(OR($G34="",$G34=0),"",IFERROR(ROUND($F34*$G34*(1-IF($H34="",0,$H34)),2),""))</f>
        <v/>
      </c>
      <c r="J34" s="9"/>
    </row>
    <row r="35" customFormat="false" ht="21.75" hidden="false" customHeight="true" outlineLevel="0" collapsed="false">
      <c r="B35" s="14" t="n">
        <v>25</v>
      </c>
      <c r="C35" s="7" t="s">
        <v>40</v>
      </c>
      <c r="D35" s="7" t="s">
        <v>65</v>
      </c>
      <c r="E35" s="7" t="s">
        <v>215</v>
      </c>
      <c r="F35" s="18" t="n">
        <f aca="false">IF('Base de Datos'!AB29="","",'Base de Datos'!AB29)</f>
        <v>3630</v>
      </c>
      <c r="G35" s="14"/>
      <c r="H35" s="26"/>
      <c r="I35" s="27" t="str">
        <f aca="false">IF(OR($G35="",$G35=0),"",IFERROR(ROUND($F35*$G35*(1-IF($H35="",0,$H35)),2),""))</f>
        <v/>
      </c>
      <c r="J35" s="7"/>
    </row>
    <row r="36" customFormat="false" ht="21.75" hidden="false" customHeight="true" outlineLevel="0" collapsed="false">
      <c r="B36" s="15" t="n">
        <v>26</v>
      </c>
      <c r="C36" s="9" t="s">
        <v>40</v>
      </c>
      <c r="D36" s="9" t="s">
        <v>66</v>
      </c>
      <c r="E36" s="9" t="s">
        <v>216</v>
      </c>
      <c r="F36" s="19" t="n">
        <f aca="false">IF('Base de Datos'!AB30="","",'Base de Datos'!AB30)</f>
        <v>295</v>
      </c>
      <c r="G36" s="15"/>
      <c r="H36" s="28"/>
      <c r="I36" s="29" t="str">
        <f aca="false">IF(OR($G36="",$G36=0),"",IFERROR(ROUND($F36*$G36*(1-IF($H36="",0,$H36)),2),""))</f>
        <v/>
      </c>
      <c r="J36" s="9"/>
    </row>
    <row r="37" customFormat="false" ht="21.75" hidden="false" customHeight="true" outlineLevel="0" collapsed="false">
      <c r="B37" s="14" t="n">
        <v>27</v>
      </c>
      <c r="C37" s="7" t="s">
        <v>40</v>
      </c>
      <c r="D37" s="7" t="s">
        <v>66</v>
      </c>
      <c r="E37" s="7" t="s">
        <v>224</v>
      </c>
      <c r="F37" s="18" t="n">
        <f aca="false">IF('Base de Datos'!AB31="","",'Base de Datos'!AB31)</f>
        <v>440</v>
      </c>
      <c r="G37" s="14"/>
      <c r="H37" s="26"/>
      <c r="I37" s="27" t="str">
        <f aca="false">IF(OR($G37="",$G37=0),"",IFERROR(ROUND($F37*$G37*(1-IF($H37="",0,$H37)),2),""))</f>
        <v/>
      </c>
      <c r="J37" s="7"/>
    </row>
    <row r="38" customFormat="false" ht="21.75" hidden="false" customHeight="true" outlineLevel="0" collapsed="false">
      <c r="B38" s="15" t="n">
        <v>28</v>
      </c>
      <c r="C38" s="9" t="s">
        <v>40</v>
      </c>
      <c r="D38" s="9" t="s">
        <v>66</v>
      </c>
      <c r="E38" s="9" t="s">
        <v>225</v>
      </c>
      <c r="F38" s="19" t="n">
        <f aca="false">IF('Base de Datos'!AB32="","",'Base de Datos'!AB32)</f>
        <v>590</v>
      </c>
      <c r="G38" s="15"/>
      <c r="H38" s="28"/>
      <c r="I38" s="29" t="str">
        <f aca="false">IF(OR($G38="",$G38=0),"",IFERROR(ROUND($F38*$G38*(1-IF($H38="",0,$H38)),2),""))</f>
        <v/>
      </c>
      <c r="J38" s="9"/>
    </row>
    <row r="39" customFormat="false" ht="21.75" hidden="false" customHeight="true" outlineLevel="0" collapsed="false">
      <c r="B39" s="14" t="n">
        <v>29</v>
      </c>
      <c r="C39" s="7" t="s">
        <v>40</v>
      </c>
      <c r="D39" s="7" t="s">
        <v>66</v>
      </c>
      <c r="E39" s="7" t="s">
        <v>227</v>
      </c>
      <c r="F39" s="18" t="n">
        <f aca="false">IF('Base de Datos'!AB33="","",'Base de Datos'!AB33)</f>
        <v>885</v>
      </c>
      <c r="G39" s="14"/>
      <c r="H39" s="26"/>
      <c r="I39" s="27" t="str">
        <f aca="false">IF(OR($G39="",$G39=0),"",IFERROR(ROUND($F39*$G39*(1-IF($H39="",0,$H39)),2),""))</f>
        <v/>
      </c>
      <c r="J39" s="7"/>
    </row>
    <row r="40" customFormat="false" ht="21.75" hidden="false" customHeight="true" outlineLevel="0" collapsed="false">
      <c r="B40" s="15" t="n">
        <v>30</v>
      </c>
      <c r="C40" s="9" t="s">
        <v>40</v>
      </c>
      <c r="D40" s="9" t="s">
        <v>66</v>
      </c>
      <c r="E40" s="9" t="s">
        <v>228</v>
      </c>
      <c r="F40" s="19" t="n">
        <f aca="false">IF('Base de Datos'!AB34="","",'Base de Datos'!AB34)</f>
        <v>1300</v>
      </c>
      <c r="G40" s="15"/>
      <c r="H40" s="28"/>
      <c r="I40" s="29" t="str">
        <f aca="false">IF(OR($G40="",$G40=0),"",IFERROR(ROUND($F40*$G40*(1-IF($H40="",0,$H40)),2),""))</f>
        <v/>
      </c>
      <c r="J40" s="9"/>
    </row>
    <row r="41" customFormat="false" ht="21.75" hidden="false" customHeight="true" outlineLevel="0" collapsed="false">
      <c r="B41" s="14" t="n">
        <v>31</v>
      </c>
      <c r="C41" s="7" t="s">
        <v>40</v>
      </c>
      <c r="D41" s="7" t="s">
        <v>67</v>
      </c>
      <c r="E41" s="7" t="s">
        <v>229</v>
      </c>
      <c r="F41" s="18" t="n">
        <f aca="false">IF('Base de Datos'!AB35="","",'Base de Datos'!AB35)</f>
        <v>495</v>
      </c>
      <c r="G41" s="14"/>
      <c r="H41" s="26"/>
      <c r="I41" s="27" t="str">
        <f aca="false">IF(OR($G41="",$G41=0),"",IFERROR(ROUND($F41*$G41*(1-IF($H41="",0,$H41)),2),""))</f>
        <v/>
      </c>
      <c r="J41" s="7"/>
    </row>
    <row r="42" customFormat="false" ht="21.75" hidden="false" customHeight="true" outlineLevel="0" collapsed="false">
      <c r="B42" s="15" t="n">
        <v>32</v>
      </c>
      <c r="C42" s="9" t="s">
        <v>40</v>
      </c>
      <c r="D42" s="9" t="s">
        <v>67</v>
      </c>
      <c r="E42" s="9" t="s">
        <v>238</v>
      </c>
      <c r="F42" s="19" t="n">
        <f aca="false">IF('Base de Datos'!AB36="","",'Base de Datos'!AB36)</f>
        <v>740</v>
      </c>
      <c r="G42" s="15"/>
      <c r="H42" s="28"/>
      <c r="I42" s="29" t="str">
        <f aca="false">IF(OR($G42="",$G42=0),"",IFERROR(ROUND($F42*$G42*(1-IF($H42="",0,$H42)),2),""))</f>
        <v/>
      </c>
      <c r="J42" s="9"/>
    </row>
    <row r="43" customFormat="false" ht="21.75" hidden="false" customHeight="true" outlineLevel="0" collapsed="false">
      <c r="B43" s="14" t="n">
        <v>33</v>
      </c>
      <c r="C43" s="7" t="s">
        <v>40</v>
      </c>
      <c r="D43" s="7" t="s">
        <v>67</v>
      </c>
      <c r="E43" s="7" t="s">
        <v>239</v>
      </c>
      <c r="F43" s="18" t="n">
        <f aca="false">IF('Base de Datos'!AB37="","",'Base de Datos'!AB37)</f>
        <v>990</v>
      </c>
      <c r="G43" s="14"/>
      <c r="H43" s="26"/>
      <c r="I43" s="27" t="str">
        <f aca="false">IF(OR($G43="",$G43=0),"",IFERROR(ROUND($F43*$G43*(1-IF($H43="",0,$H43)),2),""))</f>
        <v/>
      </c>
      <c r="J43" s="7"/>
    </row>
    <row r="44" customFormat="false" ht="21.75" hidden="false" customHeight="true" outlineLevel="0" collapsed="false">
      <c r="B44" s="15" t="n">
        <v>34</v>
      </c>
      <c r="C44" s="9" t="s">
        <v>40</v>
      </c>
      <c r="D44" s="9" t="s">
        <v>67</v>
      </c>
      <c r="E44" s="9" t="s">
        <v>243</v>
      </c>
      <c r="F44" s="19" t="n">
        <f aca="false">IF('Base de Datos'!AB38="","",'Base de Datos'!AB38)</f>
        <v>1485</v>
      </c>
      <c r="G44" s="15"/>
      <c r="H44" s="28"/>
      <c r="I44" s="29" t="str">
        <f aca="false">IF(OR($G44="",$G44=0),"",IFERROR(ROUND($F44*$G44*(1-IF($H44="",0,$H44)),2),""))</f>
        <v/>
      </c>
      <c r="J44" s="9"/>
    </row>
    <row r="45" customFormat="false" ht="21.75" hidden="false" customHeight="true" outlineLevel="0" collapsed="false">
      <c r="B45" s="14" t="n">
        <v>35</v>
      </c>
      <c r="C45" s="7" t="s">
        <v>40</v>
      </c>
      <c r="D45" s="7" t="s">
        <v>67</v>
      </c>
      <c r="E45" s="7" t="s">
        <v>244</v>
      </c>
      <c r="F45" s="18" t="n">
        <f aca="false">IF('Base de Datos'!AB39="","",'Base de Datos'!AB39)</f>
        <v>2180</v>
      </c>
      <c r="G45" s="14"/>
      <c r="H45" s="26"/>
      <c r="I45" s="27" t="str">
        <f aca="false">IF(OR($G45="",$G45=0),"",IFERROR(ROUND($F45*$G45*(1-IF($H45="",0,$H45)),2),""))</f>
        <v/>
      </c>
      <c r="J45" s="7"/>
    </row>
    <row r="46" customFormat="false" ht="21.75" hidden="false" customHeight="true" outlineLevel="0" collapsed="false">
      <c r="B46" s="15" t="n">
        <v>36</v>
      </c>
      <c r="C46" s="9" t="s">
        <v>40</v>
      </c>
      <c r="D46" s="9" t="s">
        <v>68</v>
      </c>
      <c r="E46" s="9" t="s">
        <v>245</v>
      </c>
      <c r="F46" s="19" t="n">
        <f aca="false">IF('Base de Datos'!AB40="","",'Base de Datos'!AB40)</f>
        <v>1645</v>
      </c>
      <c r="G46" s="15"/>
      <c r="H46" s="28"/>
      <c r="I46" s="29" t="str">
        <f aca="false">IF(OR($G46="",$G46=0),"",IFERROR(ROUND($F46*$G46*(1-IF($H46="",0,$H46)),2),""))</f>
        <v/>
      </c>
      <c r="J46" s="9"/>
    </row>
    <row r="47" customFormat="false" ht="21.75" hidden="false" customHeight="true" outlineLevel="0" collapsed="false">
      <c r="B47" s="14" t="n">
        <v>37</v>
      </c>
      <c r="C47" s="7" t="s">
        <v>40</v>
      </c>
      <c r="D47" s="7" t="s">
        <v>68</v>
      </c>
      <c r="E47" s="7" t="s">
        <v>253</v>
      </c>
      <c r="F47" s="18" t="n">
        <f aca="false">IF('Base de Datos'!AB41="","",'Base de Datos'!AB41)</f>
        <v>2470</v>
      </c>
      <c r="G47" s="14"/>
      <c r="H47" s="26"/>
      <c r="I47" s="27" t="str">
        <f aca="false">IF(OR($G47="",$G47=0),"",IFERROR(ROUND($F47*$G47*(1-IF($H47="",0,$H47)),2),""))</f>
        <v/>
      </c>
      <c r="J47" s="7"/>
    </row>
    <row r="48" customFormat="false" ht="21.75" hidden="false" customHeight="true" outlineLevel="0" collapsed="false">
      <c r="B48" s="15" t="n">
        <v>38</v>
      </c>
      <c r="C48" s="9" t="s">
        <v>40</v>
      </c>
      <c r="D48" s="9" t="s">
        <v>68</v>
      </c>
      <c r="E48" s="9" t="s">
        <v>256</v>
      </c>
      <c r="F48" s="19" t="n">
        <f aca="false">IF('Base de Datos'!AB42="","",'Base de Datos'!AB42)</f>
        <v>3290</v>
      </c>
      <c r="G48" s="15"/>
      <c r="H48" s="28"/>
      <c r="I48" s="29" t="str">
        <f aca="false">IF(OR($G48="",$G48=0),"",IFERROR(ROUND($F48*$G48*(1-IF($H48="",0,$H48)),2),""))</f>
        <v/>
      </c>
      <c r="J48" s="9"/>
    </row>
    <row r="49" customFormat="false" ht="21.75" hidden="false" customHeight="true" outlineLevel="0" collapsed="false">
      <c r="B49" s="14" t="n">
        <v>39</v>
      </c>
      <c r="C49" s="7" t="s">
        <v>40</v>
      </c>
      <c r="D49" s="7" t="s">
        <v>68</v>
      </c>
      <c r="E49" s="7" t="s">
        <v>260</v>
      </c>
      <c r="F49" s="18" t="n">
        <f aca="false">IF('Base de Datos'!AB43="","",'Base de Datos'!AB43)</f>
        <v>4935</v>
      </c>
      <c r="G49" s="14"/>
      <c r="H49" s="26"/>
      <c r="I49" s="27" t="str">
        <f aca="false">IF(OR($G49="",$G49=0),"",IFERROR(ROUND($F49*$G49*(1-IF($H49="",0,$H49)),2),""))</f>
        <v/>
      </c>
      <c r="J49" s="7"/>
    </row>
    <row r="50" customFormat="false" ht="21.75" hidden="false" customHeight="true" outlineLevel="0" collapsed="false">
      <c r="B50" s="15" t="n">
        <v>40</v>
      </c>
      <c r="C50" s="9" t="s">
        <v>40</v>
      </c>
      <c r="D50" s="9" t="s">
        <v>68</v>
      </c>
      <c r="E50" s="9" t="s">
        <v>261</v>
      </c>
      <c r="F50" s="19" t="n">
        <f aca="false">IF('Base de Datos'!AB44="","",'Base de Datos'!AB44)</f>
        <v>7240</v>
      </c>
      <c r="G50" s="15"/>
      <c r="H50" s="28"/>
      <c r="I50" s="29" t="str">
        <f aca="false">IF(OR($G50="",$G50=0),"",IFERROR(ROUND($F50*$G50*(1-IF($H50="",0,$H50)),2),""))</f>
        <v/>
      </c>
      <c r="J50" s="9"/>
    </row>
    <row r="51" customFormat="false" ht="21.75" hidden="false" customHeight="true" outlineLevel="0" collapsed="false">
      <c r="B51" s="14" t="n">
        <v>41</v>
      </c>
      <c r="C51" s="7" t="s">
        <v>40</v>
      </c>
      <c r="D51" s="7" t="s">
        <v>69</v>
      </c>
      <c r="E51" s="7" t="s">
        <v>264</v>
      </c>
      <c r="F51" s="18" t="n">
        <f aca="false">IF('Base de Datos'!AB45="","",'Base de Datos'!AB45)</f>
        <v>260</v>
      </c>
      <c r="G51" s="14"/>
      <c r="H51" s="26"/>
      <c r="I51" s="27" t="str">
        <f aca="false">IF(OR($G51="",$G51=0),"",IFERROR(ROUND($F51*$G51*(1-IF($H51="",0,$H51)),2),""))</f>
        <v/>
      </c>
      <c r="J51" s="7"/>
    </row>
    <row r="52" customFormat="false" ht="21.75" hidden="false" customHeight="true" outlineLevel="0" collapsed="false">
      <c r="B52" s="15" t="n">
        <v>42</v>
      </c>
      <c r="C52" s="9" t="s">
        <v>40</v>
      </c>
      <c r="D52" s="9" t="s">
        <v>69</v>
      </c>
      <c r="E52" s="9" t="s">
        <v>270</v>
      </c>
      <c r="F52" s="19" t="n">
        <f aca="false">IF('Base de Datos'!AB46="","",'Base de Datos'!AB46)</f>
        <v>390</v>
      </c>
      <c r="G52" s="15"/>
      <c r="H52" s="28"/>
      <c r="I52" s="29" t="str">
        <f aca="false">IF(OR($G52="",$G52=0),"",IFERROR(ROUND($F52*$G52*(1-IF($H52="",0,$H52)),2),""))</f>
        <v/>
      </c>
      <c r="J52" s="9"/>
    </row>
    <row r="53" customFormat="false" ht="21.75" hidden="false" customHeight="true" outlineLevel="0" collapsed="false">
      <c r="B53" s="14" t="n">
        <v>43</v>
      </c>
      <c r="C53" s="7" t="s">
        <v>40</v>
      </c>
      <c r="D53" s="7" t="s">
        <v>69</v>
      </c>
      <c r="E53" s="7" t="s">
        <v>271</v>
      </c>
      <c r="F53" s="18" t="n">
        <f aca="false">IF('Base de Datos'!AB47="","",'Base de Datos'!AB47)</f>
        <v>520</v>
      </c>
      <c r="G53" s="14"/>
      <c r="H53" s="26"/>
      <c r="I53" s="27" t="str">
        <f aca="false">IF(OR($G53="",$G53=0),"",IFERROR(ROUND($F53*$G53*(1-IF($H53="",0,$H53)),2),""))</f>
        <v/>
      </c>
      <c r="J53" s="7"/>
    </row>
    <row r="54" customFormat="false" ht="21.75" hidden="false" customHeight="true" outlineLevel="0" collapsed="false">
      <c r="B54" s="15" t="n">
        <v>44</v>
      </c>
      <c r="C54" s="9" t="s">
        <v>40</v>
      </c>
      <c r="D54" s="9" t="s">
        <v>69</v>
      </c>
      <c r="E54" s="9" t="s">
        <v>273</v>
      </c>
      <c r="F54" s="19" t="n">
        <f aca="false">IF('Base de Datos'!AB48="","",'Base de Datos'!AB48)</f>
        <v>780</v>
      </c>
      <c r="G54" s="15"/>
      <c r="H54" s="28"/>
      <c r="I54" s="29" t="str">
        <f aca="false">IF(OR($G54="",$G54=0),"",IFERROR(ROUND($F54*$G54*(1-IF($H54="",0,$H54)),2),""))</f>
        <v/>
      </c>
      <c r="J54" s="9"/>
    </row>
    <row r="55" customFormat="false" ht="21.75" hidden="false" customHeight="true" outlineLevel="0" collapsed="false">
      <c r="B55" s="14" t="n">
        <v>45</v>
      </c>
      <c r="C55" s="7" t="s">
        <v>40</v>
      </c>
      <c r="D55" s="7" t="s">
        <v>69</v>
      </c>
      <c r="E55" s="7" t="s">
        <v>274</v>
      </c>
      <c r="F55" s="18" t="n">
        <f aca="false">IF('Base de Datos'!AB49="","",'Base de Datos'!AB49)</f>
        <v>1145</v>
      </c>
      <c r="G55" s="14"/>
      <c r="H55" s="26"/>
      <c r="I55" s="27" t="str">
        <f aca="false">IF(OR($G55="",$G55=0),"",IFERROR(ROUND($F55*$G55*(1-IF($H55="",0,$H55)),2),""))</f>
        <v/>
      </c>
      <c r="J55" s="7"/>
    </row>
    <row r="56" customFormat="false" ht="21.75" hidden="false" customHeight="true" outlineLevel="0" collapsed="false">
      <c r="B56" s="15" t="n">
        <v>46</v>
      </c>
      <c r="C56" s="9" t="s">
        <v>40</v>
      </c>
      <c r="D56" s="9" t="s">
        <v>70</v>
      </c>
      <c r="E56" s="9" t="s">
        <v>275</v>
      </c>
      <c r="F56" s="19" t="n">
        <f aca="false">IF('Base de Datos'!AB50="","",'Base de Datos'!AB50)</f>
        <v>3950</v>
      </c>
      <c r="G56" s="15"/>
      <c r="H56" s="28"/>
      <c r="I56" s="29" t="str">
        <f aca="false">IF(OR($G56="",$G56=0),"",IFERROR(ROUND($F56*$G56*(1-IF($H56="",0,$H56)),2),""))</f>
        <v/>
      </c>
      <c r="J56" s="9"/>
    </row>
    <row r="57" customFormat="false" ht="21.75" hidden="false" customHeight="true" outlineLevel="0" collapsed="false">
      <c r="B57" s="14" t="n">
        <v>47</v>
      </c>
      <c r="C57" s="7" t="s">
        <v>40</v>
      </c>
      <c r="D57" s="7" t="s">
        <v>70</v>
      </c>
      <c r="E57" s="7" t="s">
        <v>285</v>
      </c>
      <c r="F57" s="18" t="n">
        <f aca="false">IF('Base de Datos'!AB51="","",'Base de Datos'!AB51)</f>
        <v>5925</v>
      </c>
      <c r="G57" s="14"/>
      <c r="H57" s="26"/>
      <c r="I57" s="27" t="str">
        <f aca="false">IF(OR($G57="",$G57=0),"",IFERROR(ROUND($F57*$G57*(1-IF($H57="",0,$H57)),2),""))</f>
        <v/>
      </c>
      <c r="J57" s="7"/>
    </row>
    <row r="58" customFormat="false" ht="21.75" hidden="false" customHeight="true" outlineLevel="0" collapsed="false">
      <c r="B58" s="15" t="n">
        <v>48</v>
      </c>
      <c r="C58" s="9" t="s">
        <v>40</v>
      </c>
      <c r="D58" s="9" t="s">
        <v>70</v>
      </c>
      <c r="E58" s="9" t="s">
        <v>286</v>
      </c>
      <c r="F58" s="19" t="n">
        <f aca="false">IF('Base de Datos'!AB52="","",'Base de Datos'!AB52)</f>
        <v>7900</v>
      </c>
      <c r="G58" s="15"/>
      <c r="H58" s="28"/>
      <c r="I58" s="29" t="str">
        <f aca="false">IF(OR($G58="",$G58=0),"",IFERROR(ROUND($F58*$G58*(1-IF($H58="",0,$H58)),2),""))</f>
        <v/>
      </c>
      <c r="J58" s="9"/>
    </row>
    <row r="59" customFormat="false" ht="21.75" hidden="false" customHeight="true" outlineLevel="0" collapsed="false">
      <c r="B59" s="14" t="n">
        <v>49</v>
      </c>
      <c r="C59" s="7" t="s">
        <v>40</v>
      </c>
      <c r="D59" s="7" t="s">
        <v>70</v>
      </c>
      <c r="E59" s="7" t="s">
        <v>290</v>
      </c>
      <c r="F59" s="18" t="n">
        <f aca="false">IF('Base de Datos'!AB53="","",'Base de Datos'!AB53)</f>
        <v>11850</v>
      </c>
      <c r="G59" s="14"/>
      <c r="H59" s="26"/>
      <c r="I59" s="27" t="str">
        <f aca="false">IF(OR($G59="",$G59=0),"",IFERROR(ROUND($F59*$G59*(1-IF($H59="",0,$H59)),2),""))</f>
        <v/>
      </c>
      <c r="J59" s="7"/>
    </row>
    <row r="60" customFormat="false" ht="21.75" hidden="false" customHeight="true" outlineLevel="0" collapsed="false">
      <c r="B60" s="15" t="n">
        <v>50</v>
      </c>
      <c r="C60" s="9" t="s">
        <v>40</v>
      </c>
      <c r="D60" s="9" t="s">
        <v>70</v>
      </c>
      <c r="E60" s="9" t="s">
        <v>291</v>
      </c>
      <c r="F60" s="19" t="n">
        <f aca="false">IF('Base de Datos'!AB54="","",'Base de Datos'!AB54)</f>
        <v>17380</v>
      </c>
      <c r="G60" s="15"/>
      <c r="H60" s="28"/>
      <c r="I60" s="29" t="str">
        <f aca="false">IF(OR($G60="",$G60=0),"",IFERROR(ROUND($F60*$G60*(1-IF($H60="",0,$H60)),2),""))</f>
        <v/>
      </c>
      <c r="J60" s="9"/>
    </row>
    <row r="61" customFormat="false" ht="21.75" hidden="false" customHeight="true" outlineLevel="0" collapsed="false">
      <c r="B61" s="14" t="n">
        <v>51</v>
      </c>
      <c r="C61" s="7" t="s">
        <v>40</v>
      </c>
      <c r="D61" s="7" t="s">
        <v>71</v>
      </c>
      <c r="E61" s="7" t="s">
        <v>292</v>
      </c>
      <c r="F61" s="18" t="n">
        <f aca="false">IF('Base de Datos'!AB55="","",'Base de Datos'!AB55)</f>
        <v>1740</v>
      </c>
      <c r="G61" s="14"/>
      <c r="H61" s="26"/>
      <c r="I61" s="27" t="str">
        <f aca="false">IF(OR($G61="",$G61=0),"",IFERROR(ROUND($F61*$G61*(1-IF($H61="",0,$H61)),2),""))</f>
        <v/>
      </c>
      <c r="J61" s="7"/>
    </row>
    <row r="62" customFormat="false" ht="21.75" hidden="false" customHeight="true" outlineLevel="0" collapsed="false">
      <c r="B62" s="15" t="n">
        <v>52</v>
      </c>
      <c r="C62" s="9" t="s">
        <v>40</v>
      </c>
      <c r="D62" s="9" t="s">
        <v>71</v>
      </c>
      <c r="E62" s="9" t="s">
        <v>185</v>
      </c>
      <c r="F62" s="19" t="n">
        <f aca="false">IF('Base de Datos'!AB56="","",'Base de Datos'!AB56)</f>
        <v>2610</v>
      </c>
      <c r="G62" s="15"/>
      <c r="H62" s="28"/>
      <c r="I62" s="29" t="str">
        <f aca="false">IF(OR($G62="",$G62=0),"",IFERROR(ROUND($F62*$G62*(1-IF($H62="",0,$H62)),2),""))</f>
        <v/>
      </c>
      <c r="J62" s="9"/>
    </row>
    <row r="63" customFormat="false" ht="21.75" hidden="false" customHeight="true" outlineLevel="0" collapsed="false">
      <c r="B63" s="14" t="n">
        <v>53</v>
      </c>
      <c r="C63" s="7" t="s">
        <v>40</v>
      </c>
      <c r="D63" s="7" t="s">
        <v>71</v>
      </c>
      <c r="E63" s="7" t="s">
        <v>187</v>
      </c>
      <c r="F63" s="18" t="n">
        <f aca="false">IF('Base de Datos'!AB57="","",'Base de Datos'!AB57)</f>
        <v>3480</v>
      </c>
      <c r="G63" s="14"/>
      <c r="H63" s="26"/>
      <c r="I63" s="27" t="str">
        <f aca="false">IF(OR($G63="",$G63=0),"",IFERROR(ROUND($F63*$G63*(1-IF($H63="",0,$H63)),2),""))</f>
        <v/>
      </c>
      <c r="J63" s="7"/>
    </row>
    <row r="64" customFormat="false" ht="21.75" hidden="false" customHeight="true" outlineLevel="0" collapsed="false">
      <c r="B64" s="15" t="n">
        <v>54</v>
      </c>
      <c r="C64" s="9" t="s">
        <v>40</v>
      </c>
      <c r="D64" s="9" t="s">
        <v>71</v>
      </c>
      <c r="E64" s="9" t="s">
        <v>299</v>
      </c>
      <c r="F64" s="19" t="n">
        <f aca="false">IF('Base de Datos'!AB58="","",'Base de Datos'!AB58)</f>
        <v>5220</v>
      </c>
      <c r="G64" s="15"/>
      <c r="H64" s="28"/>
      <c r="I64" s="29" t="str">
        <f aca="false">IF(OR($G64="",$G64=0),"",IFERROR(ROUND($F64*$G64*(1-IF($H64="",0,$H64)),2),""))</f>
        <v/>
      </c>
      <c r="J64" s="9"/>
    </row>
    <row r="65" customFormat="false" ht="21.75" hidden="false" customHeight="true" outlineLevel="0" collapsed="false">
      <c r="B65" s="14" t="n">
        <v>55</v>
      </c>
      <c r="C65" s="7" t="s">
        <v>40</v>
      </c>
      <c r="D65" s="7" t="s">
        <v>71</v>
      </c>
      <c r="E65" s="7" t="s">
        <v>188</v>
      </c>
      <c r="F65" s="18" t="n">
        <f aca="false">IF('Base de Datos'!AB59="","",'Base de Datos'!AB59)</f>
        <v>7655</v>
      </c>
      <c r="G65" s="14"/>
      <c r="H65" s="26"/>
      <c r="I65" s="27" t="str">
        <f aca="false">IF(OR($G65="",$G65=0),"",IFERROR(ROUND($F65*$G65*(1-IF($H65="",0,$H65)),2),""))</f>
        <v/>
      </c>
      <c r="J65" s="7"/>
    </row>
    <row r="66" customFormat="false" ht="21.75" hidden="false" customHeight="true" outlineLevel="0" collapsed="false">
      <c r="B66" s="15" t="n">
        <v>56</v>
      </c>
      <c r="C66" s="9" t="s">
        <v>40</v>
      </c>
      <c r="D66" s="9" t="s">
        <v>72</v>
      </c>
      <c r="E66" s="9" t="s">
        <v>300</v>
      </c>
      <c r="F66" s="19" t="n">
        <f aca="false">IF('Base de Datos'!AB60="","",'Base de Datos'!AB60)</f>
        <v>1395</v>
      </c>
      <c r="G66" s="15"/>
      <c r="H66" s="28"/>
      <c r="I66" s="29" t="str">
        <f aca="false">IF(OR($G66="",$G66=0),"",IFERROR(ROUND($F66*$G66*(1-IF($H66="",0,$H66)),2),""))</f>
        <v/>
      </c>
      <c r="J66" s="9"/>
    </row>
    <row r="67" customFormat="false" ht="21.75" hidden="false" customHeight="true" outlineLevel="0" collapsed="false">
      <c r="B67" s="14" t="n">
        <v>57</v>
      </c>
      <c r="C67" s="7" t="s">
        <v>40</v>
      </c>
      <c r="D67" s="7" t="s">
        <v>72</v>
      </c>
      <c r="E67" s="7" t="s">
        <v>308</v>
      </c>
      <c r="F67" s="18" t="n">
        <f aca="false">IF('Base de Datos'!AB61="","",'Base de Datos'!AB61)</f>
        <v>2090</v>
      </c>
      <c r="G67" s="14"/>
      <c r="H67" s="26"/>
      <c r="I67" s="27" t="str">
        <f aca="false">IF(OR($G67="",$G67=0),"",IFERROR(ROUND($F67*$G67*(1-IF($H67="",0,$H67)),2),""))</f>
        <v/>
      </c>
      <c r="J67" s="7"/>
    </row>
    <row r="68" customFormat="false" ht="21.75" hidden="false" customHeight="true" outlineLevel="0" collapsed="false">
      <c r="B68" s="15" t="n">
        <v>58</v>
      </c>
      <c r="C68" s="9" t="s">
        <v>40</v>
      </c>
      <c r="D68" s="9" t="s">
        <v>72</v>
      </c>
      <c r="E68" s="9" t="s">
        <v>311</v>
      </c>
      <c r="F68" s="19" t="n">
        <f aca="false">IF('Base de Datos'!AB62="","",'Base de Datos'!AB62)</f>
        <v>2790</v>
      </c>
      <c r="G68" s="15"/>
      <c r="H68" s="28"/>
      <c r="I68" s="29" t="str">
        <f aca="false">IF(OR($G68="",$G68=0),"",IFERROR(ROUND($F68*$G68*(1-IF($H68="",0,$H68)),2),""))</f>
        <v/>
      </c>
      <c r="J68" s="9"/>
    </row>
    <row r="69" customFormat="false" ht="21.75" hidden="false" customHeight="true" outlineLevel="0" collapsed="false">
      <c r="B69" s="14" t="n">
        <v>59</v>
      </c>
      <c r="C69" s="7" t="s">
        <v>40</v>
      </c>
      <c r="D69" s="7" t="s">
        <v>72</v>
      </c>
      <c r="E69" s="7" t="s">
        <v>313</v>
      </c>
      <c r="F69" s="18" t="n">
        <f aca="false">IF('Base de Datos'!AB63="","",'Base de Datos'!AB63)</f>
        <v>4185</v>
      </c>
      <c r="G69" s="14"/>
      <c r="H69" s="26"/>
      <c r="I69" s="27" t="str">
        <f aca="false">IF(OR($G69="",$G69=0),"",IFERROR(ROUND($F69*$G69*(1-IF($H69="",0,$H69)),2),""))</f>
        <v/>
      </c>
      <c r="J69" s="7"/>
    </row>
    <row r="70" customFormat="false" ht="21.75" hidden="false" customHeight="true" outlineLevel="0" collapsed="false">
      <c r="B70" s="15" t="n">
        <v>60</v>
      </c>
      <c r="C70" s="9" t="s">
        <v>40</v>
      </c>
      <c r="D70" s="9" t="s">
        <v>72</v>
      </c>
      <c r="E70" s="9" t="s">
        <v>314</v>
      </c>
      <c r="F70" s="19" t="n">
        <f aca="false">IF('Base de Datos'!AB64="","",'Base de Datos'!AB64)</f>
        <v>6140</v>
      </c>
      <c r="G70" s="15"/>
      <c r="H70" s="28"/>
      <c r="I70" s="29" t="str">
        <f aca="false">IF(OR($G70="",$G70=0),"",IFERROR(ROUND($F70*$G70*(1-IF($H70="",0,$H70)),2),""))</f>
        <v/>
      </c>
      <c r="J70" s="9"/>
    </row>
    <row r="71" customFormat="false" ht="21.75" hidden="false" customHeight="true" outlineLevel="0" collapsed="false">
      <c r="B71" s="14" t="n">
        <v>61</v>
      </c>
      <c r="C71" s="7" t="s">
        <v>40</v>
      </c>
      <c r="D71" s="7" t="s">
        <v>73</v>
      </c>
      <c r="E71" s="7" t="s">
        <v>184</v>
      </c>
      <c r="F71" s="18" t="n">
        <f aca="false">IF('Base de Datos'!AB65="","",'Base de Datos'!AB65)</f>
        <v>690</v>
      </c>
      <c r="G71" s="14"/>
      <c r="H71" s="26"/>
      <c r="I71" s="27" t="str">
        <f aca="false">IF(OR($G71="",$G71=0),"",IFERROR(ROUND($F71*$G71*(1-IF($H71="",0,$H71)),2),""))</f>
        <v/>
      </c>
      <c r="J71" s="7"/>
    </row>
    <row r="72" customFormat="false" ht="21.75" hidden="false" customHeight="true" outlineLevel="0" collapsed="false">
      <c r="B72" s="15" t="n">
        <v>62</v>
      </c>
      <c r="C72" s="9" t="s">
        <v>40</v>
      </c>
      <c r="D72" s="9" t="s">
        <v>73</v>
      </c>
      <c r="E72" s="9" t="s">
        <v>185</v>
      </c>
      <c r="F72" s="19" t="n">
        <f aca="false">IF('Base de Datos'!AB66="","",'Base de Datos'!AB66)</f>
        <v>1035</v>
      </c>
      <c r="G72" s="15"/>
      <c r="H72" s="28"/>
      <c r="I72" s="29" t="str">
        <f aca="false">IF(OR($G72="",$G72=0),"",IFERROR(ROUND($F72*$G72*(1-IF($H72="",0,$H72)),2),""))</f>
        <v/>
      </c>
      <c r="J72" s="9"/>
    </row>
    <row r="73" customFormat="false" ht="21.75" hidden="false" customHeight="true" outlineLevel="0" collapsed="false">
      <c r="B73" s="14" t="n">
        <v>63</v>
      </c>
      <c r="C73" s="7" t="s">
        <v>40</v>
      </c>
      <c r="D73" s="7" t="s">
        <v>73</v>
      </c>
      <c r="E73" s="7" t="s">
        <v>318</v>
      </c>
      <c r="F73" s="18" t="n">
        <f aca="false">IF('Base de Datos'!AB67="","",'Base de Datos'!AB67)</f>
        <v>1380</v>
      </c>
      <c r="G73" s="14"/>
      <c r="H73" s="26"/>
      <c r="I73" s="27" t="str">
        <f aca="false">IF(OR($G73="",$G73=0),"",IFERROR(ROUND($F73*$G73*(1-IF($H73="",0,$H73)),2),""))</f>
        <v/>
      </c>
      <c r="J73" s="7"/>
    </row>
    <row r="74" customFormat="false" ht="21.75" hidden="false" customHeight="true" outlineLevel="0" collapsed="false">
      <c r="B74" s="15" t="n">
        <v>64</v>
      </c>
      <c r="C74" s="9" t="s">
        <v>40</v>
      </c>
      <c r="D74" s="9" t="s">
        <v>73</v>
      </c>
      <c r="E74" s="9" t="s">
        <v>320</v>
      </c>
      <c r="F74" s="19" t="n">
        <f aca="false">IF('Base de Datos'!AB68="","",'Base de Datos'!AB68)</f>
        <v>2070</v>
      </c>
      <c r="G74" s="15"/>
      <c r="H74" s="28"/>
      <c r="I74" s="29" t="str">
        <f aca="false">IF(OR($G74="",$G74=0),"",IFERROR(ROUND($F74*$G74*(1-IF($H74="",0,$H74)),2),""))</f>
        <v/>
      </c>
      <c r="J74" s="9"/>
    </row>
    <row r="75" customFormat="false" ht="21.75" hidden="false" customHeight="true" outlineLevel="0" collapsed="false">
      <c r="B75" s="14" t="n">
        <v>65</v>
      </c>
      <c r="C75" s="7" t="s">
        <v>40</v>
      </c>
      <c r="D75" s="7" t="s">
        <v>73</v>
      </c>
      <c r="E75" s="7" t="s">
        <v>188</v>
      </c>
      <c r="F75" s="18" t="n">
        <f aca="false">IF('Base de Datos'!AB69="","",'Base de Datos'!AB69)</f>
        <v>3035</v>
      </c>
      <c r="G75" s="14"/>
      <c r="H75" s="26"/>
      <c r="I75" s="27" t="str">
        <f aca="false">IF(OR($G75="",$G75=0),"",IFERROR(ROUND($F75*$G75*(1-IF($H75="",0,$H75)),2),""))</f>
        <v/>
      </c>
      <c r="J75" s="7"/>
    </row>
    <row r="76" customFormat="false" ht="21.75" hidden="false" customHeight="true" outlineLevel="0" collapsed="false">
      <c r="B76" s="15" t="n">
        <v>66</v>
      </c>
      <c r="C76" s="9" t="s">
        <v>40</v>
      </c>
      <c r="D76" s="9" t="s">
        <v>74</v>
      </c>
      <c r="E76" s="9" t="s">
        <v>321</v>
      </c>
      <c r="F76" s="19" t="str">
        <f aca="false">IF('Base de Datos'!AB70="","",'Base de Datos'!AB70)</f>
        <v/>
      </c>
      <c r="G76" s="15"/>
      <c r="H76" s="28"/>
      <c r="I76" s="29" t="str">
        <f aca="false">IF(OR($G76="",$G76=0),"",IFERROR(ROUND($F76*$G76*(1-IF($H76="",0,$H76)),2),""))</f>
        <v/>
      </c>
      <c r="J76" s="9"/>
    </row>
    <row r="77" customFormat="false" ht="21.75" hidden="false" customHeight="true" outlineLevel="0" collapsed="false">
      <c r="B77" s="14" t="n">
        <v>67</v>
      </c>
      <c r="C77" s="7" t="s">
        <v>41</v>
      </c>
      <c r="D77" s="7" t="s">
        <v>61</v>
      </c>
      <c r="E77" s="7" t="s">
        <v>323</v>
      </c>
      <c r="F77" s="18" t="n">
        <f aca="false">IF('Base de Datos'!AB71="","",'Base de Datos'!AB71)</f>
        <v>390</v>
      </c>
      <c r="G77" s="14"/>
      <c r="H77" s="26"/>
      <c r="I77" s="27" t="str">
        <f aca="false">IF(OR($G77="",$G77=0),"",IFERROR(ROUND($F77*$G77*(1-IF($H77="",0,$H77)),2),""))</f>
        <v/>
      </c>
      <c r="J77" s="7"/>
    </row>
    <row r="78" customFormat="false" ht="21.75" hidden="false" customHeight="true" outlineLevel="0" collapsed="false">
      <c r="B78" s="15" t="n">
        <v>68</v>
      </c>
      <c r="C78" s="9" t="s">
        <v>41</v>
      </c>
      <c r="D78" s="9" t="s">
        <v>61</v>
      </c>
      <c r="E78" s="9" t="s">
        <v>338</v>
      </c>
      <c r="F78" s="19" t="n">
        <f aca="false">IF('Base de Datos'!AB72="","",'Base de Datos'!AB72)</f>
        <v>585</v>
      </c>
      <c r="G78" s="15"/>
      <c r="H78" s="28"/>
      <c r="I78" s="29" t="str">
        <f aca="false">IF(OR($G78="",$G78=0),"",IFERROR(ROUND($F78*$G78*(1-IF($H78="",0,$H78)),2),""))</f>
        <v/>
      </c>
      <c r="J78" s="9"/>
    </row>
    <row r="79" customFormat="false" ht="21.75" hidden="false" customHeight="true" outlineLevel="0" collapsed="false">
      <c r="B79" s="14" t="n">
        <v>69</v>
      </c>
      <c r="C79" s="7" t="s">
        <v>41</v>
      </c>
      <c r="D79" s="7" t="s">
        <v>61</v>
      </c>
      <c r="E79" s="7" t="s">
        <v>339</v>
      </c>
      <c r="F79" s="18" t="n">
        <f aca="false">IF('Base de Datos'!AB73="","",'Base de Datos'!AB73)</f>
        <v>780</v>
      </c>
      <c r="G79" s="14"/>
      <c r="H79" s="26"/>
      <c r="I79" s="27" t="str">
        <f aca="false">IF(OR($G79="",$G79=0),"",IFERROR(ROUND($F79*$G79*(1-IF($H79="",0,$H79)),2),""))</f>
        <v/>
      </c>
      <c r="J79" s="7"/>
    </row>
    <row r="80" customFormat="false" ht="21.75" hidden="false" customHeight="true" outlineLevel="0" collapsed="false">
      <c r="B80" s="15" t="n">
        <v>70</v>
      </c>
      <c r="C80" s="9" t="s">
        <v>41</v>
      </c>
      <c r="D80" s="9" t="s">
        <v>61</v>
      </c>
      <c r="E80" s="9" t="s">
        <v>341</v>
      </c>
      <c r="F80" s="19" t="n">
        <f aca="false">IF('Base de Datos'!AB74="","",'Base de Datos'!AB74)</f>
        <v>1170</v>
      </c>
      <c r="G80" s="15"/>
      <c r="H80" s="28"/>
      <c r="I80" s="29" t="str">
        <f aca="false">IF(OR($G80="",$G80=0),"",IFERROR(ROUND($F80*$G80*(1-IF($H80="",0,$H80)),2),""))</f>
        <v/>
      </c>
      <c r="J80" s="9"/>
    </row>
    <row r="81" customFormat="false" ht="21.75" hidden="false" customHeight="true" outlineLevel="0" collapsed="false">
      <c r="B81" s="14" t="n">
        <v>71</v>
      </c>
      <c r="C81" s="7" t="s">
        <v>41</v>
      </c>
      <c r="D81" s="7" t="s">
        <v>61</v>
      </c>
      <c r="E81" s="7" t="s">
        <v>342</v>
      </c>
      <c r="F81" s="18" t="n">
        <f aca="false">IF('Base de Datos'!AB75="","",'Base de Datos'!AB75)</f>
        <v>1715</v>
      </c>
      <c r="G81" s="14"/>
      <c r="H81" s="26"/>
      <c r="I81" s="27" t="str">
        <f aca="false">IF(OR($G81="",$G81=0),"",IFERROR(ROUND($F81*$G81*(1-IF($H81="",0,$H81)),2),""))</f>
        <v/>
      </c>
      <c r="J81" s="7"/>
    </row>
    <row r="82" customFormat="false" ht="21.75" hidden="false" customHeight="true" outlineLevel="0" collapsed="false">
      <c r="B82" s="15" t="n">
        <v>72</v>
      </c>
      <c r="C82" s="9" t="s">
        <v>41</v>
      </c>
      <c r="D82" s="9" t="s">
        <v>62</v>
      </c>
      <c r="E82" s="9" t="s">
        <v>343</v>
      </c>
      <c r="F82" s="19" t="n">
        <f aca="false">IF('Base de Datos'!AB76="","",'Base de Datos'!AB76)</f>
        <v>445</v>
      </c>
      <c r="G82" s="15"/>
      <c r="H82" s="28"/>
      <c r="I82" s="29" t="str">
        <f aca="false">IF(OR($G82="",$G82=0),"",IFERROR(ROUND($F82*$G82*(1-IF($H82="",0,$H82)),2),""))</f>
        <v/>
      </c>
      <c r="J82" s="9"/>
    </row>
    <row r="83" customFormat="false" ht="21.75" hidden="false" customHeight="true" outlineLevel="0" collapsed="false">
      <c r="B83" s="14" t="n">
        <v>73</v>
      </c>
      <c r="C83" s="7" t="s">
        <v>41</v>
      </c>
      <c r="D83" s="7" t="s">
        <v>62</v>
      </c>
      <c r="E83" s="7" t="s">
        <v>347</v>
      </c>
      <c r="F83" s="18" t="n">
        <f aca="false">IF('Base de Datos'!AB77="","",'Base de Datos'!AB77)</f>
        <v>670</v>
      </c>
      <c r="G83" s="14"/>
      <c r="H83" s="26"/>
      <c r="I83" s="27" t="str">
        <f aca="false">IF(OR($G83="",$G83=0),"",IFERROR(ROUND($F83*$G83*(1-IF($H83="",0,$H83)),2),""))</f>
        <v/>
      </c>
      <c r="J83" s="7"/>
    </row>
    <row r="84" customFormat="false" ht="21.75" hidden="false" customHeight="true" outlineLevel="0" collapsed="false">
      <c r="B84" s="15" t="n">
        <v>74</v>
      </c>
      <c r="C84" s="9" t="s">
        <v>41</v>
      </c>
      <c r="D84" s="9" t="s">
        <v>62</v>
      </c>
      <c r="E84" s="9" t="s">
        <v>348</v>
      </c>
      <c r="F84" s="19" t="n">
        <f aca="false">IF('Base de Datos'!AB78="","",'Base de Datos'!AB78)</f>
        <v>890</v>
      </c>
      <c r="G84" s="15"/>
      <c r="H84" s="28"/>
      <c r="I84" s="29" t="str">
        <f aca="false">IF(OR($G84="",$G84=0),"",IFERROR(ROUND($F84*$G84*(1-IF($H84="",0,$H84)),2),""))</f>
        <v/>
      </c>
      <c r="J84" s="9"/>
    </row>
    <row r="85" customFormat="false" ht="21.75" hidden="false" customHeight="true" outlineLevel="0" collapsed="false">
      <c r="B85" s="14" t="n">
        <v>75</v>
      </c>
      <c r="C85" s="7" t="s">
        <v>41</v>
      </c>
      <c r="D85" s="7" t="s">
        <v>62</v>
      </c>
      <c r="E85" s="7" t="s">
        <v>350</v>
      </c>
      <c r="F85" s="18" t="n">
        <f aca="false">IF('Base de Datos'!AB79="","",'Base de Datos'!AB79)</f>
        <v>1335</v>
      </c>
      <c r="G85" s="14"/>
      <c r="H85" s="26"/>
      <c r="I85" s="27" t="str">
        <f aca="false">IF(OR($G85="",$G85=0),"",IFERROR(ROUND($F85*$G85*(1-IF($H85="",0,$H85)),2),""))</f>
        <v/>
      </c>
      <c r="J85" s="7"/>
    </row>
    <row r="86" customFormat="false" ht="21.75" hidden="false" customHeight="true" outlineLevel="0" collapsed="false">
      <c r="B86" s="15" t="n">
        <v>76</v>
      </c>
      <c r="C86" s="9" t="s">
        <v>41</v>
      </c>
      <c r="D86" s="9" t="s">
        <v>62</v>
      </c>
      <c r="E86" s="9" t="s">
        <v>351</v>
      </c>
      <c r="F86" s="19" t="n">
        <f aca="false">IF('Base de Datos'!AB80="","",'Base de Datos'!AB80)</f>
        <v>1960</v>
      </c>
      <c r="G86" s="15"/>
      <c r="H86" s="28"/>
      <c r="I86" s="29" t="str">
        <f aca="false">IF(OR($G86="",$G86=0),"",IFERROR(ROUND($F86*$G86*(1-IF($H86="",0,$H86)),2),""))</f>
        <v/>
      </c>
      <c r="J86" s="9"/>
    </row>
    <row r="87" customFormat="false" ht="21.75" hidden="false" customHeight="true" outlineLevel="0" collapsed="false">
      <c r="B87" s="14" t="n">
        <v>77</v>
      </c>
      <c r="C87" s="7" t="s">
        <v>41</v>
      </c>
      <c r="D87" s="7" t="s">
        <v>63</v>
      </c>
      <c r="E87" s="7" t="s">
        <v>352</v>
      </c>
      <c r="F87" s="18" t="n">
        <f aca="false">IF('Base de Datos'!AB81="","",'Base de Datos'!AB81)</f>
        <v>465</v>
      </c>
      <c r="G87" s="14"/>
      <c r="H87" s="26"/>
      <c r="I87" s="27" t="str">
        <f aca="false">IF(OR($G87="",$G87=0),"",IFERROR(ROUND($F87*$G87*(1-IF($H87="",0,$H87)),2),""))</f>
        <v/>
      </c>
      <c r="J87" s="7"/>
    </row>
    <row r="88" customFormat="false" ht="21.75" hidden="false" customHeight="true" outlineLevel="0" collapsed="false">
      <c r="B88" s="15" t="n">
        <v>78</v>
      </c>
      <c r="C88" s="9" t="s">
        <v>41</v>
      </c>
      <c r="D88" s="9" t="s">
        <v>63</v>
      </c>
      <c r="E88" s="9" t="s">
        <v>359</v>
      </c>
      <c r="F88" s="19" t="n">
        <f aca="false">IF('Base de Datos'!AB82="","",'Base de Datos'!AB82)</f>
        <v>700</v>
      </c>
      <c r="G88" s="15"/>
      <c r="H88" s="28"/>
      <c r="I88" s="29" t="str">
        <f aca="false">IF(OR($G88="",$G88=0),"",IFERROR(ROUND($F88*$G88*(1-IF($H88="",0,$H88)),2),""))</f>
        <v/>
      </c>
      <c r="J88" s="9"/>
    </row>
    <row r="89" customFormat="false" ht="21.75" hidden="false" customHeight="true" outlineLevel="0" collapsed="false">
      <c r="B89" s="14" t="n">
        <v>79</v>
      </c>
      <c r="C89" s="7" t="s">
        <v>41</v>
      </c>
      <c r="D89" s="7" t="s">
        <v>63</v>
      </c>
      <c r="E89" s="7" t="s">
        <v>360</v>
      </c>
      <c r="F89" s="18" t="n">
        <f aca="false">IF('Base de Datos'!AB83="","",'Base de Datos'!AB83)</f>
        <v>930</v>
      </c>
      <c r="G89" s="14"/>
      <c r="H89" s="26"/>
      <c r="I89" s="27" t="str">
        <f aca="false">IF(OR($G89="",$G89=0),"",IFERROR(ROUND($F89*$G89*(1-IF($H89="",0,$H89)),2),""))</f>
        <v/>
      </c>
      <c r="J89" s="7"/>
    </row>
    <row r="90" customFormat="false" ht="21.75" hidden="false" customHeight="true" outlineLevel="0" collapsed="false">
      <c r="B90" s="15" t="n">
        <v>80</v>
      </c>
      <c r="C90" s="9" t="s">
        <v>41</v>
      </c>
      <c r="D90" s="9" t="s">
        <v>63</v>
      </c>
      <c r="E90" s="9" t="s">
        <v>362</v>
      </c>
      <c r="F90" s="19" t="n">
        <f aca="false">IF('Base de Datos'!AB84="","",'Base de Datos'!AB84)</f>
        <v>1395</v>
      </c>
      <c r="G90" s="15"/>
      <c r="H90" s="28"/>
      <c r="I90" s="29" t="str">
        <f aca="false">IF(OR($G90="",$G90=0),"",IFERROR(ROUND($F90*$G90*(1-IF($H90="",0,$H90)),2),""))</f>
        <v/>
      </c>
      <c r="J90" s="9"/>
    </row>
    <row r="91" customFormat="false" ht="21.75" hidden="false" customHeight="true" outlineLevel="0" collapsed="false">
      <c r="B91" s="14" t="n">
        <v>81</v>
      </c>
      <c r="C91" s="7" t="s">
        <v>41</v>
      </c>
      <c r="D91" s="7" t="s">
        <v>63</v>
      </c>
      <c r="E91" s="7" t="s">
        <v>363</v>
      </c>
      <c r="F91" s="18" t="n">
        <f aca="false">IF('Base de Datos'!AB85="","",'Base de Datos'!AB85)</f>
        <v>2045</v>
      </c>
      <c r="G91" s="14"/>
      <c r="H91" s="26"/>
      <c r="I91" s="27" t="str">
        <f aca="false">IF(OR($G91="",$G91=0),"",IFERROR(ROUND($F91*$G91*(1-IF($H91="",0,$H91)),2),""))</f>
        <v/>
      </c>
      <c r="J91" s="7"/>
    </row>
    <row r="92" customFormat="false" ht="21.75" hidden="false" customHeight="true" outlineLevel="0" collapsed="false">
      <c r="B92" s="15" t="n">
        <v>82</v>
      </c>
      <c r="C92" s="9" t="s">
        <v>41</v>
      </c>
      <c r="D92" s="9" t="s">
        <v>64</v>
      </c>
      <c r="E92" s="9" t="s">
        <v>364</v>
      </c>
      <c r="F92" s="19" t="n">
        <f aca="false">IF('Base de Datos'!AB86="","",'Base de Datos'!AB86)</f>
        <v>1375</v>
      </c>
      <c r="G92" s="15"/>
      <c r="H92" s="28"/>
      <c r="I92" s="29" t="str">
        <f aca="false">IF(OR($G92="",$G92=0),"",IFERROR(ROUND($F92*$G92*(1-IF($H92="",0,$H92)),2),""))</f>
        <v/>
      </c>
      <c r="J92" s="9"/>
    </row>
    <row r="93" customFormat="false" ht="21.75" hidden="false" customHeight="true" outlineLevel="0" collapsed="false">
      <c r="B93" s="14" t="n">
        <v>83</v>
      </c>
      <c r="C93" s="7" t="s">
        <v>41</v>
      </c>
      <c r="D93" s="7" t="s">
        <v>64</v>
      </c>
      <c r="E93" s="7" t="s">
        <v>371</v>
      </c>
      <c r="F93" s="18" t="n">
        <f aca="false">IF('Base de Datos'!AB87="","",'Base de Datos'!AB87)</f>
        <v>2060</v>
      </c>
      <c r="G93" s="14"/>
      <c r="H93" s="26"/>
      <c r="I93" s="27" t="str">
        <f aca="false">IF(OR($G93="",$G93=0),"",IFERROR(ROUND($F93*$G93*(1-IF($H93="",0,$H93)),2),""))</f>
        <v/>
      </c>
      <c r="J93" s="7"/>
    </row>
    <row r="94" customFormat="false" ht="21.75" hidden="false" customHeight="true" outlineLevel="0" collapsed="false">
      <c r="B94" s="15" t="n">
        <v>84</v>
      </c>
      <c r="C94" s="9" t="s">
        <v>41</v>
      </c>
      <c r="D94" s="9" t="s">
        <v>64</v>
      </c>
      <c r="E94" s="9" t="s">
        <v>372</v>
      </c>
      <c r="F94" s="19" t="n">
        <f aca="false">IF('Base de Datos'!AB88="","",'Base de Datos'!AB88)</f>
        <v>2750</v>
      </c>
      <c r="G94" s="15"/>
      <c r="H94" s="28"/>
      <c r="I94" s="29" t="str">
        <f aca="false">IF(OR($G94="",$G94=0),"",IFERROR(ROUND($F94*$G94*(1-IF($H94="",0,$H94)),2),""))</f>
        <v/>
      </c>
      <c r="J94" s="9"/>
    </row>
    <row r="95" customFormat="false" ht="21.75" hidden="false" customHeight="true" outlineLevel="0" collapsed="false">
      <c r="B95" s="14" t="n">
        <v>85</v>
      </c>
      <c r="C95" s="7" t="s">
        <v>41</v>
      </c>
      <c r="D95" s="7" t="s">
        <v>64</v>
      </c>
      <c r="E95" s="7" t="s">
        <v>374</v>
      </c>
      <c r="F95" s="18" t="n">
        <f aca="false">IF('Base de Datos'!AB89="","",'Base de Datos'!AB89)</f>
        <v>4125</v>
      </c>
      <c r="G95" s="14"/>
      <c r="H95" s="26"/>
      <c r="I95" s="27" t="str">
        <f aca="false">IF(OR($G95="",$G95=0),"",IFERROR(ROUND($F95*$G95*(1-IF($H95="",0,$H95)),2),""))</f>
        <v/>
      </c>
      <c r="J95" s="7"/>
    </row>
    <row r="96" customFormat="false" ht="21.75" hidden="false" customHeight="true" outlineLevel="0" collapsed="false">
      <c r="B96" s="15" t="n">
        <v>86</v>
      </c>
      <c r="C96" s="9" t="s">
        <v>41</v>
      </c>
      <c r="D96" s="9" t="s">
        <v>64</v>
      </c>
      <c r="E96" s="9" t="s">
        <v>375</v>
      </c>
      <c r="F96" s="19" t="n">
        <f aca="false">IF('Base de Datos'!AB90="","",'Base de Datos'!AB90)</f>
        <v>6050</v>
      </c>
      <c r="G96" s="15"/>
      <c r="H96" s="28"/>
      <c r="I96" s="29" t="str">
        <f aca="false">IF(OR($G96="",$G96=0),"",IFERROR(ROUND($F96*$G96*(1-IF($H96="",0,$H96)),2),""))</f>
        <v/>
      </c>
      <c r="J96" s="9"/>
    </row>
    <row r="97" customFormat="false" ht="21.75" hidden="false" customHeight="true" outlineLevel="0" collapsed="false">
      <c r="B97" s="14" t="n">
        <v>87</v>
      </c>
      <c r="C97" s="7" t="s">
        <v>41</v>
      </c>
      <c r="D97" s="7" t="s">
        <v>65</v>
      </c>
      <c r="E97" s="7" t="s">
        <v>376</v>
      </c>
      <c r="F97" s="18" t="n">
        <f aca="false">IF('Base de Datos'!AB91="","",'Base de Datos'!AB91)</f>
        <v>950</v>
      </c>
      <c r="G97" s="14"/>
      <c r="H97" s="26"/>
      <c r="I97" s="27" t="str">
        <f aca="false">IF(OR($G97="",$G97=0),"",IFERROR(ROUND($F97*$G97*(1-IF($H97="",0,$H97)),2),""))</f>
        <v/>
      </c>
      <c r="J97" s="7"/>
    </row>
    <row r="98" customFormat="false" ht="21.75" hidden="false" customHeight="true" outlineLevel="0" collapsed="false">
      <c r="B98" s="15" t="n">
        <v>88</v>
      </c>
      <c r="C98" s="9" t="s">
        <v>41</v>
      </c>
      <c r="D98" s="9" t="s">
        <v>65</v>
      </c>
      <c r="E98" s="9" t="s">
        <v>382</v>
      </c>
      <c r="F98" s="19" t="n">
        <f aca="false">IF('Base de Datos'!AB92="","",'Base de Datos'!AB92)</f>
        <v>1425</v>
      </c>
      <c r="G98" s="15"/>
      <c r="H98" s="28"/>
      <c r="I98" s="29" t="str">
        <f aca="false">IF(OR($G98="",$G98=0),"",IFERROR(ROUND($F98*$G98*(1-IF($H98="",0,$H98)),2),""))</f>
        <v/>
      </c>
      <c r="J98" s="9"/>
    </row>
    <row r="99" customFormat="false" ht="21.75" hidden="false" customHeight="true" outlineLevel="0" collapsed="false">
      <c r="B99" s="14" t="n">
        <v>89</v>
      </c>
      <c r="C99" s="7" t="s">
        <v>41</v>
      </c>
      <c r="D99" s="7" t="s">
        <v>65</v>
      </c>
      <c r="E99" s="7" t="s">
        <v>383</v>
      </c>
      <c r="F99" s="18" t="n">
        <f aca="false">IF('Base de Datos'!AB93="","",'Base de Datos'!AB93)</f>
        <v>1900</v>
      </c>
      <c r="G99" s="14"/>
      <c r="H99" s="26"/>
      <c r="I99" s="27" t="str">
        <f aca="false">IF(OR($G99="",$G99=0),"",IFERROR(ROUND($F99*$G99*(1-IF($H99="",0,$H99)),2),""))</f>
        <v/>
      </c>
      <c r="J99" s="7"/>
    </row>
    <row r="100" customFormat="false" ht="21.75" hidden="false" customHeight="true" outlineLevel="0" collapsed="false">
      <c r="B100" s="15" t="n">
        <v>90</v>
      </c>
      <c r="C100" s="9" t="s">
        <v>41</v>
      </c>
      <c r="D100" s="9" t="s">
        <v>65</v>
      </c>
      <c r="E100" s="9" t="s">
        <v>385</v>
      </c>
      <c r="F100" s="19" t="n">
        <f aca="false">IF('Base de Datos'!AB94="","",'Base de Datos'!AB94)</f>
        <v>2850</v>
      </c>
      <c r="G100" s="15"/>
      <c r="H100" s="28"/>
      <c r="I100" s="29" t="str">
        <f aca="false">IF(OR($G100="",$G100=0),"",IFERROR(ROUND($F100*$G100*(1-IF($H100="",0,$H100)),2),""))</f>
        <v/>
      </c>
      <c r="J100" s="9"/>
    </row>
    <row r="101" customFormat="false" ht="21.75" hidden="false" customHeight="true" outlineLevel="0" collapsed="false">
      <c r="B101" s="14" t="n">
        <v>91</v>
      </c>
      <c r="C101" s="7" t="s">
        <v>41</v>
      </c>
      <c r="D101" s="7" t="s">
        <v>65</v>
      </c>
      <c r="E101" s="7" t="s">
        <v>364</v>
      </c>
      <c r="F101" s="18" t="n">
        <f aca="false">IF('Base de Datos'!AB95="","",'Base de Datos'!AB95)</f>
        <v>4180</v>
      </c>
      <c r="G101" s="14"/>
      <c r="H101" s="26"/>
      <c r="I101" s="27" t="str">
        <f aca="false">IF(OR($G101="",$G101=0),"",IFERROR(ROUND($F101*$G101*(1-IF($H101="",0,$H101)),2),""))</f>
        <v/>
      </c>
      <c r="J101" s="7"/>
    </row>
    <row r="102" customFormat="false" ht="21.75" hidden="false" customHeight="true" outlineLevel="0" collapsed="false">
      <c r="B102" s="15" t="n">
        <v>92</v>
      </c>
      <c r="C102" s="9" t="s">
        <v>41</v>
      </c>
      <c r="D102" s="9" t="s">
        <v>66</v>
      </c>
      <c r="E102" s="9" t="s">
        <v>386</v>
      </c>
      <c r="F102" s="19" t="n">
        <f aca="false">IF('Base de Datos'!AB96="","",'Base de Datos'!AB96)</f>
        <v>320</v>
      </c>
      <c r="G102" s="15"/>
      <c r="H102" s="28"/>
      <c r="I102" s="29" t="str">
        <f aca="false">IF(OR($G102="",$G102=0),"",IFERROR(ROUND($F102*$G102*(1-IF($H102="",0,$H102)),2),""))</f>
        <v/>
      </c>
      <c r="J102" s="9"/>
    </row>
    <row r="103" customFormat="false" ht="21.75" hidden="false" customHeight="true" outlineLevel="0" collapsed="false">
      <c r="B103" s="14" t="n">
        <v>93</v>
      </c>
      <c r="C103" s="7" t="s">
        <v>41</v>
      </c>
      <c r="D103" s="7" t="s">
        <v>66</v>
      </c>
      <c r="E103" s="7" t="s">
        <v>390</v>
      </c>
      <c r="F103" s="18" t="n">
        <f aca="false">IF('Base de Datos'!AB97="","",'Base de Datos'!AB97)</f>
        <v>480</v>
      </c>
      <c r="G103" s="14"/>
      <c r="H103" s="26"/>
      <c r="I103" s="27" t="str">
        <f aca="false">IF(OR($G103="",$G103=0),"",IFERROR(ROUND($F103*$G103*(1-IF($H103="",0,$H103)),2),""))</f>
        <v/>
      </c>
      <c r="J103" s="7"/>
    </row>
    <row r="104" customFormat="false" ht="21.75" hidden="false" customHeight="true" outlineLevel="0" collapsed="false">
      <c r="B104" s="15" t="n">
        <v>94</v>
      </c>
      <c r="C104" s="9" t="s">
        <v>41</v>
      </c>
      <c r="D104" s="9" t="s">
        <v>66</v>
      </c>
      <c r="E104" s="9" t="s">
        <v>391</v>
      </c>
      <c r="F104" s="19" t="n">
        <f aca="false">IF('Base de Datos'!AB98="","",'Base de Datos'!AB98)</f>
        <v>640</v>
      </c>
      <c r="G104" s="15"/>
      <c r="H104" s="28"/>
      <c r="I104" s="29" t="str">
        <f aca="false">IF(OR($G104="",$G104=0),"",IFERROR(ROUND($F104*$G104*(1-IF($H104="",0,$H104)),2),""))</f>
        <v/>
      </c>
      <c r="J104" s="9"/>
    </row>
    <row r="105" customFormat="false" ht="21.75" hidden="false" customHeight="true" outlineLevel="0" collapsed="false">
      <c r="B105" s="14" t="n">
        <v>95</v>
      </c>
      <c r="C105" s="7" t="s">
        <v>41</v>
      </c>
      <c r="D105" s="7" t="s">
        <v>66</v>
      </c>
      <c r="E105" s="7" t="s">
        <v>393</v>
      </c>
      <c r="F105" s="18" t="n">
        <f aca="false">IF('Base de Datos'!AB99="","",'Base de Datos'!AB99)</f>
        <v>960</v>
      </c>
      <c r="G105" s="14"/>
      <c r="H105" s="26"/>
      <c r="I105" s="27" t="str">
        <f aca="false">IF(OR($G105="",$G105=0),"",IFERROR(ROUND($F105*$G105*(1-IF($H105="",0,$H105)),2),""))</f>
        <v/>
      </c>
      <c r="J105" s="7"/>
    </row>
    <row r="106" customFormat="false" ht="21.75" hidden="false" customHeight="true" outlineLevel="0" collapsed="false">
      <c r="B106" s="15" t="n">
        <v>96</v>
      </c>
      <c r="C106" s="9" t="s">
        <v>41</v>
      </c>
      <c r="D106" s="9" t="s">
        <v>66</v>
      </c>
      <c r="E106" s="9" t="s">
        <v>394</v>
      </c>
      <c r="F106" s="19" t="n">
        <f aca="false">IF('Base de Datos'!AB100="","",'Base de Datos'!AB100)</f>
        <v>1410</v>
      </c>
      <c r="G106" s="15"/>
      <c r="H106" s="28"/>
      <c r="I106" s="29" t="str">
        <f aca="false">IF(OR($G106="",$G106=0),"",IFERROR(ROUND($F106*$G106*(1-IF($H106="",0,$H106)),2),""))</f>
        <v/>
      </c>
      <c r="J106" s="9"/>
    </row>
    <row r="107" customFormat="false" ht="21.75" hidden="false" customHeight="true" outlineLevel="0" collapsed="false">
      <c r="B107" s="14" t="n">
        <v>97</v>
      </c>
      <c r="C107" s="7" t="s">
        <v>41</v>
      </c>
      <c r="D107" s="7" t="s">
        <v>67</v>
      </c>
      <c r="E107" s="7" t="s">
        <v>395</v>
      </c>
      <c r="F107" s="18" t="n">
        <f aca="false">IF('Base de Datos'!AB101="","",'Base de Datos'!AB101)</f>
        <v>875</v>
      </c>
      <c r="G107" s="14"/>
      <c r="H107" s="26"/>
      <c r="I107" s="27" t="str">
        <f aca="false">IF(OR($G107="",$G107=0),"",IFERROR(ROUND($F107*$G107*(1-IF($H107="",0,$H107)),2),""))</f>
        <v/>
      </c>
      <c r="J107" s="7"/>
    </row>
    <row r="108" customFormat="false" ht="21.75" hidden="false" customHeight="true" outlineLevel="0" collapsed="false">
      <c r="B108" s="15" t="n">
        <v>98</v>
      </c>
      <c r="C108" s="9" t="s">
        <v>41</v>
      </c>
      <c r="D108" s="9" t="s">
        <v>67</v>
      </c>
      <c r="E108" s="9" t="s">
        <v>401</v>
      </c>
      <c r="F108" s="19" t="n">
        <f aca="false">IF('Base de Datos'!AB102="","",'Base de Datos'!AB102)</f>
        <v>1310</v>
      </c>
      <c r="G108" s="15"/>
      <c r="H108" s="28"/>
      <c r="I108" s="29" t="str">
        <f aca="false">IF(OR($G108="",$G108=0),"",IFERROR(ROUND($F108*$G108*(1-IF($H108="",0,$H108)),2),""))</f>
        <v/>
      </c>
      <c r="J108" s="9"/>
    </row>
    <row r="109" customFormat="false" ht="21.75" hidden="false" customHeight="true" outlineLevel="0" collapsed="false">
      <c r="B109" s="14" t="n">
        <v>99</v>
      </c>
      <c r="C109" s="7" t="s">
        <v>41</v>
      </c>
      <c r="D109" s="7" t="s">
        <v>67</v>
      </c>
      <c r="E109" s="7" t="s">
        <v>402</v>
      </c>
      <c r="F109" s="18" t="n">
        <f aca="false">IF('Base de Datos'!AB103="","",'Base de Datos'!AB103)</f>
        <v>1750</v>
      </c>
      <c r="G109" s="14"/>
      <c r="H109" s="26"/>
      <c r="I109" s="27" t="str">
        <f aca="false">IF(OR($G109="",$G109=0),"",IFERROR(ROUND($F109*$G109*(1-IF($H109="",0,$H109)),2),""))</f>
        <v/>
      </c>
      <c r="J109" s="7"/>
    </row>
    <row r="110" customFormat="false" ht="21.75" hidden="false" customHeight="true" outlineLevel="0" collapsed="false">
      <c r="B110" s="15" t="n">
        <v>100</v>
      </c>
      <c r="C110" s="9" t="s">
        <v>41</v>
      </c>
      <c r="D110" s="9" t="s">
        <v>67</v>
      </c>
      <c r="E110" s="9" t="s">
        <v>404</v>
      </c>
      <c r="F110" s="19" t="n">
        <f aca="false">IF('Base de Datos'!AB104="","",'Base de Datos'!AB104)</f>
        <v>2625</v>
      </c>
      <c r="G110" s="15"/>
      <c r="H110" s="28"/>
      <c r="I110" s="29" t="str">
        <f aca="false">IF(OR($G110="",$G110=0),"",IFERROR(ROUND($F110*$G110*(1-IF($H110="",0,$H110)),2),""))</f>
        <v/>
      </c>
      <c r="J110" s="9"/>
    </row>
    <row r="111" customFormat="false" ht="21.75" hidden="false" customHeight="true" outlineLevel="0" collapsed="false">
      <c r="B111" s="14" t="n">
        <v>101</v>
      </c>
      <c r="C111" s="7" t="s">
        <v>41</v>
      </c>
      <c r="D111" s="7" t="s">
        <v>67</v>
      </c>
      <c r="E111" s="7" t="s">
        <v>405</v>
      </c>
      <c r="F111" s="18" t="n">
        <f aca="false">IF('Base de Datos'!AB105="","",'Base de Datos'!AB105)</f>
        <v>3850</v>
      </c>
      <c r="G111" s="14"/>
      <c r="H111" s="26"/>
      <c r="I111" s="27" t="str">
        <f aca="false">IF(OR($G111="",$G111=0),"",IFERROR(ROUND($F111*$G111*(1-IF($H111="",0,$H111)),2),""))</f>
        <v/>
      </c>
      <c r="J111" s="7"/>
    </row>
    <row r="112" customFormat="false" ht="21.75" hidden="false" customHeight="true" outlineLevel="0" collapsed="false">
      <c r="B112" s="15" t="n">
        <v>102</v>
      </c>
      <c r="C112" s="9" t="s">
        <v>41</v>
      </c>
      <c r="D112" s="9" t="s">
        <v>68</v>
      </c>
      <c r="E112" s="9" t="s">
        <v>406</v>
      </c>
      <c r="F112" s="19" t="n">
        <f aca="false">IF('Base de Datos'!AB106="","",'Base de Datos'!AB106)</f>
        <v>1950</v>
      </c>
      <c r="G112" s="15"/>
      <c r="H112" s="28"/>
      <c r="I112" s="29" t="str">
        <f aca="false">IF(OR($G112="",$G112=0),"",IFERROR(ROUND($F112*$G112*(1-IF($H112="",0,$H112)),2),""))</f>
        <v/>
      </c>
      <c r="J112" s="9"/>
    </row>
    <row r="113" customFormat="false" ht="21.75" hidden="false" customHeight="true" outlineLevel="0" collapsed="false">
      <c r="B113" s="14" t="n">
        <v>103</v>
      </c>
      <c r="C113" s="7" t="s">
        <v>41</v>
      </c>
      <c r="D113" s="7" t="s">
        <v>68</v>
      </c>
      <c r="E113" s="7" t="s">
        <v>411</v>
      </c>
      <c r="F113" s="18" t="n">
        <f aca="false">IF('Base de Datos'!AB107="","",'Base de Datos'!AB107)</f>
        <v>2925</v>
      </c>
      <c r="G113" s="14"/>
      <c r="H113" s="26"/>
      <c r="I113" s="27" t="str">
        <f aca="false">IF(OR($G113="",$G113=0),"",IFERROR(ROUND($F113*$G113*(1-IF($H113="",0,$H113)),2),""))</f>
        <v/>
      </c>
      <c r="J113" s="7"/>
    </row>
    <row r="114" customFormat="false" ht="21.75" hidden="false" customHeight="true" outlineLevel="0" collapsed="false">
      <c r="B114" s="15" t="n">
        <v>104</v>
      </c>
      <c r="C114" s="9" t="s">
        <v>41</v>
      </c>
      <c r="D114" s="9" t="s">
        <v>68</v>
      </c>
      <c r="E114" s="9" t="s">
        <v>412</v>
      </c>
      <c r="F114" s="19" t="n">
        <f aca="false">IF('Base de Datos'!AB108="","",'Base de Datos'!AB108)</f>
        <v>3900</v>
      </c>
      <c r="G114" s="15"/>
      <c r="H114" s="28"/>
      <c r="I114" s="29" t="str">
        <f aca="false">IF(OR($G114="",$G114=0),"",IFERROR(ROUND($F114*$G114*(1-IF($H114="",0,$H114)),2),""))</f>
        <v/>
      </c>
      <c r="J114" s="9"/>
    </row>
    <row r="115" customFormat="false" ht="21.75" hidden="false" customHeight="true" outlineLevel="0" collapsed="false">
      <c r="B115" s="14" t="n">
        <v>105</v>
      </c>
      <c r="C115" s="7" t="s">
        <v>41</v>
      </c>
      <c r="D115" s="7" t="s">
        <v>68</v>
      </c>
      <c r="E115" s="7" t="s">
        <v>414</v>
      </c>
      <c r="F115" s="18" t="n">
        <f aca="false">IF('Base de Datos'!AB109="","",'Base de Datos'!AB109)</f>
        <v>5850</v>
      </c>
      <c r="G115" s="14"/>
      <c r="H115" s="26"/>
      <c r="I115" s="27" t="str">
        <f aca="false">IF(OR($G115="",$G115=0),"",IFERROR(ROUND($F115*$G115*(1-IF($H115="",0,$H115)),2),""))</f>
        <v/>
      </c>
      <c r="J115" s="7"/>
    </row>
    <row r="116" customFormat="false" ht="21.75" hidden="false" customHeight="true" outlineLevel="0" collapsed="false">
      <c r="B116" s="15" t="n">
        <v>106</v>
      </c>
      <c r="C116" s="9" t="s">
        <v>41</v>
      </c>
      <c r="D116" s="9" t="s">
        <v>68</v>
      </c>
      <c r="E116" s="9" t="s">
        <v>415</v>
      </c>
      <c r="F116" s="19" t="n">
        <f aca="false">IF('Base de Datos'!AB110="","",'Base de Datos'!AB110)</f>
        <v>8580</v>
      </c>
      <c r="G116" s="15"/>
      <c r="H116" s="28"/>
      <c r="I116" s="29" t="str">
        <f aca="false">IF(OR($G116="",$G116=0),"",IFERROR(ROUND($F116*$G116*(1-IF($H116="",0,$H116)),2),""))</f>
        <v/>
      </c>
      <c r="J116" s="9"/>
    </row>
    <row r="117" customFormat="false" ht="21.75" hidden="false" customHeight="true" outlineLevel="0" collapsed="false">
      <c r="B117" s="14" t="n">
        <v>107</v>
      </c>
      <c r="C117" s="7" t="s">
        <v>41</v>
      </c>
      <c r="D117" s="7" t="s">
        <v>69</v>
      </c>
      <c r="E117" s="7" t="s">
        <v>321</v>
      </c>
      <c r="F117" s="18" t="str">
        <f aca="false">IF('Base de Datos'!AB111="","",'Base de Datos'!AB111)</f>
        <v/>
      </c>
      <c r="G117" s="14"/>
      <c r="H117" s="26"/>
      <c r="I117" s="27" t="str">
        <f aca="false">IF(OR($G117="",$G117=0),"",IFERROR(ROUND($F117*$G117*(1-IF($H117="",0,$H117)),2),""))</f>
        <v/>
      </c>
      <c r="J117" s="7"/>
    </row>
    <row r="118" customFormat="false" ht="21.75" hidden="false" customHeight="true" outlineLevel="0" collapsed="false">
      <c r="B118" s="15" t="n">
        <v>108</v>
      </c>
      <c r="C118" s="9" t="s">
        <v>41</v>
      </c>
      <c r="D118" s="9" t="s">
        <v>70</v>
      </c>
      <c r="E118" s="9" t="s">
        <v>417</v>
      </c>
      <c r="F118" s="19" t="n">
        <f aca="false">IF('Base de Datos'!AB112="","",'Base de Datos'!AB112)</f>
        <v>5750</v>
      </c>
      <c r="G118" s="15"/>
      <c r="H118" s="28"/>
      <c r="I118" s="29" t="str">
        <f aca="false">IF(OR($G118="",$G118=0),"",IFERROR(ROUND($F118*$G118*(1-IF($H118="",0,$H118)),2),""))</f>
        <v/>
      </c>
      <c r="J118" s="9"/>
    </row>
    <row r="119" customFormat="false" ht="21.75" hidden="false" customHeight="true" outlineLevel="0" collapsed="false">
      <c r="B119" s="14" t="n">
        <v>109</v>
      </c>
      <c r="C119" s="7" t="s">
        <v>41</v>
      </c>
      <c r="D119" s="7" t="s">
        <v>70</v>
      </c>
      <c r="E119" s="7" t="s">
        <v>424</v>
      </c>
      <c r="F119" s="18" t="n">
        <f aca="false">IF('Base de Datos'!AB113="","",'Base de Datos'!AB113)</f>
        <v>8625</v>
      </c>
      <c r="G119" s="14"/>
      <c r="H119" s="26"/>
      <c r="I119" s="27" t="str">
        <f aca="false">IF(OR($G119="",$G119=0),"",IFERROR(ROUND($F119*$G119*(1-IF($H119="",0,$H119)),2),""))</f>
        <v/>
      </c>
      <c r="J119" s="7"/>
    </row>
    <row r="120" customFormat="false" ht="21.75" hidden="false" customHeight="true" outlineLevel="0" collapsed="false">
      <c r="B120" s="15" t="n">
        <v>110</v>
      </c>
      <c r="C120" s="9" t="s">
        <v>41</v>
      </c>
      <c r="D120" s="9" t="s">
        <v>70</v>
      </c>
      <c r="E120" s="9" t="s">
        <v>425</v>
      </c>
      <c r="F120" s="19" t="n">
        <f aca="false">IF('Base de Datos'!AB114="","",'Base de Datos'!AB114)</f>
        <v>11500</v>
      </c>
      <c r="G120" s="15"/>
      <c r="H120" s="28"/>
      <c r="I120" s="29" t="str">
        <f aca="false">IF(OR($G120="",$G120=0),"",IFERROR(ROUND($F120*$G120*(1-IF($H120="",0,$H120)),2),""))</f>
        <v/>
      </c>
      <c r="J120" s="9"/>
    </row>
    <row r="121" customFormat="false" ht="21.75" hidden="false" customHeight="true" outlineLevel="0" collapsed="false">
      <c r="B121" s="14" t="n">
        <v>111</v>
      </c>
      <c r="C121" s="7" t="s">
        <v>41</v>
      </c>
      <c r="D121" s="7" t="s">
        <v>70</v>
      </c>
      <c r="E121" s="7" t="s">
        <v>427</v>
      </c>
      <c r="F121" s="18" t="n">
        <f aca="false">IF('Base de Datos'!AB115="","",'Base de Datos'!AB115)</f>
        <v>17250</v>
      </c>
      <c r="G121" s="14"/>
      <c r="H121" s="26"/>
      <c r="I121" s="27" t="str">
        <f aca="false">IF(OR($G121="",$G121=0),"",IFERROR(ROUND($F121*$G121*(1-IF($H121="",0,$H121)),2),""))</f>
        <v/>
      </c>
      <c r="J121" s="7"/>
    </row>
    <row r="122" customFormat="false" ht="21.75" hidden="false" customHeight="true" outlineLevel="0" collapsed="false">
      <c r="B122" s="15" t="n">
        <v>112</v>
      </c>
      <c r="C122" s="9" t="s">
        <v>41</v>
      </c>
      <c r="D122" s="9" t="s">
        <v>70</v>
      </c>
      <c r="E122" s="9" t="s">
        <v>374</v>
      </c>
      <c r="F122" s="19" t="n">
        <f aca="false">IF('Base de Datos'!AB116="","",'Base de Datos'!AB116)</f>
        <v>25300</v>
      </c>
      <c r="G122" s="15"/>
      <c r="H122" s="28"/>
      <c r="I122" s="29" t="str">
        <f aca="false">IF(OR($G122="",$G122=0),"",IFERROR(ROUND($F122*$G122*(1-IF($H122="",0,$H122)),2),""))</f>
        <v/>
      </c>
      <c r="J122" s="9"/>
    </row>
    <row r="123" customFormat="false" ht="21.75" hidden="false" customHeight="true" outlineLevel="0" collapsed="false">
      <c r="B123" s="14" t="n">
        <v>113</v>
      </c>
      <c r="C123" s="7" t="s">
        <v>41</v>
      </c>
      <c r="D123" s="7" t="s">
        <v>71</v>
      </c>
      <c r="E123" s="7" t="s">
        <v>428</v>
      </c>
      <c r="F123" s="18" t="n">
        <f aca="false">IF('Base de Datos'!AB117="","",'Base de Datos'!AB117)</f>
        <v>525</v>
      </c>
      <c r="G123" s="14"/>
      <c r="H123" s="26"/>
      <c r="I123" s="27" t="str">
        <f aca="false">IF(OR($G123="",$G123=0),"",IFERROR(ROUND($F123*$G123*(1-IF($H123="",0,$H123)),2),""))</f>
        <v/>
      </c>
      <c r="J123" s="7"/>
    </row>
    <row r="124" customFormat="false" ht="21.75" hidden="false" customHeight="true" outlineLevel="0" collapsed="false">
      <c r="B124" s="15" t="n">
        <v>114</v>
      </c>
      <c r="C124" s="9" t="s">
        <v>41</v>
      </c>
      <c r="D124" s="9" t="s">
        <v>71</v>
      </c>
      <c r="E124" s="9" t="s">
        <v>433</v>
      </c>
      <c r="F124" s="19" t="n">
        <f aca="false">IF('Base de Datos'!AB118="","",'Base de Datos'!AB118)</f>
        <v>790</v>
      </c>
      <c r="G124" s="15"/>
      <c r="H124" s="28"/>
      <c r="I124" s="29" t="str">
        <f aca="false">IF(OR($G124="",$G124=0),"",IFERROR(ROUND($F124*$G124*(1-IF($H124="",0,$H124)),2),""))</f>
        <v/>
      </c>
      <c r="J124" s="9"/>
    </row>
    <row r="125" customFormat="false" ht="21.75" hidden="false" customHeight="true" outlineLevel="0" collapsed="false">
      <c r="B125" s="14" t="n">
        <v>115</v>
      </c>
      <c r="C125" s="7" t="s">
        <v>41</v>
      </c>
      <c r="D125" s="7" t="s">
        <v>71</v>
      </c>
      <c r="E125" s="7" t="s">
        <v>434</v>
      </c>
      <c r="F125" s="18" t="n">
        <f aca="false">IF('Base de Datos'!AB119="","",'Base de Datos'!AB119)</f>
        <v>1050</v>
      </c>
      <c r="G125" s="14"/>
      <c r="H125" s="26"/>
      <c r="I125" s="27" t="str">
        <f aca="false">IF(OR($G125="",$G125=0),"",IFERROR(ROUND($F125*$G125*(1-IF($H125="",0,$H125)),2),""))</f>
        <v/>
      </c>
      <c r="J125" s="7"/>
    </row>
    <row r="126" customFormat="false" ht="21.75" hidden="false" customHeight="true" outlineLevel="0" collapsed="false">
      <c r="B126" s="15" t="n">
        <v>116</v>
      </c>
      <c r="C126" s="9" t="s">
        <v>41</v>
      </c>
      <c r="D126" s="9" t="s">
        <v>71</v>
      </c>
      <c r="E126" s="9" t="s">
        <v>436</v>
      </c>
      <c r="F126" s="19" t="n">
        <f aca="false">IF('Base de Datos'!AB120="","",'Base de Datos'!AB120)</f>
        <v>1575</v>
      </c>
      <c r="G126" s="15"/>
      <c r="H126" s="28"/>
      <c r="I126" s="29" t="str">
        <f aca="false">IF(OR($G126="",$G126=0),"",IFERROR(ROUND($F126*$G126*(1-IF($H126="",0,$H126)),2),""))</f>
        <v/>
      </c>
      <c r="J126" s="9"/>
    </row>
    <row r="127" customFormat="false" ht="21.75" hidden="false" customHeight="true" outlineLevel="0" collapsed="false">
      <c r="B127" s="14" t="n">
        <v>117</v>
      </c>
      <c r="C127" s="7" t="s">
        <v>41</v>
      </c>
      <c r="D127" s="7" t="s">
        <v>71</v>
      </c>
      <c r="E127" s="7" t="s">
        <v>437</v>
      </c>
      <c r="F127" s="18" t="n">
        <f aca="false">IF('Base de Datos'!AB121="","",'Base de Datos'!AB121)</f>
        <v>2310</v>
      </c>
      <c r="G127" s="14"/>
      <c r="H127" s="26"/>
      <c r="I127" s="27" t="str">
        <f aca="false">IF(OR($G127="",$G127=0),"",IFERROR(ROUND($F127*$G127*(1-IF($H127="",0,$H127)),2),""))</f>
        <v/>
      </c>
      <c r="J127" s="7"/>
    </row>
    <row r="128" customFormat="false" ht="21.75" hidden="false" customHeight="true" outlineLevel="0" collapsed="false">
      <c r="B128" s="15" t="n">
        <v>118</v>
      </c>
      <c r="C128" s="9" t="s">
        <v>41</v>
      </c>
      <c r="D128" s="9" t="s">
        <v>72</v>
      </c>
      <c r="E128" s="9" t="s">
        <v>321</v>
      </c>
      <c r="F128" s="19" t="str">
        <f aca="false">IF('Base de Datos'!AB122="","",'Base de Datos'!AB122)</f>
        <v/>
      </c>
      <c r="G128" s="15"/>
      <c r="H128" s="28"/>
      <c r="I128" s="29" t="str">
        <f aca="false">IF(OR($G128="",$G128=0),"",IFERROR(ROUND($F128*$G128*(1-IF($H128="",0,$H128)),2),""))</f>
        <v/>
      </c>
      <c r="J128" s="9"/>
    </row>
    <row r="129" customFormat="false" ht="21.75" hidden="false" customHeight="true" outlineLevel="0" collapsed="false">
      <c r="B129" s="14" t="n">
        <v>119</v>
      </c>
      <c r="C129" s="7" t="s">
        <v>41</v>
      </c>
      <c r="D129" s="7" t="s">
        <v>73</v>
      </c>
      <c r="E129" s="7" t="s">
        <v>439</v>
      </c>
      <c r="F129" s="18" t="n">
        <f aca="false">IF('Base de Datos'!AB123="","",'Base de Datos'!AB123)</f>
        <v>625</v>
      </c>
      <c r="G129" s="14"/>
      <c r="H129" s="26"/>
      <c r="I129" s="27" t="str">
        <f aca="false">IF(OR($G129="",$G129=0),"",IFERROR(ROUND($F129*$G129*(1-IF($H129="",0,$H129)),2),""))</f>
        <v/>
      </c>
      <c r="J129" s="7"/>
    </row>
    <row r="130" customFormat="false" ht="21.75" hidden="false" customHeight="true" outlineLevel="0" collapsed="false">
      <c r="B130" s="15" t="n">
        <v>120</v>
      </c>
      <c r="C130" s="9" t="s">
        <v>41</v>
      </c>
      <c r="D130" s="9" t="s">
        <v>73</v>
      </c>
      <c r="E130" s="9" t="s">
        <v>443</v>
      </c>
      <c r="F130" s="19" t="n">
        <f aca="false">IF('Base de Datos'!AB124="","",'Base de Datos'!AB124)</f>
        <v>940</v>
      </c>
      <c r="G130" s="15"/>
      <c r="H130" s="28"/>
      <c r="I130" s="29" t="str">
        <f aca="false">IF(OR($G130="",$G130=0),"",IFERROR(ROUND($F130*$G130*(1-IF($H130="",0,$H130)),2),""))</f>
        <v/>
      </c>
      <c r="J130" s="9"/>
    </row>
    <row r="131" customFormat="false" ht="21.75" hidden="false" customHeight="true" outlineLevel="0" collapsed="false">
      <c r="B131" s="14" t="n">
        <v>121</v>
      </c>
      <c r="C131" s="7" t="s">
        <v>41</v>
      </c>
      <c r="D131" s="7" t="s">
        <v>73</v>
      </c>
      <c r="E131" s="7" t="s">
        <v>444</v>
      </c>
      <c r="F131" s="18" t="n">
        <f aca="false">IF('Base de Datos'!AB125="","",'Base de Datos'!AB125)</f>
        <v>1250</v>
      </c>
      <c r="G131" s="14"/>
      <c r="H131" s="26"/>
      <c r="I131" s="27" t="str">
        <f aca="false">IF(OR($G131="",$G131=0),"",IFERROR(ROUND($F131*$G131*(1-IF($H131="",0,$H131)),2),""))</f>
        <v/>
      </c>
      <c r="J131" s="7"/>
    </row>
    <row r="132" customFormat="false" ht="21.75" hidden="false" customHeight="true" outlineLevel="0" collapsed="false">
      <c r="B132" s="15" t="n">
        <v>122</v>
      </c>
      <c r="C132" s="9" t="s">
        <v>41</v>
      </c>
      <c r="D132" s="9" t="s">
        <v>73</v>
      </c>
      <c r="E132" s="9" t="s">
        <v>446</v>
      </c>
      <c r="F132" s="19" t="n">
        <f aca="false">IF('Base de Datos'!AB126="","",'Base de Datos'!AB126)</f>
        <v>1875</v>
      </c>
      <c r="G132" s="15"/>
      <c r="H132" s="28"/>
      <c r="I132" s="29" t="str">
        <f aca="false">IF(OR($G132="",$G132=0),"",IFERROR(ROUND($F132*$G132*(1-IF($H132="",0,$H132)),2),""))</f>
        <v/>
      </c>
      <c r="J132" s="9"/>
    </row>
    <row r="133" customFormat="false" ht="21.75" hidden="false" customHeight="true" outlineLevel="0" collapsed="false">
      <c r="B133" s="14" t="n">
        <v>123</v>
      </c>
      <c r="C133" s="7" t="s">
        <v>41</v>
      </c>
      <c r="D133" s="7" t="s">
        <v>73</v>
      </c>
      <c r="E133" s="7" t="s">
        <v>447</v>
      </c>
      <c r="F133" s="18" t="n">
        <f aca="false">IF('Base de Datos'!AB127="","",'Base de Datos'!AB127)</f>
        <v>2750</v>
      </c>
      <c r="G133" s="14"/>
      <c r="H133" s="26"/>
      <c r="I133" s="27" t="str">
        <f aca="false">IF(OR($G133="",$G133=0),"",IFERROR(ROUND($F133*$G133*(1-IF($H133="",0,$H133)),2),""))</f>
        <v/>
      </c>
      <c r="J133" s="7"/>
    </row>
    <row r="134" customFormat="false" ht="21.75" hidden="false" customHeight="true" outlineLevel="0" collapsed="false">
      <c r="B134" s="15" t="n">
        <v>124</v>
      </c>
      <c r="C134" s="9" t="s">
        <v>41</v>
      </c>
      <c r="D134" s="9" t="s">
        <v>74</v>
      </c>
      <c r="E134" s="9" t="s">
        <v>448</v>
      </c>
      <c r="F134" s="19" t="n">
        <f aca="false">IF('Base de Datos'!AB128="","",'Base de Datos'!AB128)</f>
        <v>100</v>
      </c>
      <c r="G134" s="15"/>
      <c r="H134" s="28"/>
      <c r="I134" s="29" t="str">
        <f aca="false">IF(OR($G134="",$G134=0),"",IFERROR(ROUND($F134*$G134*(1-IF($H134="",0,$H134)),2),""))</f>
        <v/>
      </c>
      <c r="J134" s="9"/>
    </row>
    <row r="135" customFormat="false" ht="21.75" hidden="false" customHeight="true" outlineLevel="0" collapsed="false">
      <c r="B135" s="14" t="n">
        <v>125</v>
      </c>
      <c r="C135" s="7" t="s">
        <v>41</v>
      </c>
      <c r="D135" s="7" t="s">
        <v>74</v>
      </c>
      <c r="E135" s="7" t="s">
        <v>462</v>
      </c>
      <c r="F135" s="18" t="n">
        <f aca="false">IF('Base de Datos'!AB129="","",'Base de Datos'!AB129)</f>
        <v>150</v>
      </c>
      <c r="G135" s="14"/>
      <c r="H135" s="26"/>
      <c r="I135" s="27" t="str">
        <f aca="false">IF(OR($G135="",$G135=0),"",IFERROR(ROUND($F135*$G135*(1-IF($H135="",0,$H135)),2),""))</f>
        <v/>
      </c>
      <c r="J135" s="7"/>
    </row>
    <row r="136" customFormat="false" ht="21.75" hidden="false" customHeight="true" outlineLevel="0" collapsed="false">
      <c r="B136" s="15" t="n">
        <v>126</v>
      </c>
      <c r="C136" s="9" t="s">
        <v>41</v>
      </c>
      <c r="D136" s="9" t="s">
        <v>74</v>
      </c>
      <c r="E136" s="9" t="s">
        <v>463</v>
      </c>
      <c r="F136" s="19" t="n">
        <f aca="false">IF('Base de Datos'!AB130="","",'Base de Datos'!AB130)</f>
        <v>200</v>
      </c>
      <c r="G136" s="15"/>
      <c r="H136" s="28"/>
      <c r="I136" s="29" t="str">
        <f aca="false">IF(OR($G136="",$G136=0),"",IFERROR(ROUND($F136*$G136*(1-IF($H136="",0,$H136)),2),""))</f>
        <v/>
      </c>
      <c r="J136" s="9"/>
    </row>
    <row r="137" customFormat="false" ht="21.75" hidden="false" customHeight="true" outlineLevel="0" collapsed="false">
      <c r="B137" s="14" t="n">
        <v>127</v>
      </c>
      <c r="C137" s="7" t="s">
        <v>41</v>
      </c>
      <c r="D137" s="7" t="s">
        <v>74</v>
      </c>
      <c r="E137" s="7" t="s">
        <v>465</v>
      </c>
      <c r="F137" s="18" t="n">
        <f aca="false">IF('Base de Datos'!AB131="","",'Base de Datos'!AB131)</f>
        <v>300</v>
      </c>
      <c r="G137" s="14"/>
      <c r="H137" s="26"/>
      <c r="I137" s="27" t="str">
        <f aca="false">IF(OR($G137="",$G137=0),"",IFERROR(ROUND($F137*$G137*(1-IF($H137="",0,$H137)),2),""))</f>
        <v/>
      </c>
      <c r="J137" s="7"/>
    </row>
    <row r="138" customFormat="false" ht="21.75" hidden="false" customHeight="true" outlineLevel="0" collapsed="false">
      <c r="B138" s="15" t="n">
        <v>128</v>
      </c>
      <c r="C138" s="9" t="s">
        <v>41</v>
      </c>
      <c r="D138" s="9" t="s">
        <v>74</v>
      </c>
      <c r="E138" s="9" t="s">
        <v>466</v>
      </c>
      <c r="F138" s="19" t="n">
        <f aca="false">IF('Base de Datos'!AB132="","",'Base de Datos'!AB132)</f>
        <v>440</v>
      </c>
      <c r="G138" s="15"/>
      <c r="H138" s="28"/>
      <c r="I138" s="29" t="str">
        <f aca="false">IF(OR($G138="",$G138=0),"",IFERROR(ROUND($F138*$G138*(1-IF($H138="",0,$H138)),2),""))</f>
        <v/>
      </c>
      <c r="J138" s="9"/>
    </row>
    <row r="139" customFormat="false" ht="21.75" hidden="false" customHeight="true" outlineLevel="0" collapsed="false">
      <c r="B139" s="14" t="n">
        <v>129</v>
      </c>
      <c r="C139" s="7" t="s">
        <v>42</v>
      </c>
      <c r="D139" s="7" t="s">
        <v>61</v>
      </c>
      <c r="E139" s="7" t="s">
        <v>467</v>
      </c>
      <c r="F139" s="18" t="n">
        <f aca="false">IF('Base de Datos'!AB133="","",'Base de Datos'!AB133)</f>
        <v>170</v>
      </c>
      <c r="G139" s="14"/>
      <c r="H139" s="26"/>
      <c r="I139" s="27" t="str">
        <f aca="false">IF(OR($G139="",$G139=0),"",IFERROR(ROUND($F139*$G139*(1-IF($H139="",0,$H139)),2),""))</f>
        <v/>
      </c>
      <c r="J139" s="7"/>
    </row>
    <row r="140" customFormat="false" ht="21.75" hidden="false" customHeight="true" outlineLevel="0" collapsed="false">
      <c r="B140" s="15" t="n">
        <v>130</v>
      </c>
      <c r="C140" s="9" t="s">
        <v>42</v>
      </c>
      <c r="D140" s="9" t="s">
        <v>61</v>
      </c>
      <c r="E140" s="9" t="s">
        <v>476</v>
      </c>
      <c r="F140" s="19" t="n">
        <f aca="false">IF('Base de Datos'!AB134="","",'Base de Datos'!AB134)</f>
        <v>255</v>
      </c>
      <c r="G140" s="15"/>
      <c r="H140" s="28"/>
      <c r="I140" s="29" t="str">
        <f aca="false">IF(OR($G140="",$G140=0),"",IFERROR(ROUND($F140*$G140*(1-IF($H140="",0,$H140)),2),""))</f>
        <v/>
      </c>
      <c r="J140" s="9"/>
    </row>
    <row r="141" customFormat="false" ht="21.75" hidden="false" customHeight="true" outlineLevel="0" collapsed="false">
      <c r="B141" s="14" t="n">
        <v>131</v>
      </c>
      <c r="C141" s="7" t="s">
        <v>42</v>
      </c>
      <c r="D141" s="7" t="s">
        <v>61</v>
      </c>
      <c r="E141" s="7" t="s">
        <v>477</v>
      </c>
      <c r="F141" s="18" t="n">
        <f aca="false">IF('Base de Datos'!AB135="","",'Base de Datos'!AB135)</f>
        <v>340</v>
      </c>
      <c r="G141" s="14"/>
      <c r="H141" s="26"/>
      <c r="I141" s="27" t="str">
        <f aca="false">IF(OR($G141="",$G141=0),"",IFERROR(ROUND($F141*$G141*(1-IF($H141="",0,$H141)),2),""))</f>
        <v/>
      </c>
      <c r="J141" s="7"/>
    </row>
    <row r="142" customFormat="false" ht="21.75" hidden="false" customHeight="true" outlineLevel="0" collapsed="false">
      <c r="B142" s="15" t="n">
        <v>132</v>
      </c>
      <c r="C142" s="9" t="s">
        <v>42</v>
      </c>
      <c r="D142" s="9" t="s">
        <v>61</v>
      </c>
      <c r="E142" s="9" t="s">
        <v>479</v>
      </c>
      <c r="F142" s="19" t="n">
        <f aca="false">IF('Base de Datos'!AB136="","",'Base de Datos'!AB136)</f>
        <v>510</v>
      </c>
      <c r="G142" s="15"/>
      <c r="H142" s="28"/>
      <c r="I142" s="29" t="str">
        <f aca="false">IF(OR($G142="",$G142=0),"",IFERROR(ROUND($F142*$G142*(1-IF($H142="",0,$H142)),2),""))</f>
        <v/>
      </c>
      <c r="J142" s="9"/>
    </row>
    <row r="143" customFormat="false" ht="21.75" hidden="false" customHeight="true" outlineLevel="0" collapsed="false">
      <c r="B143" s="14" t="n">
        <v>133</v>
      </c>
      <c r="C143" s="7" t="s">
        <v>42</v>
      </c>
      <c r="D143" s="7" t="s">
        <v>61</v>
      </c>
      <c r="E143" s="7" t="s">
        <v>480</v>
      </c>
      <c r="F143" s="18" t="n">
        <f aca="false">IF('Base de Datos'!AB137="","",'Base de Datos'!AB137)</f>
        <v>750</v>
      </c>
      <c r="G143" s="14"/>
      <c r="H143" s="26"/>
      <c r="I143" s="27" t="str">
        <f aca="false">IF(OR($G143="",$G143=0),"",IFERROR(ROUND($F143*$G143*(1-IF($H143="",0,$H143)),2),""))</f>
        <v/>
      </c>
      <c r="J143" s="7"/>
    </row>
    <row r="144" customFormat="false" ht="21.75" hidden="false" customHeight="true" outlineLevel="0" collapsed="false">
      <c r="B144" s="15" t="n">
        <v>134</v>
      </c>
      <c r="C144" s="9" t="s">
        <v>42</v>
      </c>
      <c r="D144" s="9" t="s">
        <v>62</v>
      </c>
      <c r="E144" s="9" t="s">
        <v>476</v>
      </c>
      <c r="F144" s="19" t="n">
        <f aca="false">IF('Base de Datos'!AB138="","",'Base de Datos'!AB138)</f>
        <v>240</v>
      </c>
      <c r="G144" s="15"/>
      <c r="H144" s="28"/>
      <c r="I144" s="29" t="str">
        <f aca="false">IF(OR($G144="",$G144=0),"",IFERROR(ROUND($F144*$G144*(1-IF($H144="",0,$H144)),2),""))</f>
        <v/>
      </c>
      <c r="J144" s="9"/>
    </row>
    <row r="145" customFormat="false" ht="21.75" hidden="false" customHeight="true" outlineLevel="0" collapsed="false">
      <c r="B145" s="14" t="n">
        <v>135</v>
      </c>
      <c r="C145" s="7" t="s">
        <v>42</v>
      </c>
      <c r="D145" s="7" t="s">
        <v>62</v>
      </c>
      <c r="E145" s="7" t="s">
        <v>477</v>
      </c>
      <c r="F145" s="18" t="n">
        <f aca="false">IF('Base de Datos'!AB139="","",'Base de Datos'!AB139)</f>
        <v>360</v>
      </c>
      <c r="G145" s="14"/>
      <c r="H145" s="26"/>
      <c r="I145" s="27" t="str">
        <f aca="false">IF(OR($G145="",$G145=0),"",IFERROR(ROUND($F145*$G145*(1-IF($H145="",0,$H145)),2),""))</f>
        <v/>
      </c>
      <c r="J145" s="7"/>
    </row>
    <row r="146" customFormat="false" ht="21.75" hidden="false" customHeight="true" outlineLevel="0" collapsed="false">
      <c r="B146" s="15" t="n">
        <v>136</v>
      </c>
      <c r="C146" s="9" t="s">
        <v>42</v>
      </c>
      <c r="D146" s="9" t="s">
        <v>62</v>
      </c>
      <c r="E146" s="9" t="s">
        <v>479</v>
      </c>
      <c r="F146" s="19" t="n">
        <f aca="false">IF('Base de Datos'!AB140="","",'Base de Datos'!AB140)</f>
        <v>480</v>
      </c>
      <c r="G146" s="15"/>
      <c r="H146" s="28"/>
      <c r="I146" s="29" t="str">
        <f aca="false">IF(OR($G146="",$G146=0),"",IFERROR(ROUND($F146*$G146*(1-IF($H146="",0,$H146)),2),""))</f>
        <v/>
      </c>
      <c r="J146" s="9"/>
    </row>
    <row r="147" customFormat="false" ht="21.75" hidden="false" customHeight="true" outlineLevel="0" collapsed="false">
      <c r="B147" s="14" t="n">
        <v>137</v>
      </c>
      <c r="C147" s="7" t="s">
        <v>42</v>
      </c>
      <c r="D147" s="7" t="s">
        <v>62</v>
      </c>
      <c r="E147" s="7" t="s">
        <v>486</v>
      </c>
      <c r="F147" s="18" t="n">
        <f aca="false">IF('Base de Datos'!AB141="","",'Base de Datos'!AB141)</f>
        <v>720</v>
      </c>
      <c r="G147" s="14"/>
      <c r="H147" s="26"/>
      <c r="I147" s="27" t="str">
        <f aca="false">IF(OR($G147="",$G147=0),"",IFERROR(ROUND($F147*$G147*(1-IF($H147="",0,$H147)),2),""))</f>
        <v/>
      </c>
      <c r="J147" s="7"/>
    </row>
    <row r="148" customFormat="false" ht="21.75" hidden="false" customHeight="true" outlineLevel="0" collapsed="false">
      <c r="B148" s="15" t="n">
        <v>138</v>
      </c>
      <c r="C148" s="9" t="s">
        <v>42</v>
      </c>
      <c r="D148" s="9" t="s">
        <v>62</v>
      </c>
      <c r="E148" s="9" t="s">
        <v>480</v>
      </c>
      <c r="F148" s="19" t="n">
        <f aca="false">IF('Base de Datos'!AB142="","",'Base de Datos'!AB142)</f>
        <v>1055</v>
      </c>
      <c r="G148" s="15"/>
      <c r="H148" s="28"/>
      <c r="I148" s="29" t="str">
        <f aca="false">IF(OR($G148="",$G148=0),"",IFERROR(ROUND($F148*$G148*(1-IF($H148="",0,$H148)),2),""))</f>
        <v/>
      </c>
      <c r="J148" s="9"/>
    </row>
    <row r="149" customFormat="false" ht="21.75" hidden="false" customHeight="true" outlineLevel="0" collapsed="false">
      <c r="B149" s="14" t="n">
        <v>139</v>
      </c>
      <c r="C149" s="7" t="s">
        <v>42</v>
      </c>
      <c r="D149" s="7" t="s">
        <v>63</v>
      </c>
      <c r="E149" s="7" t="s">
        <v>487</v>
      </c>
      <c r="F149" s="18" t="n">
        <f aca="false">IF('Base de Datos'!AB143="","",'Base de Datos'!AB143)</f>
        <v>180</v>
      </c>
      <c r="G149" s="14"/>
      <c r="H149" s="26"/>
      <c r="I149" s="27" t="str">
        <f aca="false">IF(OR($G149="",$G149=0),"",IFERROR(ROUND($F149*$G149*(1-IF($H149="",0,$H149)),2),""))</f>
        <v/>
      </c>
      <c r="J149" s="7"/>
    </row>
    <row r="150" customFormat="false" ht="21.75" hidden="false" customHeight="true" outlineLevel="0" collapsed="false">
      <c r="B150" s="15" t="n">
        <v>140</v>
      </c>
      <c r="C150" s="9" t="s">
        <v>42</v>
      </c>
      <c r="D150" s="9" t="s">
        <v>63</v>
      </c>
      <c r="E150" s="9" t="s">
        <v>492</v>
      </c>
      <c r="F150" s="19" t="n">
        <f aca="false">IF('Base de Datos'!AB144="","",'Base de Datos'!AB144)</f>
        <v>270</v>
      </c>
      <c r="G150" s="15"/>
      <c r="H150" s="28"/>
      <c r="I150" s="29" t="str">
        <f aca="false">IF(OR($G150="",$G150=0),"",IFERROR(ROUND($F150*$G150*(1-IF($H150="",0,$H150)),2),""))</f>
        <v/>
      </c>
      <c r="J150" s="9"/>
    </row>
    <row r="151" customFormat="false" ht="21.75" hidden="false" customHeight="true" outlineLevel="0" collapsed="false">
      <c r="B151" s="14" t="n">
        <v>141</v>
      </c>
      <c r="C151" s="7" t="s">
        <v>42</v>
      </c>
      <c r="D151" s="7" t="s">
        <v>63</v>
      </c>
      <c r="E151" s="7" t="s">
        <v>493</v>
      </c>
      <c r="F151" s="18" t="n">
        <f aca="false">IF('Base de Datos'!AB145="","",'Base de Datos'!AB145)</f>
        <v>360</v>
      </c>
      <c r="G151" s="14"/>
      <c r="H151" s="26"/>
      <c r="I151" s="27" t="str">
        <f aca="false">IF(OR($G151="",$G151=0),"",IFERROR(ROUND($F151*$G151*(1-IF($H151="",0,$H151)),2),""))</f>
        <v/>
      </c>
      <c r="J151" s="7"/>
    </row>
    <row r="152" customFormat="false" ht="21.75" hidden="false" customHeight="true" outlineLevel="0" collapsed="false">
      <c r="B152" s="15" t="n">
        <v>142</v>
      </c>
      <c r="C152" s="9" t="s">
        <v>42</v>
      </c>
      <c r="D152" s="9" t="s">
        <v>63</v>
      </c>
      <c r="E152" s="9" t="s">
        <v>495</v>
      </c>
      <c r="F152" s="19" t="n">
        <f aca="false">IF('Base de Datos'!AB146="","",'Base de Datos'!AB146)</f>
        <v>540</v>
      </c>
      <c r="G152" s="15"/>
      <c r="H152" s="28"/>
      <c r="I152" s="29" t="str">
        <f aca="false">IF(OR($G152="",$G152=0),"",IFERROR(ROUND($F152*$G152*(1-IF($H152="",0,$H152)),2),""))</f>
        <v/>
      </c>
      <c r="J152" s="9"/>
    </row>
    <row r="153" customFormat="false" ht="21.75" hidden="false" customHeight="true" outlineLevel="0" collapsed="false">
      <c r="B153" s="14" t="n">
        <v>143</v>
      </c>
      <c r="C153" s="7" t="s">
        <v>42</v>
      </c>
      <c r="D153" s="7" t="s">
        <v>63</v>
      </c>
      <c r="E153" s="7" t="s">
        <v>496</v>
      </c>
      <c r="F153" s="18" t="n">
        <f aca="false">IF('Base de Datos'!AB147="","",'Base de Datos'!AB147)</f>
        <v>790</v>
      </c>
      <c r="G153" s="14"/>
      <c r="H153" s="26"/>
      <c r="I153" s="27" t="str">
        <f aca="false">IF(OR($G153="",$G153=0),"",IFERROR(ROUND($F153*$G153*(1-IF($H153="",0,$H153)),2),""))</f>
        <v/>
      </c>
      <c r="J153" s="7"/>
    </row>
    <row r="154" customFormat="false" ht="21.75" hidden="false" customHeight="true" outlineLevel="0" collapsed="false">
      <c r="B154" s="15" t="n">
        <v>144</v>
      </c>
      <c r="C154" s="9" t="s">
        <v>42</v>
      </c>
      <c r="D154" s="9" t="s">
        <v>64</v>
      </c>
      <c r="E154" s="9" t="s">
        <v>497</v>
      </c>
      <c r="F154" s="19" t="n">
        <f aca="false">IF('Base de Datos'!AB148="","",'Base de Datos'!AB148)</f>
        <v>1600</v>
      </c>
      <c r="G154" s="15"/>
      <c r="H154" s="28"/>
      <c r="I154" s="29" t="str">
        <f aca="false">IF(OR($G154="",$G154=0),"",IFERROR(ROUND($F154*$G154*(1-IF($H154="",0,$H154)),2),""))</f>
        <v/>
      </c>
      <c r="J154" s="9"/>
    </row>
    <row r="155" customFormat="false" ht="21.75" hidden="false" customHeight="true" outlineLevel="0" collapsed="false">
      <c r="B155" s="14" t="n">
        <v>145</v>
      </c>
      <c r="C155" s="7" t="s">
        <v>42</v>
      </c>
      <c r="D155" s="7" t="s">
        <v>64</v>
      </c>
      <c r="E155" s="7" t="s">
        <v>504</v>
      </c>
      <c r="F155" s="18" t="n">
        <f aca="false">IF('Base de Datos'!AB149="","",'Base de Datos'!AB149)</f>
        <v>2400</v>
      </c>
      <c r="G155" s="14"/>
      <c r="H155" s="26"/>
      <c r="I155" s="27" t="str">
        <f aca="false">IF(OR($G155="",$G155=0),"",IFERROR(ROUND($F155*$G155*(1-IF($H155="",0,$H155)),2),""))</f>
        <v/>
      </c>
      <c r="J155" s="7"/>
    </row>
    <row r="156" customFormat="false" ht="21.75" hidden="false" customHeight="true" outlineLevel="0" collapsed="false">
      <c r="B156" s="15" t="n">
        <v>146</v>
      </c>
      <c r="C156" s="9" t="s">
        <v>42</v>
      </c>
      <c r="D156" s="9" t="s">
        <v>64</v>
      </c>
      <c r="E156" s="9" t="s">
        <v>505</v>
      </c>
      <c r="F156" s="19" t="n">
        <f aca="false">IF('Base de Datos'!AB150="","",'Base de Datos'!AB150)</f>
        <v>3200</v>
      </c>
      <c r="G156" s="15"/>
      <c r="H156" s="28"/>
      <c r="I156" s="29" t="str">
        <f aca="false">IF(OR($G156="",$G156=0),"",IFERROR(ROUND($F156*$G156*(1-IF($H156="",0,$H156)),2),""))</f>
        <v/>
      </c>
      <c r="J156" s="9"/>
    </row>
    <row r="157" customFormat="false" ht="21.75" hidden="false" customHeight="true" outlineLevel="0" collapsed="false">
      <c r="B157" s="14" t="n">
        <v>147</v>
      </c>
      <c r="C157" s="7" t="s">
        <v>42</v>
      </c>
      <c r="D157" s="7" t="s">
        <v>64</v>
      </c>
      <c r="E157" s="7" t="s">
        <v>507</v>
      </c>
      <c r="F157" s="18" t="n">
        <f aca="false">IF('Base de Datos'!AB151="","",'Base de Datos'!AB151)</f>
        <v>4800</v>
      </c>
      <c r="G157" s="14"/>
      <c r="H157" s="26"/>
      <c r="I157" s="27" t="str">
        <f aca="false">IF(OR($G157="",$G157=0),"",IFERROR(ROUND($F157*$G157*(1-IF($H157="",0,$H157)),2),""))</f>
        <v/>
      </c>
      <c r="J157" s="7"/>
    </row>
    <row r="158" customFormat="false" ht="21.75" hidden="false" customHeight="true" outlineLevel="0" collapsed="false">
      <c r="B158" s="15" t="n">
        <v>148</v>
      </c>
      <c r="C158" s="9" t="s">
        <v>42</v>
      </c>
      <c r="D158" s="9" t="s">
        <v>64</v>
      </c>
      <c r="E158" s="9" t="s">
        <v>508</v>
      </c>
      <c r="F158" s="19" t="n">
        <f aca="false">IF('Base de Datos'!AB152="","",'Base de Datos'!AB152)</f>
        <v>7040</v>
      </c>
      <c r="G158" s="15"/>
      <c r="H158" s="28"/>
      <c r="I158" s="29" t="str">
        <f aca="false">IF(OR($G158="",$G158=0),"",IFERROR(ROUND($F158*$G158*(1-IF($H158="",0,$H158)),2),""))</f>
        <v/>
      </c>
      <c r="J158" s="9"/>
    </row>
    <row r="159" customFormat="false" ht="21.75" hidden="false" customHeight="true" outlineLevel="0" collapsed="false">
      <c r="B159" s="14" t="n">
        <v>149</v>
      </c>
      <c r="C159" s="7" t="s">
        <v>42</v>
      </c>
      <c r="D159" s="7" t="s">
        <v>65</v>
      </c>
      <c r="E159" s="7" t="s">
        <v>509</v>
      </c>
      <c r="F159" s="18" t="n">
        <f aca="false">IF('Base de Datos'!AB153="","",'Base de Datos'!AB153)</f>
        <v>875</v>
      </c>
      <c r="G159" s="14"/>
      <c r="H159" s="26"/>
      <c r="I159" s="27" t="str">
        <f aca="false">IF(OR($G159="",$G159=0),"",IFERROR(ROUND($F159*$G159*(1-IF($H159="",0,$H159)),2),""))</f>
        <v/>
      </c>
      <c r="J159" s="7"/>
    </row>
    <row r="160" customFormat="false" ht="21.75" hidden="false" customHeight="true" outlineLevel="0" collapsed="false">
      <c r="B160" s="15" t="n">
        <v>150</v>
      </c>
      <c r="C160" s="9" t="s">
        <v>42</v>
      </c>
      <c r="D160" s="9" t="s">
        <v>65</v>
      </c>
      <c r="E160" s="9" t="s">
        <v>514</v>
      </c>
      <c r="F160" s="19" t="n">
        <f aca="false">IF('Base de Datos'!AB154="","",'Base de Datos'!AB154)</f>
        <v>1310</v>
      </c>
      <c r="G160" s="15"/>
      <c r="H160" s="28"/>
      <c r="I160" s="29" t="str">
        <f aca="false">IF(OR($G160="",$G160=0),"",IFERROR(ROUND($F160*$G160*(1-IF($H160="",0,$H160)),2),""))</f>
        <v/>
      </c>
      <c r="J160" s="9"/>
    </row>
    <row r="161" customFormat="false" ht="21.75" hidden="false" customHeight="true" outlineLevel="0" collapsed="false">
      <c r="B161" s="14" t="n">
        <v>151</v>
      </c>
      <c r="C161" s="7" t="s">
        <v>42</v>
      </c>
      <c r="D161" s="7" t="s">
        <v>65</v>
      </c>
      <c r="E161" s="7" t="s">
        <v>515</v>
      </c>
      <c r="F161" s="18" t="n">
        <f aca="false">IF('Base de Datos'!AB155="","",'Base de Datos'!AB155)</f>
        <v>1750</v>
      </c>
      <c r="G161" s="14"/>
      <c r="H161" s="26"/>
      <c r="I161" s="27" t="str">
        <f aca="false">IF(OR($G161="",$G161=0),"",IFERROR(ROUND($F161*$G161*(1-IF($H161="",0,$H161)),2),""))</f>
        <v/>
      </c>
      <c r="J161" s="7"/>
    </row>
    <row r="162" customFormat="false" ht="21.75" hidden="false" customHeight="true" outlineLevel="0" collapsed="false">
      <c r="B162" s="15" t="n">
        <v>152</v>
      </c>
      <c r="C162" s="9" t="s">
        <v>42</v>
      </c>
      <c r="D162" s="9" t="s">
        <v>65</v>
      </c>
      <c r="E162" s="9" t="s">
        <v>516</v>
      </c>
      <c r="F162" s="19" t="n">
        <f aca="false">IF('Base de Datos'!AB156="","",'Base de Datos'!AB156)</f>
        <v>2625</v>
      </c>
      <c r="G162" s="15"/>
      <c r="H162" s="28"/>
      <c r="I162" s="29" t="str">
        <f aca="false">IF(OR($G162="",$G162=0),"",IFERROR(ROUND($F162*$G162*(1-IF($H162="",0,$H162)),2),""))</f>
        <v/>
      </c>
      <c r="J162" s="9"/>
    </row>
    <row r="163" customFormat="false" ht="21.75" hidden="false" customHeight="true" outlineLevel="0" collapsed="false">
      <c r="B163" s="14" t="n">
        <v>153</v>
      </c>
      <c r="C163" s="7" t="s">
        <v>42</v>
      </c>
      <c r="D163" s="7" t="s">
        <v>65</v>
      </c>
      <c r="E163" s="7" t="s">
        <v>517</v>
      </c>
      <c r="F163" s="18" t="n">
        <f aca="false">IF('Base de Datos'!AB157="","",'Base de Datos'!AB157)</f>
        <v>3850</v>
      </c>
      <c r="G163" s="14"/>
      <c r="H163" s="26"/>
      <c r="I163" s="27" t="str">
        <f aca="false">IF(OR($G163="",$G163=0),"",IFERROR(ROUND($F163*$G163*(1-IF($H163="",0,$H163)),2),""))</f>
        <v/>
      </c>
      <c r="J163" s="7"/>
    </row>
    <row r="164" customFormat="false" ht="21.75" hidden="false" customHeight="true" outlineLevel="0" collapsed="false">
      <c r="B164" s="15" t="n">
        <v>154</v>
      </c>
      <c r="C164" s="9" t="s">
        <v>42</v>
      </c>
      <c r="D164" s="9" t="s">
        <v>66</v>
      </c>
      <c r="E164" s="9" t="s">
        <v>518</v>
      </c>
      <c r="F164" s="19" t="n">
        <f aca="false">IF('Base de Datos'!AB158="","",'Base de Datos'!AB158)</f>
        <v>425</v>
      </c>
      <c r="G164" s="15"/>
      <c r="H164" s="28"/>
      <c r="I164" s="29" t="str">
        <f aca="false">IF(OR($G164="",$G164=0),"",IFERROR(ROUND($F164*$G164*(1-IF($H164="",0,$H164)),2),""))</f>
        <v/>
      </c>
      <c r="J164" s="9"/>
    </row>
    <row r="165" customFormat="false" ht="21.75" hidden="false" customHeight="true" outlineLevel="0" collapsed="false">
      <c r="B165" s="14" t="n">
        <v>155</v>
      </c>
      <c r="C165" s="7" t="s">
        <v>42</v>
      </c>
      <c r="D165" s="7" t="s">
        <v>66</v>
      </c>
      <c r="E165" s="7" t="s">
        <v>521</v>
      </c>
      <c r="F165" s="18" t="n">
        <f aca="false">IF('Base de Datos'!AB159="","",'Base de Datos'!AB159)</f>
        <v>640</v>
      </c>
      <c r="G165" s="14"/>
      <c r="H165" s="26"/>
      <c r="I165" s="27" t="str">
        <f aca="false">IF(OR($G165="",$G165=0),"",IFERROR(ROUND($F165*$G165*(1-IF($H165="",0,$H165)),2),""))</f>
        <v/>
      </c>
      <c r="J165" s="7"/>
    </row>
    <row r="166" customFormat="false" ht="21.75" hidden="false" customHeight="true" outlineLevel="0" collapsed="false">
      <c r="B166" s="15" t="n">
        <v>156</v>
      </c>
      <c r="C166" s="9" t="s">
        <v>42</v>
      </c>
      <c r="D166" s="9" t="s">
        <v>66</v>
      </c>
      <c r="E166" s="9" t="s">
        <v>522</v>
      </c>
      <c r="F166" s="19" t="n">
        <f aca="false">IF('Base de Datos'!AB160="","",'Base de Datos'!AB160)</f>
        <v>850</v>
      </c>
      <c r="G166" s="15"/>
      <c r="H166" s="28"/>
      <c r="I166" s="29" t="str">
        <f aca="false">IF(OR($G166="",$G166=0),"",IFERROR(ROUND($F166*$G166*(1-IF($H166="",0,$H166)),2),""))</f>
        <v/>
      </c>
      <c r="J166" s="9"/>
    </row>
    <row r="167" customFormat="false" ht="21.75" hidden="false" customHeight="true" outlineLevel="0" collapsed="false">
      <c r="B167" s="14" t="n">
        <v>157</v>
      </c>
      <c r="C167" s="7" t="s">
        <v>42</v>
      </c>
      <c r="D167" s="7" t="s">
        <v>66</v>
      </c>
      <c r="E167" s="7" t="s">
        <v>524</v>
      </c>
      <c r="F167" s="18" t="n">
        <f aca="false">IF('Base de Datos'!AB161="","",'Base de Datos'!AB161)</f>
        <v>1275</v>
      </c>
      <c r="G167" s="14"/>
      <c r="H167" s="26"/>
      <c r="I167" s="27" t="str">
        <f aca="false">IF(OR($G167="",$G167=0),"",IFERROR(ROUND($F167*$G167*(1-IF($H167="",0,$H167)),2),""))</f>
        <v/>
      </c>
      <c r="J167" s="7"/>
    </row>
    <row r="168" customFormat="false" ht="21.75" hidden="false" customHeight="true" outlineLevel="0" collapsed="false">
      <c r="B168" s="15" t="n">
        <v>158</v>
      </c>
      <c r="C168" s="9" t="s">
        <v>42</v>
      </c>
      <c r="D168" s="9" t="s">
        <v>66</v>
      </c>
      <c r="E168" s="9" t="s">
        <v>525</v>
      </c>
      <c r="F168" s="19" t="n">
        <f aca="false">IF('Base de Datos'!AB162="","",'Base de Datos'!AB162)</f>
        <v>1870</v>
      </c>
      <c r="G168" s="15"/>
      <c r="H168" s="28"/>
      <c r="I168" s="29" t="str">
        <f aca="false">IF(OR($G168="",$G168=0),"",IFERROR(ROUND($F168*$G168*(1-IF($H168="",0,$H168)),2),""))</f>
        <v/>
      </c>
      <c r="J168" s="9"/>
    </row>
    <row r="169" customFormat="false" ht="21.75" hidden="false" customHeight="true" outlineLevel="0" collapsed="false">
      <c r="B169" s="14" t="n">
        <v>159</v>
      </c>
      <c r="C169" s="7" t="s">
        <v>42</v>
      </c>
      <c r="D169" s="7" t="s">
        <v>67</v>
      </c>
      <c r="E169" s="7" t="s">
        <v>526</v>
      </c>
      <c r="F169" s="18" t="n">
        <f aca="false">IF('Base de Datos'!AB163="","",'Base de Datos'!AB163)</f>
        <v>445</v>
      </c>
      <c r="G169" s="14"/>
      <c r="H169" s="26"/>
      <c r="I169" s="27" t="str">
        <f aca="false">IF(OR($G169="",$G169=0),"",IFERROR(ROUND($F169*$G169*(1-IF($H169="",0,$H169)),2),""))</f>
        <v/>
      </c>
      <c r="J169" s="7"/>
    </row>
    <row r="170" customFormat="false" ht="21.75" hidden="false" customHeight="true" outlineLevel="0" collapsed="false">
      <c r="B170" s="15" t="n">
        <v>160</v>
      </c>
      <c r="C170" s="9" t="s">
        <v>42</v>
      </c>
      <c r="D170" s="9" t="s">
        <v>67</v>
      </c>
      <c r="E170" s="9" t="s">
        <v>531</v>
      </c>
      <c r="F170" s="19" t="n">
        <f aca="false">IF('Base de Datos'!AB164="","",'Base de Datos'!AB164)</f>
        <v>670</v>
      </c>
      <c r="G170" s="15"/>
      <c r="H170" s="28"/>
      <c r="I170" s="29" t="str">
        <f aca="false">IF(OR($G170="",$G170=0),"",IFERROR(ROUND($F170*$G170*(1-IF($H170="",0,$H170)),2),""))</f>
        <v/>
      </c>
      <c r="J170" s="9"/>
    </row>
    <row r="171" customFormat="false" ht="21.75" hidden="false" customHeight="true" outlineLevel="0" collapsed="false">
      <c r="B171" s="14" t="n">
        <v>161</v>
      </c>
      <c r="C171" s="7" t="s">
        <v>42</v>
      </c>
      <c r="D171" s="7" t="s">
        <v>67</v>
      </c>
      <c r="E171" s="7" t="s">
        <v>532</v>
      </c>
      <c r="F171" s="18" t="n">
        <f aca="false">IF('Base de Datos'!AB165="","",'Base de Datos'!AB165)</f>
        <v>890</v>
      </c>
      <c r="G171" s="14"/>
      <c r="H171" s="26"/>
      <c r="I171" s="27" t="str">
        <f aca="false">IF(OR($G171="",$G171=0),"",IFERROR(ROUND($F171*$G171*(1-IF($H171="",0,$H171)),2),""))</f>
        <v/>
      </c>
      <c r="J171" s="7"/>
    </row>
    <row r="172" customFormat="false" ht="21.75" hidden="false" customHeight="true" outlineLevel="0" collapsed="false">
      <c r="B172" s="15" t="n">
        <v>162</v>
      </c>
      <c r="C172" s="9" t="s">
        <v>42</v>
      </c>
      <c r="D172" s="9" t="s">
        <v>67</v>
      </c>
      <c r="E172" s="9" t="s">
        <v>534</v>
      </c>
      <c r="F172" s="19" t="n">
        <f aca="false">IF('Base de Datos'!AB166="","",'Base de Datos'!AB166)</f>
        <v>1335</v>
      </c>
      <c r="G172" s="15"/>
      <c r="H172" s="28"/>
      <c r="I172" s="29" t="str">
        <f aca="false">IF(OR($G172="",$G172=0),"",IFERROR(ROUND($F172*$G172*(1-IF($H172="",0,$H172)),2),""))</f>
        <v/>
      </c>
      <c r="J172" s="9"/>
    </row>
    <row r="173" customFormat="false" ht="21.75" hidden="false" customHeight="true" outlineLevel="0" collapsed="false">
      <c r="B173" s="14" t="n">
        <v>163</v>
      </c>
      <c r="C173" s="7" t="s">
        <v>42</v>
      </c>
      <c r="D173" s="7" t="s">
        <v>67</v>
      </c>
      <c r="E173" s="7" t="s">
        <v>535</v>
      </c>
      <c r="F173" s="18" t="n">
        <f aca="false">IF('Base de Datos'!AB167="","",'Base de Datos'!AB167)</f>
        <v>1960</v>
      </c>
      <c r="G173" s="14"/>
      <c r="H173" s="26"/>
      <c r="I173" s="27" t="str">
        <f aca="false">IF(OR($G173="",$G173=0),"",IFERROR(ROUND($F173*$G173*(1-IF($H173="",0,$H173)),2),""))</f>
        <v/>
      </c>
      <c r="J173" s="7"/>
    </row>
    <row r="174" customFormat="false" ht="21.75" hidden="false" customHeight="true" outlineLevel="0" collapsed="false">
      <c r="B174" s="15" t="n">
        <v>164</v>
      </c>
      <c r="C174" s="9" t="s">
        <v>42</v>
      </c>
      <c r="D174" s="9" t="s">
        <v>68</v>
      </c>
      <c r="E174" s="9" t="s">
        <v>536</v>
      </c>
      <c r="F174" s="19" t="n">
        <f aca="false">IF('Base de Datos'!AB168="","",'Base de Datos'!AB168)</f>
        <v>1200</v>
      </c>
      <c r="G174" s="15"/>
      <c r="H174" s="28"/>
      <c r="I174" s="29" t="str">
        <f aca="false">IF(OR($G174="",$G174=0),"",IFERROR(ROUND($F174*$G174*(1-IF($H174="",0,$H174)),2),""))</f>
        <v/>
      </c>
      <c r="J174" s="9"/>
    </row>
    <row r="175" customFormat="false" ht="21.75" hidden="false" customHeight="true" outlineLevel="0" collapsed="false">
      <c r="B175" s="14" t="n">
        <v>165</v>
      </c>
      <c r="C175" s="7" t="s">
        <v>42</v>
      </c>
      <c r="D175" s="7" t="s">
        <v>68</v>
      </c>
      <c r="E175" s="7" t="s">
        <v>542</v>
      </c>
      <c r="F175" s="18" t="n">
        <f aca="false">IF('Base de Datos'!AB169="","",'Base de Datos'!AB169)</f>
        <v>1800</v>
      </c>
      <c r="G175" s="14"/>
      <c r="H175" s="26"/>
      <c r="I175" s="27" t="str">
        <f aca="false">IF(OR($G175="",$G175=0),"",IFERROR(ROUND($F175*$G175*(1-IF($H175="",0,$H175)),2),""))</f>
        <v/>
      </c>
      <c r="J175" s="7"/>
    </row>
    <row r="176" customFormat="false" ht="21.75" hidden="false" customHeight="true" outlineLevel="0" collapsed="false">
      <c r="B176" s="15" t="n">
        <v>166</v>
      </c>
      <c r="C176" s="9" t="s">
        <v>42</v>
      </c>
      <c r="D176" s="9" t="s">
        <v>68</v>
      </c>
      <c r="E176" s="9" t="s">
        <v>543</v>
      </c>
      <c r="F176" s="19" t="n">
        <f aca="false">IF('Base de Datos'!AB170="","",'Base de Datos'!AB170)</f>
        <v>2400</v>
      </c>
      <c r="G176" s="15"/>
      <c r="H176" s="28"/>
      <c r="I176" s="29" t="str">
        <f aca="false">IF(OR($G176="",$G176=0),"",IFERROR(ROUND($F176*$G176*(1-IF($H176="",0,$H176)),2),""))</f>
        <v/>
      </c>
      <c r="J176" s="9"/>
    </row>
    <row r="177" customFormat="false" ht="21.75" hidden="false" customHeight="true" outlineLevel="0" collapsed="false">
      <c r="B177" s="14" t="n">
        <v>167</v>
      </c>
      <c r="C177" s="7" t="s">
        <v>42</v>
      </c>
      <c r="D177" s="7" t="s">
        <v>68</v>
      </c>
      <c r="E177" s="7" t="s">
        <v>545</v>
      </c>
      <c r="F177" s="18" t="n">
        <f aca="false">IF('Base de Datos'!AB171="","",'Base de Datos'!AB171)</f>
        <v>3600</v>
      </c>
      <c r="G177" s="14"/>
      <c r="H177" s="26"/>
      <c r="I177" s="27" t="str">
        <f aca="false">IF(OR($G177="",$G177=0),"",IFERROR(ROUND($F177*$G177*(1-IF($H177="",0,$H177)),2),""))</f>
        <v/>
      </c>
      <c r="J177" s="7"/>
    </row>
    <row r="178" customFormat="false" ht="21.75" hidden="false" customHeight="true" outlineLevel="0" collapsed="false">
      <c r="B178" s="15" t="n">
        <v>168</v>
      </c>
      <c r="C178" s="9" t="s">
        <v>42</v>
      </c>
      <c r="D178" s="9" t="s">
        <v>68</v>
      </c>
      <c r="E178" s="9" t="s">
        <v>546</v>
      </c>
      <c r="F178" s="19" t="n">
        <f aca="false">IF('Base de Datos'!AB172="","",'Base de Datos'!AB172)</f>
        <v>5280</v>
      </c>
      <c r="G178" s="15"/>
      <c r="H178" s="28"/>
      <c r="I178" s="29" t="str">
        <f aca="false">IF(OR($G178="",$G178=0),"",IFERROR(ROUND($F178*$G178*(1-IF($H178="",0,$H178)),2),""))</f>
        <v/>
      </c>
      <c r="J178" s="9"/>
    </row>
    <row r="179" customFormat="false" ht="21.75" hidden="false" customHeight="true" outlineLevel="0" collapsed="false">
      <c r="B179" s="14" t="n">
        <v>169</v>
      </c>
      <c r="C179" s="7" t="s">
        <v>42</v>
      </c>
      <c r="D179" s="7" t="s">
        <v>69</v>
      </c>
      <c r="E179" s="7" t="s">
        <v>321</v>
      </c>
      <c r="F179" s="18" t="str">
        <f aca="false">IF('Base de Datos'!AB173="","",'Base de Datos'!AB173)</f>
        <v/>
      </c>
      <c r="G179" s="14"/>
      <c r="H179" s="26"/>
      <c r="I179" s="27" t="str">
        <f aca="false">IF(OR($G179="",$G179=0),"",IFERROR(ROUND($F179*$G179*(1-IF($H179="",0,$H179)),2),""))</f>
        <v/>
      </c>
      <c r="J179" s="7"/>
    </row>
    <row r="180" customFormat="false" ht="21.75" hidden="false" customHeight="true" outlineLevel="0" collapsed="false">
      <c r="B180" s="15" t="n">
        <v>170</v>
      </c>
      <c r="C180" s="9" t="s">
        <v>42</v>
      </c>
      <c r="D180" s="9" t="s">
        <v>70</v>
      </c>
      <c r="E180" s="9" t="s">
        <v>548</v>
      </c>
      <c r="F180" s="19" t="n">
        <f aca="false">IF('Base de Datos'!AB174="","",'Base de Datos'!AB174)</f>
        <v>2450</v>
      </c>
      <c r="G180" s="15"/>
      <c r="H180" s="28"/>
      <c r="I180" s="29" t="str">
        <f aca="false">IF(OR($G180="",$G180=0),"",IFERROR(ROUND($F180*$G180*(1-IF($H180="",0,$H180)),2),""))</f>
        <v/>
      </c>
      <c r="J180" s="9"/>
    </row>
    <row r="181" customFormat="false" ht="21.75" hidden="false" customHeight="true" outlineLevel="0" collapsed="false">
      <c r="B181" s="14" t="n">
        <v>171</v>
      </c>
      <c r="C181" s="7" t="s">
        <v>42</v>
      </c>
      <c r="D181" s="7" t="s">
        <v>70</v>
      </c>
      <c r="E181" s="7" t="s">
        <v>555</v>
      </c>
      <c r="F181" s="18" t="n">
        <f aca="false">IF('Base de Datos'!AB175="","",'Base de Datos'!AB175)</f>
        <v>3675</v>
      </c>
      <c r="G181" s="14"/>
      <c r="H181" s="26"/>
      <c r="I181" s="27" t="str">
        <f aca="false">IF(OR($G181="",$G181=0),"",IFERROR(ROUND($F181*$G181*(1-IF($H181="",0,$H181)),2),""))</f>
        <v/>
      </c>
      <c r="J181" s="7"/>
    </row>
    <row r="182" customFormat="false" ht="21.75" hidden="false" customHeight="true" outlineLevel="0" collapsed="false">
      <c r="B182" s="15" t="n">
        <v>172</v>
      </c>
      <c r="C182" s="9" t="s">
        <v>42</v>
      </c>
      <c r="D182" s="9" t="s">
        <v>70</v>
      </c>
      <c r="E182" s="9" t="s">
        <v>556</v>
      </c>
      <c r="F182" s="19" t="n">
        <f aca="false">IF('Base de Datos'!AB176="","",'Base de Datos'!AB176)</f>
        <v>4900</v>
      </c>
      <c r="G182" s="15"/>
      <c r="H182" s="28"/>
      <c r="I182" s="29" t="str">
        <f aca="false">IF(OR($G182="",$G182=0),"",IFERROR(ROUND($F182*$G182*(1-IF($H182="",0,$H182)),2),""))</f>
        <v/>
      </c>
      <c r="J182" s="9"/>
    </row>
    <row r="183" customFormat="false" ht="21.75" hidden="false" customHeight="true" outlineLevel="0" collapsed="false">
      <c r="B183" s="14" t="n">
        <v>173</v>
      </c>
      <c r="C183" s="7" t="s">
        <v>42</v>
      </c>
      <c r="D183" s="7" t="s">
        <v>70</v>
      </c>
      <c r="E183" s="7" t="s">
        <v>558</v>
      </c>
      <c r="F183" s="18" t="n">
        <f aca="false">IF('Base de Datos'!AB177="","",'Base de Datos'!AB177)</f>
        <v>7350</v>
      </c>
      <c r="G183" s="14"/>
      <c r="H183" s="26"/>
      <c r="I183" s="27" t="str">
        <f aca="false">IF(OR($G183="",$G183=0),"",IFERROR(ROUND($F183*$G183*(1-IF($H183="",0,$H183)),2),""))</f>
        <v/>
      </c>
      <c r="J183" s="7"/>
    </row>
    <row r="184" customFormat="false" ht="21.75" hidden="false" customHeight="true" outlineLevel="0" collapsed="false">
      <c r="B184" s="15" t="n">
        <v>174</v>
      </c>
      <c r="C184" s="9" t="s">
        <v>42</v>
      </c>
      <c r="D184" s="9" t="s">
        <v>70</v>
      </c>
      <c r="E184" s="9" t="s">
        <v>559</v>
      </c>
      <c r="F184" s="19" t="n">
        <f aca="false">IF('Base de Datos'!AB178="","",'Base de Datos'!AB178)</f>
        <v>10780</v>
      </c>
      <c r="G184" s="15"/>
      <c r="H184" s="28"/>
      <c r="I184" s="29" t="str">
        <f aca="false">IF(OR($G184="",$G184=0),"",IFERROR(ROUND($F184*$G184*(1-IF($H184="",0,$H184)),2),""))</f>
        <v/>
      </c>
      <c r="J184" s="9"/>
    </row>
    <row r="185" customFormat="false" ht="21.75" hidden="false" customHeight="true" outlineLevel="0" collapsed="false">
      <c r="B185" s="14" t="n">
        <v>175</v>
      </c>
      <c r="C185" s="7" t="s">
        <v>42</v>
      </c>
      <c r="D185" s="7" t="s">
        <v>71</v>
      </c>
      <c r="E185" s="7" t="s">
        <v>560</v>
      </c>
      <c r="F185" s="18" t="n">
        <f aca="false">IF('Base de Datos'!AB179="","",'Base de Datos'!AB179)</f>
        <v>190</v>
      </c>
      <c r="G185" s="14"/>
      <c r="H185" s="26"/>
      <c r="I185" s="27" t="str">
        <f aca="false">IF(OR($G185="",$G185=0),"",IFERROR(ROUND($F185*$G185*(1-IF($H185="",0,$H185)),2),""))</f>
        <v/>
      </c>
      <c r="J185" s="7"/>
    </row>
    <row r="186" customFormat="false" ht="21.75" hidden="false" customHeight="true" outlineLevel="0" collapsed="false">
      <c r="B186" s="15" t="n">
        <v>176</v>
      </c>
      <c r="C186" s="9" t="s">
        <v>42</v>
      </c>
      <c r="D186" s="9" t="s">
        <v>71</v>
      </c>
      <c r="E186" s="9" t="s">
        <v>563</v>
      </c>
      <c r="F186" s="19" t="n">
        <f aca="false">IF('Base de Datos'!AB180="","",'Base de Datos'!AB180)</f>
        <v>285</v>
      </c>
      <c r="G186" s="15"/>
      <c r="H186" s="28"/>
      <c r="I186" s="29" t="str">
        <f aca="false">IF(OR($G186="",$G186=0),"",IFERROR(ROUND($F186*$G186*(1-IF($H186="",0,$H186)),2),""))</f>
        <v/>
      </c>
      <c r="J186" s="9"/>
    </row>
    <row r="187" customFormat="false" ht="21.75" hidden="false" customHeight="true" outlineLevel="0" collapsed="false">
      <c r="B187" s="14" t="n">
        <v>177</v>
      </c>
      <c r="C187" s="7" t="s">
        <v>42</v>
      </c>
      <c r="D187" s="7" t="s">
        <v>71</v>
      </c>
      <c r="E187" s="7" t="s">
        <v>564</v>
      </c>
      <c r="F187" s="18" t="n">
        <f aca="false">IF('Base de Datos'!AB181="","",'Base de Datos'!AB181)</f>
        <v>380</v>
      </c>
      <c r="G187" s="14"/>
      <c r="H187" s="26"/>
      <c r="I187" s="27" t="str">
        <f aca="false">IF(OR($G187="",$G187=0),"",IFERROR(ROUND($F187*$G187*(1-IF($H187="",0,$H187)),2),""))</f>
        <v/>
      </c>
      <c r="J187" s="7"/>
    </row>
    <row r="188" customFormat="false" ht="21.75" hidden="false" customHeight="true" outlineLevel="0" collapsed="false">
      <c r="B188" s="15" t="n">
        <v>178</v>
      </c>
      <c r="C188" s="9" t="s">
        <v>42</v>
      </c>
      <c r="D188" s="9" t="s">
        <v>71</v>
      </c>
      <c r="E188" s="9" t="s">
        <v>558</v>
      </c>
      <c r="F188" s="19" t="n">
        <f aca="false">IF('Base de Datos'!AB182="","",'Base de Datos'!AB182)</f>
        <v>570</v>
      </c>
      <c r="G188" s="15"/>
      <c r="H188" s="28"/>
      <c r="I188" s="29" t="str">
        <f aca="false">IF(OR($G188="",$G188=0),"",IFERROR(ROUND($F188*$G188*(1-IF($H188="",0,$H188)),2),""))</f>
        <v/>
      </c>
      <c r="J188" s="9"/>
    </row>
    <row r="189" customFormat="false" ht="21.75" hidden="false" customHeight="true" outlineLevel="0" collapsed="false">
      <c r="B189" s="14" t="n">
        <v>179</v>
      </c>
      <c r="C189" s="7" t="s">
        <v>42</v>
      </c>
      <c r="D189" s="7" t="s">
        <v>71</v>
      </c>
      <c r="E189" s="7" t="s">
        <v>566</v>
      </c>
      <c r="F189" s="18" t="n">
        <f aca="false">IF('Base de Datos'!AB183="","",'Base de Datos'!AB183)</f>
        <v>835</v>
      </c>
      <c r="G189" s="14"/>
      <c r="H189" s="26"/>
      <c r="I189" s="27" t="str">
        <f aca="false">IF(OR($G189="",$G189=0),"",IFERROR(ROUND($F189*$G189*(1-IF($H189="",0,$H189)),2),""))</f>
        <v/>
      </c>
      <c r="J189" s="7"/>
    </row>
    <row r="190" customFormat="false" ht="21.75" hidden="false" customHeight="true" outlineLevel="0" collapsed="false">
      <c r="B190" s="15" t="n">
        <v>180</v>
      </c>
      <c r="C190" s="9" t="s">
        <v>42</v>
      </c>
      <c r="D190" s="9" t="s">
        <v>72</v>
      </c>
      <c r="E190" s="9" t="s">
        <v>536</v>
      </c>
      <c r="F190" s="19" t="n">
        <f aca="false">IF('Base de Datos'!AB184="","",'Base de Datos'!AB184)</f>
        <v>750</v>
      </c>
      <c r="G190" s="15"/>
      <c r="H190" s="28"/>
      <c r="I190" s="29" t="str">
        <f aca="false">IF(OR($G190="",$G190=0),"",IFERROR(ROUND($F190*$G190*(1-IF($H190="",0,$H190)),2),""))</f>
        <v/>
      </c>
      <c r="J190" s="9"/>
    </row>
    <row r="191" customFormat="false" ht="21.75" hidden="false" customHeight="true" outlineLevel="0" collapsed="false">
      <c r="B191" s="14" t="n">
        <v>181</v>
      </c>
      <c r="C191" s="7" t="s">
        <v>42</v>
      </c>
      <c r="D191" s="7" t="s">
        <v>72</v>
      </c>
      <c r="E191" s="7" t="s">
        <v>543</v>
      </c>
      <c r="F191" s="18" t="n">
        <f aca="false">IF('Base de Datos'!AB185="","",'Base de Datos'!AB185)</f>
        <v>1125</v>
      </c>
      <c r="G191" s="14"/>
      <c r="H191" s="26"/>
      <c r="I191" s="27" t="str">
        <f aca="false">IF(OR($G191="",$G191=0),"",IFERROR(ROUND($F191*$G191*(1-IF($H191="",0,$H191)),2),""))</f>
        <v/>
      </c>
      <c r="J191" s="7"/>
    </row>
    <row r="192" customFormat="false" ht="21.75" hidden="false" customHeight="true" outlineLevel="0" collapsed="false">
      <c r="B192" s="15" t="n">
        <v>182</v>
      </c>
      <c r="C192" s="9" t="s">
        <v>42</v>
      </c>
      <c r="D192" s="9" t="s">
        <v>72</v>
      </c>
      <c r="E192" s="9" t="s">
        <v>545</v>
      </c>
      <c r="F192" s="19" t="n">
        <f aca="false">IF('Base de Datos'!AB186="","",'Base de Datos'!AB186)</f>
        <v>1500</v>
      </c>
      <c r="G192" s="15"/>
      <c r="H192" s="28"/>
      <c r="I192" s="29" t="str">
        <f aca="false">IF(OR($G192="",$G192=0),"",IFERROR(ROUND($F192*$G192*(1-IF($H192="",0,$H192)),2),""))</f>
        <v/>
      </c>
      <c r="J192" s="9"/>
    </row>
    <row r="193" customFormat="false" ht="21.75" hidden="false" customHeight="true" outlineLevel="0" collapsed="false">
      <c r="B193" s="14" t="n">
        <v>183</v>
      </c>
      <c r="C193" s="7" t="s">
        <v>42</v>
      </c>
      <c r="D193" s="7" t="s">
        <v>72</v>
      </c>
      <c r="E193" s="7" t="s">
        <v>546</v>
      </c>
      <c r="F193" s="18" t="n">
        <f aca="false">IF('Base de Datos'!AB187="","",'Base de Datos'!AB187)</f>
        <v>2250</v>
      </c>
      <c r="G193" s="14"/>
      <c r="H193" s="26"/>
      <c r="I193" s="27" t="str">
        <f aca="false">IF(OR($G193="",$G193=0),"",IFERROR(ROUND($F193*$G193*(1-IF($H193="",0,$H193)),2),""))</f>
        <v/>
      </c>
      <c r="J193" s="7"/>
    </row>
    <row r="194" customFormat="false" ht="21.75" hidden="false" customHeight="true" outlineLevel="0" collapsed="false">
      <c r="B194" s="15" t="n">
        <v>184</v>
      </c>
      <c r="C194" s="9" t="s">
        <v>42</v>
      </c>
      <c r="D194" s="9" t="s">
        <v>72</v>
      </c>
      <c r="E194" s="9" t="s">
        <v>573</v>
      </c>
      <c r="F194" s="19" t="n">
        <f aca="false">IF('Base de Datos'!AB188="","",'Base de Datos'!AB188)</f>
        <v>3300</v>
      </c>
      <c r="G194" s="15"/>
      <c r="H194" s="28"/>
      <c r="I194" s="29" t="str">
        <f aca="false">IF(OR($G194="",$G194=0),"",IFERROR(ROUND($F194*$G194*(1-IF($H194="",0,$H194)),2),""))</f>
        <v/>
      </c>
      <c r="J194" s="9"/>
    </row>
    <row r="195" customFormat="false" ht="21.75" hidden="false" customHeight="true" outlineLevel="0" collapsed="false">
      <c r="B195" s="14" t="n">
        <v>185</v>
      </c>
      <c r="C195" s="7" t="s">
        <v>42</v>
      </c>
      <c r="D195" s="7" t="s">
        <v>73</v>
      </c>
      <c r="E195" s="7" t="s">
        <v>574</v>
      </c>
      <c r="F195" s="18" t="n">
        <f aca="false">IF('Base de Datos'!AB189="","",'Base de Datos'!AB189)</f>
        <v>360</v>
      </c>
      <c r="G195" s="14"/>
      <c r="H195" s="26"/>
      <c r="I195" s="27" t="str">
        <f aca="false">IF(OR($G195="",$G195=0),"",IFERROR(ROUND($F195*$G195*(1-IF($H195="",0,$H195)),2),""))</f>
        <v/>
      </c>
      <c r="J195" s="7"/>
    </row>
    <row r="196" customFormat="false" ht="21.75" hidden="false" customHeight="true" outlineLevel="0" collapsed="false">
      <c r="B196" s="15" t="n">
        <v>186</v>
      </c>
      <c r="C196" s="9" t="s">
        <v>42</v>
      </c>
      <c r="D196" s="9" t="s">
        <v>73</v>
      </c>
      <c r="E196" s="9" t="s">
        <v>578</v>
      </c>
      <c r="F196" s="19" t="n">
        <f aca="false">IF('Base de Datos'!AB190="","",'Base de Datos'!AB190)</f>
        <v>540</v>
      </c>
      <c r="G196" s="15"/>
      <c r="H196" s="28"/>
      <c r="I196" s="29" t="str">
        <f aca="false">IF(OR($G196="",$G196=0),"",IFERROR(ROUND($F196*$G196*(1-IF($H196="",0,$H196)),2),""))</f>
        <v/>
      </c>
      <c r="J196" s="9"/>
    </row>
    <row r="197" customFormat="false" ht="21.75" hidden="false" customHeight="true" outlineLevel="0" collapsed="false">
      <c r="B197" s="14" t="n">
        <v>187</v>
      </c>
      <c r="C197" s="7" t="s">
        <v>42</v>
      </c>
      <c r="D197" s="7" t="s">
        <v>73</v>
      </c>
      <c r="E197" s="7" t="s">
        <v>579</v>
      </c>
      <c r="F197" s="18" t="n">
        <f aca="false">IF('Base de Datos'!AB191="","",'Base de Datos'!AB191)</f>
        <v>720</v>
      </c>
      <c r="G197" s="14"/>
      <c r="H197" s="26"/>
      <c r="I197" s="27" t="str">
        <f aca="false">IF(OR($G197="",$G197=0),"",IFERROR(ROUND($F197*$G197*(1-IF($H197="",0,$H197)),2),""))</f>
        <v/>
      </c>
      <c r="J197" s="7"/>
    </row>
    <row r="198" customFormat="false" ht="21.75" hidden="false" customHeight="true" outlineLevel="0" collapsed="false">
      <c r="B198" s="15" t="n">
        <v>188</v>
      </c>
      <c r="C198" s="9" t="s">
        <v>42</v>
      </c>
      <c r="D198" s="9" t="s">
        <v>73</v>
      </c>
      <c r="E198" s="9" t="s">
        <v>581</v>
      </c>
      <c r="F198" s="19" t="n">
        <f aca="false">IF('Base de Datos'!AB192="","",'Base de Datos'!AB192)</f>
        <v>1080</v>
      </c>
      <c r="G198" s="15"/>
      <c r="H198" s="28"/>
      <c r="I198" s="29" t="str">
        <f aca="false">IF(OR($G198="",$G198=0),"",IFERROR(ROUND($F198*$G198*(1-IF($H198="",0,$H198)),2),""))</f>
        <v/>
      </c>
      <c r="J198" s="9"/>
    </row>
    <row r="199" customFormat="false" ht="21.75" hidden="false" customHeight="true" outlineLevel="0" collapsed="false">
      <c r="B199" s="14" t="n">
        <v>189</v>
      </c>
      <c r="C199" s="7" t="s">
        <v>42</v>
      </c>
      <c r="D199" s="7" t="s">
        <v>73</v>
      </c>
      <c r="E199" s="7" t="s">
        <v>582</v>
      </c>
      <c r="F199" s="18" t="n">
        <f aca="false">IF('Base de Datos'!AB193="","",'Base de Datos'!AB193)</f>
        <v>1585</v>
      </c>
      <c r="G199" s="14"/>
      <c r="H199" s="26"/>
      <c r="I199" s="27" t="str">
        <f aca="false">IF(OR($G199="",$G199=0),"",IFERROR(ROUND($F199*$G199*(1-IF($H199="",0,$H199)),2),""))</f>
        <v/>
      </c>
      <c r="J199" s="7"/>
    </row>
    <row r="200" customFormat="false" ht="21.75" hidden="false" customHeight="true" outlineLevel="0" collapsed="false">
      <c r="B200" s="15" t="n">
        <v>190</v>
      </c>
      <c r="C200" s="9" t="s">
        <v>42</v>
      </c>
      <c r="D200" s="9" t="s">
        <v>74</v>
      </c>
      <c r="E200" s="9" t="s">
        <v>583</v>
      </c>
      <c r="F200" s="19" t="n">
        <f aca="false">IF('Base de Datos'!AB194="","",'Base de Datos'!AB194)</f>
        <v>45</v>
      </c>
      <c r="G200" s="15"/>
      <c r="H200" s="28"/>
      <c r="I200" s="29" t="str">
        <f aca="false">IF(OR($G200="",$G200=0),"",IFERROR(ROUND($F200*$G200*(1-IF($H200="",0,$H200)),2),""))</f>
        <v/>
      </c>
      <c r="J200" s="9"/>
    </row>
    <row r="201" customFormat="false" ht="21.75" hidden="false" customHeight="true" outlineLevel="0" collapsed="false">
      <c r="B201" s="14" t="n">
        <v>191</v>
      </c>
      <c r="C201" s="7" t="s">
        <v>42</v>
      </c>
      <c r="D201" s="7" t="s">
        <v>74</v>
      </c>
      <c r="E201" s="7" t="s">
        <v>591</v>
      </c>
      <c r="F201" s="18" t="n">
        <f aca="false">IF('Base de Datos'!AB195="","",'Base de Datos'!AB195)</f>
        <v>65</v>
      </c>
      <c r="G201" s="14"/>
      <c r="H201" s="26"/>
      <c r="I201" s="27" t="str">
        <f aca="false">IF(OR($G201="",$G201=0),"",IFERROR(ROUND($F201*$G201*(1-IF($H201="",0,$H201)),2),""))</f>
        <v/>
      </c>
      <c r="J201" s="7"/>
    </row>
    <row r="202" customFormat="false" ht="21.75" hidden="false" customHeight="true" outlineLevel="0" collapsed="false">
      <c r="B202" s="15" t="n">
        <v>192</v>
      </c>
      <c r="C202" s="9" t="s">
        <v>42</v>
      </c>
      <c r="D202" s="9" t="s">
        <v>74</v>
      </c>
      <c r="E202" s="9" t="s">
        <v>592</v>
      </c>
      <c r="F202" s="19" t="n">
        <f aca="false">IF('Base de Datos'!AB196="","",'Base de Datos'!AB196)</f>
        <v>90</v>
      </c>
      <c r="G202" s="15"/>
      <c r="H202" s="28"/>
      <c r="I202" s="29" t="str">
        <f aca="false">IF(OR($G202="",$G202=0),"",IFERROR(ROUND($F202*$G202*(1-IF($H202="",0,$H202)),2),""))</f>
        <v/>
      </c>
      <c r="J202" s="9"/>
    </row>
    <row r="203" customFormat="false" ht="21.75" hidden="false" customHeight="true" outlineLevel="0" collapsed="false">
      <c r="B203" s="14" t="n">
        <v>193</v>
      </c>
      <c r="C203" s="7" t="s">
        <v>42</v>
      </c>
      <c r="D203" s="7" t="s">
        <v>74</v>
      </c>
      <c r="E203" s="7" t="s">
        <v>594</v>
      </c>
      <c r="F203" s="18" t="n">
        <f aca="false">IF('Base de Datos'!AB197="","",'Base de Datos'!AB197)</f>
        <v>135</v>
      </c>
      <c r="G203" s="14"/>
      <c r="H203" s="26"/>
      <c r="I203" s="27" t="str">
        <f aca="false">IF(OR($G203="",$G203=0),"",IFERROR(ROUND($F203*$G203*(1-IF($H203="",0,$H203)),2),""))</f>
        <v/>
      </c>
      <c r="J203" s="7"/>
    </row>
    <row r="204" customFormat="false" ht="21.75" hidden="false" customHeight="true" outlineLevel="0" collapsed="false">
      <c r="B204" s="15" t="n">
        <v>194</v>
      </c>
      <c r="C204" s="9" t="s">
        <v>42</v>
      </c>
      <c r="D204" s="9" t="s">
        <v>74</v>
      </c>
      <c r="E204" s="9" t="s">
        <v>595</v>
      </c>
      <c r="F204" s="19" t="n">
        <f aca="false">IF('Base de Datos'!AB198="","",'Base de Datos'!AB198)</f>
        <v>195</v>
      </c>
      <c r="G204" s="15"/>
      <c r="H204" s="28"/>
      <c r="I204" s="29" t="str">
        <f aca="false">IF(OR($G204="",$G204=0),"",IFERROR(ROUND($F204*$G204*(1-IF($H204="",0,$H204)),2),""))</f>
        <v/>
      </c>
      <c r="J204" s="9"/>
    </row>
    <row r="205" customFormat="false" ht="21.75" hidden="false" customHeight="true" outlineLevel="0" collapsed="false">
      <c r="B205" s="14" t="n">
        <v>195</v>
      </c>
      <c r="C205" s="7" t="s">
        <v>43</v>
      </c>
      <c r="D205" s="7" t="s">
        <v>61</v>
      </c>
      <c r="E205" s="7" t="s">
        <v>596</v>
      </c>
      <c r="F205" s="18" t="n">
        <f aca="false">IF('Base de Datos'!AB199="","",'Base de Datos'!AB199)</f>
        <v>390</v>
      </c>
      <c r="G205" s="14"/>
      <c r="H205" s="26"/>
      <c r="I205" s="27" t="str">
        <f aca="false">IF(OR($G205="",$G205=0),"",IFERROR(ROUND($F205*$G205*(1-IF($H205="",0,$H205)),2),""))</f>
        <v/>
      </c>
      <c r="J205" s="7"/>
    </row>
    <row r="206" customFormat="false" ht="21.75" hidden="false" customHeight="true" outlineLevel="0" collapsed="false">
      <c r="B206" s="15" t="n">
        <v>196</v>
      </c>
      <c r="C206" s="9" t="s">
        <v>43</v>
      </c>
      <c r="D206" s="9" t="s">
        <v>61</v>
      </c>
      <c r="E206" s="9" t="s">
        <v>603</v>
      </c>
      <c r="F206" s="19" t="n">
        <f aca="false">IF('Base de Datos'!AB200="","",'Base de Datos'!AB200)</f>
        <v>585</v>
      </c>
      <c r="G206" s="15"/>
      <c r="H206" s="28"/>
      <c r="I206" s="29" t="str">
        <f aca="false">IF(OR($G206="",$G206=0),"",IFERROR(ROUND($F206*$G206*(1-IF($H206="",0,$H206)),2),""))</f>
        <v/>
      </c>
      <c r="J206" s="9"/>
    </row>
    <row r="207" customFormat="false" ht="21.75" hidden="false" customHeight="true" outlineLevel="0" collapsed="false">
      <c r="B207" s="14" t="n">
        <v>197</v>
      </c>
      <c r="C207" s="7" t="s">
        <v>43</v>
      </c>
      <c r="D207" s="7" t="s">
        <v>61</v>
      </c>
      <c r="E207" s="7" t="s">
        <v>604</v>
      </c>
      <c r="F207" s="18" t="n">
        <f aca="false">IF('Base de Datos'!AB201="","",'Base de Datos'!AB201)</f>
        <v>780</v>
      </c>
      <c r="G207" s="14"/>
      <c r="H207" s="26"/>
      <c r="I207" s="27" t="str">
        <f aca="false">IF(OR($G207="",$G207=0),"",IFERROR(ROUND($F207*$G207*(1-IF($H207="",0,$H207)),2),""))</f>
        <v/>
      </c>
      <c r="J207" s="7"/>
    </row>
    <row r="208" customFormat="false" ht="21.75" hidden="false" customHeight="true" outlineLevel="0" collapsed="false">
      <c r="B208" s="15" t="n">
        <v>198</v>
      </c>
      <c r="C208" s="9" t="s">
        <v>43</v>
      </c>
      <c r="D208" s="9" t="s">
        <v>61</v>
      </c>
      <c r="E208" s="9" t="s">
        <v>606</v>
      </c>
      <c r="F208" s="19" t="n">
        <f aca="false">IF('Base de Datos'!AB202="","",'Base de Datos'!AB202)</f>
        <v>1170</v>
      </c>
      <c r="G208" s="15"/>
      <c r="H208" s="28"/>
      <c r="I208" s="29" t="str">
        <f aca="false">IF(OR($G208="",$G208=0),"",IFERROR(ROUND($F208*$G208*(1-IF($H208="",0,$H208)),2),""))</f>
        <v/>
      </c>
      <c r="J208" s="9"/>
    </row>
    <row r="209" customFormat="false" ht="21.75" hidden="false" customHeight="true" outlineLevel="0" collapsed="false">
      <c r="B209" s="14" t="n">
        <v>199</v>
      </c>
      <c r="C209" s="7" t="s">
        <v>43</v>
      </c>
      <c r="D209" s="7" t="s">
        <v>61</v>
      </c>
      <c r="E209" s="7" t="s">
        <v>607</v>
      </c>
      <c r="F209" s="18" t="n">
        <f aca="false">IF('Base de Datos'!AB203="","",'Base de Datos'!AB203)</f>
        <v>1715</v>
      </c>
      <c r="G209" s="14"/>
      <c r="H209" s="26"/>
      <c r="I209" s="27" t="str">
        <f aca="false">IF(OR($G209="",$G209=0),"",IFERROR(ROUND($F209*$G209*(1-IF($H209="",0,$H209)),2),""))</f>
        <v/>
      </c>
      <c r="J209" s="7"/>
    </row>
    <row r="210" customFormat="false" ht="21.75" hidden="false" customHeight="true" outlineLevel="0" collapsed="false">
      <c r="B210" s="15" t="n">
        <v>200</v>
      </c>
      <c r="C210" s="9" t="s">
        <v>43</v>
      </c>
      <c r="D210" s="9" t="s">
        <v>62</v>
      </c>
      <c r="E210" s="9" t="s">
        <v>608</v>
      </c>
      <c r="F210" s="19" t="n">
        <f aca="false">IF('Base de Datos'!AB204="","",'Base de Datos'!AB204)</f>
        <v>390</v>
      </c>
      <c r="G210" s="15"/>
      <c r="H210" s="28"/>
      <c r="I210" s="29" t="str">
        <f aca="false">IF(OR($G210="",$G210=0),"",IFERROR(ROUND($F210*$G210*(1-IF($H210="",0,$H210)),2),""))</f>
        <v/>
      </c>
      <c r="J210" s="9"/>
    </row>
    <row r="211" customFormat="false" ht="21.75" hidden="false" customHeight="true" outlineLevel="0" collapsed="false">
      <c r="B211" s="14" t="n">
        <v>201</v>
      </c>
      <c r="C211" s="7" t="s">
        <v>43</v>
      </c>
      <c r="D211" s="7" t="s">
        <v>62</v>
      </c>
      <c r="E211" s="7" t="s">
        <v>609</v>
      </c>
      <c r="F211" s="18" t="n">
        <f aca="false">IF('Base de Datos'!AB205="","",'Base de Datos'!AB205)</f>
        <v>585</v>
      </c>
      <c r="G211" s="14"/>
      <c r="H211" s="26"/>
      <c r="I211" s="27" t="str">
        <f aca="false">IF(OR($G211="",$G211=0),"",IFERROR(ROUND($F211*$G211*(1-IF($H211="",0,$H211)),2),""))</f>
        <v/>
      </c>
      <c r="J211" s="7"/>
    </row>
    <row r="212" customFormat="false" ht="21.75" hidden="false" customHeight="true" outlineLevel="0" collapsed="false">
      <c r="B212" s="15" t="n">
        <v>202</v>
      </c>
      <c r="C212" s="9" t="s">
        <v>43</v>
      </c>
      <c r="D212" s="9" t="s">
        <v>62</v>
      </c>
      <c r="E212" s="9" t="s">
        <v>610</v>
      </c>
      <c r="F212" s="19" t="n">
        <f aca="false">IF('Base de Datos'!AB206="","",'Base de Datos'!AB206)</f>
        <v>780</v>
      </c>
      <c r="G212" s="15"/>
      <c r="H212" s="28"/>
      <c r="I212" s="29" t="str">
        <f aca="false">IF(OR($G212="",$G212=0),"",IFERROR(ROUND($F212*$G212*(1-IF($H212="",0,$H212)),2),""))</f>
        <v/>
      </c>
      <c r="J212" s="9"/>
    </row>
    <row r="213" customFormat="false" ht="21.75" hidden="false" customHeight="true" outlineLevel="0" collapsed="false">
      <c r="B213" s="14" t="n">
        <v>203</v>
      </c>
      <c r="C213" s="7" t="s">
        <v>43</v>
      </c>
      <c r="D213" s="7" t="s">
        <v>62</v>
      </c>
      <c r="E213" s="7" t="s">
        <v>612</v>
      </c>
      <c r="F213" s="18" t="n">
        <f aca="false">IF('Base de Datos'!AB207="","",'Base de Datos'!AB207)</f>
        <v>1170</v>
      </c>
      <c r="G213" s="14"/>
      <c r="H213" s="26"/>
      <c r="I213" s="27" t="str">
        <f aca="false">IF(OR($G213="",$G213=0),"",IFERROR(ROUND($F213*$G213*(1-IF($H213="",0,$H213)),2),""))</f>
        <v/>
      </c>
      <c r="J213" s="7"/>
    </row>
    <row r="214" customFormat="false" ht="21.75" hidden="false" customHeight="true" outlineLevel="0" collapsed="false">
      <c r="B214" s="15" t="n">
        <v>204</v>
      </c>
      <c r="C214" s="9" t="s">
        <v>43</v>
      </c>
      <c r="D214" s="9" t="s">
        <v>62</v>
      </c>
      <c r="E214" s="9" t="s">
        <v>613</v>
      </c>
      <c r="F214" s="19" t="n">
        <f aca="false">IF('Base de Datos'!AB208="","",'Base de Datos'!AB208)</f>
        <v>1715</v>
      </c>
      <c r="G214" s="15"/>
      <c r="H214" s="28"/>
      <c r="I214" s="29" t="str">
        <f aca="false">IF(OR($G214="",$G214=0),"",IFERROR(ROUND($F214*$G214*(1-IF($H214="",0,$H214)),2),""))</f>
        <v/>
      </c>
      <c r="J214" s="9"/>
    </row>
    <row r="215" customFormat="false" ht="21.75" hidden="false" customHeight="true" outlineLevel="0" collapsed="false">
      <c r="B215" s="14" t="n">
        <v>205</v>
      </c>
      <c r="C215" s="7" t="s">
        <v>43</v>
      </c>
      <c r="D215" s="7" t="s">
        <v>63</v>
      </c>
      <c r="E215" s="7" t="s">
        <v>614</v>
      </c>
      <c r="F215" s="18" t="n">
        <f aca="false">IF('Base de Datos'!AB209="","",'Base de Datos'!AB209)</f>
        <v>360</v>
      </c>
      <c r="G215" s="14"/>
      <c r="H215" s="26"/>
      <c r="I215" s="27" t="str">
        <f aca="false">IF(OR($G215="",$G215=0),"",IFERROR(ROUND($F215*$G215*(1-IF($H215="",0,$H215)),2),""))</f>
        <v/>
      </c>
      <c r="J215" s="7"/>
    </row>
    <row r="216" customFormat="false" ht="21.75" hidden="false" customHeight="true" outlineLevel="0" collapsed="false">
      <c r="B216" s="15" t="n">
        <v>206</v>
      </c>
      <c r="C216" s="9" t="s">
        <v>43</v>
      </c>
      <c r="D216" s="9" t="s">
        <v>63</v>
      </c>
      <c r="E216" s="9" t="s">
        <v>617</v>
      </c>
      <c r="F216" s="19" t="n">
        <f aca="false">IF('Base de Datos'!AB210="","",'Base de Datos'!AB210)</f>
        <v>540</v>
      </c>
      <c r="G216" s="15"/>
      <c r="H216" s="28"/>
      <c r="I216" s="29" t="str">
        <f aca="false">IF(OR($G216="",$G216=0),"",IFERROR(ROUND($F216*$G216*(1-IF($H216="",0,$H216)),2),""))</f>
        <v/>
      </c>
      <c r="J216" s="9"/>
    </row>
    <row r="217" customFormat="false" ht="21.75" hidden="false" customHeight="true" outlineLevel="0" collapsed="false">
      <c r="B217" s="14" t="n">
        <v>207</v>
      </c>
      <c r="C217" s="7" t="s">
        <v>43</v>
      </c>
      <c r="D217" s="7" t="s">
        <v>63</v>
      </c>
      <c r="E217" s="7" t="s">
        <v>618</v>
      </c>
      <c r="F217" s="18" t="n">
        <f aca="false">IF('Base de Datos'!AB211="","",'Base de Datos'!AB211)</f>
        <v>720</v>
      </c>
      <c r="G217" s="14"/>
      <c r="H217" s="26"/>
      <c r="I217" s="27" t="str">
        <f aca="false">IF(OR($G217="",$G217=0),"",IFERROR(ROUND($F217*$G217*(1-IF($H217="",0,$H217)),2),""))</f>
        <v/>
      </c>
      <c r="J217" s="7"/>
    </row>
    <row r="218" customFormat="false" ht="21.75" hidden="false" customHeight="true" outlineLevel="0" collapsed="false">
      <c r="B218" s="15" t="n">
        <v>208</v>
      </c>
      <c r="C218" s="9" t="s">
        <v>43</v>
      </c>
      <c r="D218" s="9" t="s">
        <v>63</v>
      </c>
      <c r="E218" s="9" t="s">
        <v>620</v>
      </c>
      <c r="F218" s="19" t="n">
        <f aca="false">IF('Base de Datos'!AB212="","",'Base de Datos'!AB212)</f>
        <v>1080</v>
      </c>
      <c r="G218" s="15"/>
      <c r="H218" s="28"/>
      <c r="I218" s="29" t="str">
        <f aca="false">IF(OR($G218="",$G218=0),"",IFERROR(ROUND($F218*$G218*(1-IF($H218="",0,$H218)),2),""))</f>
        <v/>
      </c>
      <c r="J218" s="9"/>
    </row>
    <row r="219" customFormat="false" ht="21.75" hidden="false" customHeight="true" outlineLevel="0" collapsed="false">
      <c r="B219" s="14" t="n">
        <v>209</v>
      </c>
      <c r="C219" s="7" t="s">
        <v>43</v>
      </c>
      <c r="D219" s="7" t="s">
        <v>63</v>
      </c>
      <c r="E219" s="7" t="s">
        <v>621</v>
      </c>
      <c r="F219" s="18" t="n">
        <f aca="false">IF('Base de Datos'!AB213="","",'Base de Datos'!AB213)</f>
        <v>1585</v>
      </c>
      <c r="G219" s="14"/>
      <c r="H219" s="26"/>
      <c r="I219" s="27" t="str">
        <f aca="false">IF(OR($G219="",$G219=0),"",IFERROR(ROUND($F219*$G219*(1-IF($H219="",0,$H219)),2),""))</f>
        <v/>
      </c>
      <c r="J219" s="7"/>
    </row>
    <row r="220" customFormat="false" ht="21.75" hidden="false" customHeight="true" outlineLevel="0" collapsed="false">
      <c r="B220" s="15" t="n">
        <v>210</v>
      </c>
      <c r="C220" s="9" t="s">
        <v>43</v>
      </c>
      <c r="D220" s="9" t="s">
        <v>64</v>
      </c>
      <c r="E220" s="9" t="s">
        <v>622</v>
      </c>
      <c r="F220" s="19" t="n">
        <f aca="false">IF('Base de Datos'!AB214="","",'Base de Datos'!AB214)</f>
        <v>2100</v>
      </c>
      <c r="G220" s="15"/>
      <c r="H220" s="28"/>
      <c r="I220" s="29" t="str">
        <f aca="false">IF(OR($G220="",$G220=0),"",IFERROR(ROUND($F220*$G220*(1-IF($H220="",0,$H220)),2),""))</f>
        <v/>
      </c>
      <c r="J220" s="9"/>
    </row>
    <row r="221" customFormat="false" ht="21.75" hidden="false" customHeight="true" outlineLevel="0" collapsed="false">
      <c r="B221" s="14" t="n">
        <v>211</v>
      </c>
      <c r="C221" s="7" t="s">
        <v>43</v>
      </c>
      <c r="D221" s="7" t="s">
        <v>64</v>
      </c>
      <c r="E221" s="7" t="s">
        <v>627</v>
      </c>
      <c r="F221" s="18" t="n">
        <f aca="false">IF('Base de Datos'!AB215="","",'Base de Datos'!AB215)</f>
        <v>3150</v>
      </c>
      <c r="G221" s="14"/>
      <c r="H221" s="26"/>
      <c r="I221" s="27" t="str">
        <f aca="false">IF(OR($G221="",$G221=0),"",IFERROR(ROUND($F221*$G221*(1-IF($H221="",0,$H221)),2),""))</f>
        <v/>
      </c>
      <c r="J221" s="7"/>
    </row>
    <row r="222" customFormat="false" ht="21.75" hidden="false" customHeight="true" outlineLevel="0" collapsed="false">
      <c r="B222" s="15" t="n">
        <v>212</v>
      </c>
      <c r="C222" s="9" t="s">
        <v>43</v>
      </c>
      <c r="D222" s="9" t="s">
        <v>64</v>
      </c>
      <c r="E222" s="9" t="s">
        <v>628</v>
      </c>
      <c r="F222" s="19" t="n">
        <f aca="false">IF('Base de Datos'!AB216="","",'Base de Datos'!AB216)</f>
        <v>4200</v>
      </c>
      <c r="G222" s="15"/>
      <c r="H222" s="28"/>
      <c r="I222" s="29" t="str">
        <f aca="false">IF(OR($G222="",$G222=0),"",IFERROR(ROUND($F222*$G222*(1-IF($H222="",0,$H222)),2),""))</f>
        <v/>
      </c>
      <c r="J222" s="9"/>
    </row>
    <row r="223" customFormat="false" ht="21.75" hidden="false" customHeight="true" outlineLevel="0" collapsed="false">
      <c r="B223" s="14" t="n">
        <v>213</v>
      </c>
      <c r="C223" s="7" t="s">
        <v>43</v>
      </c>
      <c r="D223" s="7" t="s">
        <v>64</v>
      </c>
      <c r="E223" s="7" t="s">
        <v>630</v>
      </c>
      <c r="F223" s="18" t="n">
        <f aca="false">IF('Base de Datos'!AB217="","",'Base de Datos'!AB217)</f>
        <v>6300</v>
      </c>
      <c r="G223" s="14"/>
      <c r="H223" s="26"/>
      <c r="I223" s="27" t="str">
        <f aca="false">IF(OR($G223="",$G223=0),"",IFERROR(ROUND($F223*$G223*(1-IF($H223="",0,$H223)),2),""))</f>
        <v/>
      </c>
      <c r="J223" s="7"/>
    </row>
    <row r="224" customFormat="false" ht="21.75" hidden="false" customHeight="true" outlineLevel="0" collapsed="false">
      <c r="B224" s="15" t="n">
        <v>214</v>
      </c>
      <c r="C224" s="9" t="s">
        <v>43</v>
      </c>
      <c r="D224" s="9" t="s">
        <v>64</v>
      </c>
      <c r="E224" s="9" t="s">
        <v>631</v>
      </c>
      <c r="F224" s="19" t="n">
        <f aca="false">IF('Base de Datos'!AB218="","",'Base de Datos'!AB218)</f>
        <v>9240</v>
      </c>
      <c r="G224" s="15"/>
      <c r="H224" s="28"/>
      <c r="I224" s="29" t="str">
        <f aca="false">IF(OR($G224="",$G224=0),"",IFERROR(ROUND($F224*$G224*(1-IF($H224="",0,$H224)),2),""))</f>
        <v/>
      </c>
      <c r="J224" s="9"/>
    </row>
    <row r="225" customFormat="false" ht="21.75" hidden="false" customHeight="true" outlineLevel="0" collapsed="false">
      <c r="B225" s="14" t="n">
        <v>215</v>
      </c>
      <c r="C225" s="7" t="s">
        <v>43</v>
      </c>
      <c r="D225" s="7" t="s">
        <v>65</v>
      </c>
      <c r="E225" s="7" t="s">
        <v>321</v>
      </c>
      <c r="F225" s="18" t="str">
        <f aca="false">IF('Base de Datos'!AB219="","",'Base de Datos'!AB219)</f>
        <v/>
      </c>
      <c r="G225" s="14"/>
      <c r="H225" s="26"/>
      <c r="I225" s="27" t="str">
        <f aca="false">IF(OR($G225="",$G225=0),"",IFERROR(ROUND($F225*$G225*(1-IF($H225="",0,$H225)),2),""))</f>
        <v/>
      </c>
      <c r="J225" s="7"/>
    </row>
    <row r="226" customFormat="false" ht="21.75" hidden="false" customHeight="true" outlineLevel="0" collapsed="false">
      <c r="B226" s="15" t="n">
        <v>216</v>
      </c>
      <c r="C226" s="9" t="s">
        <v>43</v>
      </c>
      <c r="D226" s="9" t="s">
        <v>66</v>
      </c>
      <c r="E226" s="9" t="s">
        <v>321</v>
      </c>
      <c r="F226" s="19" t="str">
        <f aca="false">IF('Base de Datos'!AB220="","",'Base de Datos'!AB220)</f>
        <v/>
      </c>
      <c r="G226" s="15"/>
      <c r="H226" s="28"/>
      <c r="I226" s="29" t="str">
        <f aca="false">IF(OR($G226="",$G226=0),"",IFERROR(ROUND($F226*$G226*(1-IF($H226="",0,$H226)),2),""))</f>
        <v/>
      </c>
      <c r="J226" s="9"/>
    </row>
    <row r="227" customFormat="false" ht="21.75" hidden="false" customHeight="true" outlineLevel="0" collapsed="false">
      <c r="B227" s="14" t="n">
        <v>217</v>
      </c>
      <c r="C227" s="7" t="s">
        <v>43</v>
      </c>
      <c r="D227" s="7" t="s">
        <v>67</v>
      </c>
      <c r="E227" s="7" t="s">
        <v>634</v>
      </c>
      <c r="F227" s="18" t="n">
        <f aca="false">IF('Base de Datos'!AB221="","",'Base de Datos'!AB221)</f>
        <v>475</v>
      </c>
      <c r="G227" s="14"/>
      <c r="H227" s="26"/>
      <c r="I227" s="27" t="str">
        <f aca="false">IF(OR($G227="",$G227=0),"",IFERROR(ROUND($F227*$G227*(1-IF($H227="",0,$H227)),2),""))</f>
        <v/>
      </c>
      <c r="J227" s="7"/>
    </row>
    <row r="228" customFormat="false" ht="21.75" hidden="false" customHeight="true" outlineLevel="0" collapsed="false">
      <c r="B228" s="15" t="n">
        <v>218</v>
      </c>
      <c r="C228" s="9" t="s">
        <v>43</v>
      </c>
      <c r="D228" s="9" t="s">
        <v>67</v>
      </c>
      <c r="E228" s="9" t="s">
        <v>637</v>
      </c>
      <c r="F228" s="19" t="n">
        <f aca="false">IF('Base de Datos'!AB222="","",'Base de Datos'!AB222)</f>
        <v>710</v>
      </c>
      <c r="G228" s="15"/>
      <c r="H228" s="28"/>
      <c r="I228" s="29" t="str">
        <f aca="false">IF(OR($G228="",$G228=0),"",IFERROR(ROUND($F228*$G228*(1-IF($H228="",0,$H228)),2),""))</f>
        <v/>
      </c>
      <c r="J228" s="9"/>
    </row>
    <row r="229" customFormat="false" ht="21.75" hidden="false" customHeight="true" outlineLevel="0" collapsed="false">
      <c r="B229" s="14" t="n">
        <v>219</v>
      </c>
      <c r="C229" s="7" t="s">
        <v>43</v>
      </c>
      <c r="D229" s="7" t="s">
        <v>67</v>
      </c>
      <c r="E229" s="7" t="s">
        <v>638</v>
      </c>
      <c r="F229" s="18" t="n">
        <f aca="false">IF('Base de Datos'!AB223="","",'Base de Datos'!AB223)</f>
        <v>950</v>
      </c>
      <c r="G229" s="14"/>
      <c r="H229" s="26"/>
      <c r="I229" s="27" t="str">
        <f aca="false">IF(OR($G229="",$G229=0),"",IFERROR(ROUND($F229*$G229*(1-IF($H229="",0,$H229)),2),""))</f>
        <v/>
      </c>
      <c r="J229" s="7"/>
    </row>
    <row r="230" customFormat="false" ht="21.75" hidden="false" customHeight="true" outlineLevel="0" collapsed="false">
      <c r="B230" s="15" t="n">
        <v>220</v>
      </c>
      <c r="C230" s="9" t="s">
        <v>43</v>
      </c>
      <c r="D230" s="9" t="s">
        <v>67</v>
      </c>
      <c r="E230" s="9" t="s">
        <v>639</v>
      </c>
      <c r="F230" s="19" t="n">
        <f aca="false">IF('Base de Datos'!AB224="","",'Base de Datos'!AB224)</f>
        <v>1425</v>
      </c>
      <c r="G230" s="15"/>
      <c r="H230" s="28"/>
      <c r="I230" s="29" t="str">
        <f aca="false">IF(OR($G230="",$G230=0),"",IFERROR(ROUND($F230*$G230*(1-IF($H230="",0,$H230)),2),""))</f>
        <v/>
      </c>
      <c r="J230" s="9"/>
    </row>
    <row r="231" customFormat="false" ht="21.75" hidden="false" customHeight="true" outlineLevel="0" collapsed="false">
      <c r="B231" s="14" t="n">
        <v>221</v>
      </c>
      <c r="C231" s="7" t="s">
        <v>43</v>
      </c>
      <c r="D231" s="7" t="s">
        <v>67</v>
      </c>
      <c r="E231" s="7" t="s">
        <v>640</v>
      </c>
      <c r="F231" s="18" t="n">
        <f aca="false">IF('Base de Datos'!AB225="","",'Base de Datos'!AB225)</f>
        <v>2090</v>
      </c>
      <c r="G231" s="14"/>
      <c r="H231" s="26"/>
      <c r="I231" s="27" t="str">
        <f aca="false">IF(OR($G231="",$G231=0),"",IFERROR(ROUND($F231*$G231*(1-IF($H231="",0,$H231)),2),""))</f>
        <v/>
      </c>
      <c r="J231" s="7"/>
    </row>
    <row r="232" customFormat="false" ht="21.75" hidden="false" customHeight="true" outlineLevel="0" collapsed="false">
      <c r="B232" s="15" t="n">
        <v>222</v>
      </c>
      <c r="C232" s="9" t="s">
        <v>43</v>
      </c>
      <c r="D232" s="9" t="s">
        <v>68</v>
      </c>
      <c r="E232" s="9" t="s">
        <v>641</v>
      </c>
      <c r="F232" s="19" t="n">
        <f aca="false">IF('Base de Datos'!AB226="","",'Base de Datos'!AB226)</f>
        <v>1400</v>
      </c>
      <c r="G232" s="15"/>
      <c r="H232" s="28"/>
      <c r="I232" s="29" t="str">
        <f aca="false">IF(OR($G232="",$G232=0),"",IFERROR(ROUND($F232*$G232*(1-IF($H232="",0,$H232)),2),""))</f>
        <v/>
      </c>
      <c r="J232" s="9"/>
    </row>
    <row r="233" customFormat="false" ht="21.75" hidden="false" customHeight="true" outlineLevel="0" collapsed="false">
      <c r="B233" s="14" t="n">
        <v>223</v>
      </c>
      <c r="C233" s="7" t="s">
        <v>43</v>
      </c>
      <c r="D233" s="7" t="s">
        <v>68</v>
      </c>
      <c r="E233" s="7" t="s">
        <v>646</v>
      </c>
      <c r="F233" s="18" t="n">
        <f aca="false">IF('Base de Datos'!AB227="","",'Base de Datos'!AB227)</f>
        <v>2100</v>
      </c>
      <c r="G233" s="14"/>
      <c r="H233" s="26"/>
      <c r="I233" s="27" t="str">
        <f aca="false">IF(OR($G233="",$G233=0),"",IFERROR(ROUND($F233*$G233*(1-IF($H233="",0,$H233)),2),""))</f>
        <v/>
      </c>
      <c r="J233" s="7"/>
    </row>
    <row r="234" customFormat="false" ht="21.75" hidden="false" customHeight="true" outlineLevel="0" collapsed="false">
      <c r="B234" s="15" t="n">
        <v>224</v>
      </c>
      <c r="C234" s="9" t="s">
        <v>43</v>
      </c>
      <c r="D234" s="9" t="s">
        <v>68</v>
      </c>
      <c r="E234" s="9" t="s">
        <v>647</v>
      </c>
      <c r="F234" s="19" t="n">
        <f aca="false">IF('Base de Datos'!AB228="","",'Base de Datos'!AB228)</f>
        <v>2800</v>
      </c>
      <c r="G234" s="15"/>
      <c r="H234" s="28"/>
      <c r="I234" s="29" t="str">
        <f aca="false">IF(OR($G234="",$G234=0),"",IFERROR(ROUND($F234*$G234*(1-IF($H234="",0,$H234)),2),""))</f>
        <v/>
      </c>
      <c r="J234" s="9"/>
    </row>
    <row r="235" customFormat="false" ht="21.75" hidden="false" customHeight="true" outlineLevel="0" collapsed="false">
      <c r="B235" s="14" t="n">
        <v>225</v>
      </c>
      <c r="C235" s="7" t="s">
        <v>43</v>
      </c>
      <c r="D235" s="7" t="s">
        <v>68</v>
      </c>
      <c r="E235" s="7" t="s">
        <v>649</v>
      </c>
      <c r="F235" s="18" t="n">
        <f aca="false">IF('Base de Datos'!AB229="","",'Base de Datos'!AB229)</f>
        <v>4200</v>
      </c>
      <c r="G235" s="14"/>
      <c r="H235" s="26"/>
      <c r="I235" s="27" t="str">
        <f aca="false">IF(OR($G235="",$G235=0),"",IFERROR(ROUND($F235*$G235*(1-IF($H235="",0,$H235)),2),""))</f>
        <v/>
      </c>
      <c r="J235" s="7"/>
    </row>
    <row r="236" customFormat="false" ht="21.75" hidden="false" customHeight="true" outlineLevel="0" collapsed="false">
      <c r="B236" s="15" t="n">
        <v>226</v>
      </c>
      <c r="C236" s="9" t="s">
        <v>43</v>
      </c>
      <c r="D236" s="9" t="s">
        <v>68</v>
      </c>
      <c r="E236" s="9" t="s">
        <v>650</v>
      </c>
      <c r="F236" s="19" t="n">
        <f aca="false">IF('Base de Datos'!AB230="","",'Base de Datos'!AB230)</f>
        <v>6160</v>
      </c>
      <c r="G236" s="15"/>
      <c r="H236" s="28"/>
      <c r="I236" s="29" t="str">
        <f aca="false">IF(OR($G236="",$G236=0),"",IFERROR(ROUND($F236*$G236*(1-IF($H236="",0,$H236)),2),""))</f>
        <v/>
      </c>
      <c r="J236" s="9"/>
    </row>
    <row r="237" customFormat="false" ht="21.75" hidden="false" customHeight="true" outlineLevel="0" collapsed="false">
      <c r="B237" s="14" t="n">
        <v>227</v>
      </c>
      <c r="C237" s="7" t="s">
        <v>43</v>
      </c>
      <c r="D237" s="7" t="s">
        <v>69</v>
      </c>
      <c r="E237" s="7" t="s">
        <v>321</v>
      </c>
      <c r="F237" s="18" t="str">
        <f aca="false">IF('Base de Datos'!AB231="","",'Base de Datos'!AB231)</f>
        <v/>
      </c>
      <c r="G237" s="14"/>
      <c r="H237" s="26"/>
      <c r="I237" s="27" t="str">
        <f aca="false">IF(OR($G237="",$G237=0),"",IFERROR(ROUND($F237*$G237*(1-IF($H237="",0,$H237)),2),""))</f>
        <v/>
      </c>
      <c r="J237" s="7"/>
    </row>
    <row r="238" customFormat="false" ht="21.75" hidden="false" customHeight="true" outlineLevel="0" collapsed="false">
      <c r="B238" s="15" t="n">
        <v>228</v>
      </c>
      <c r="C238" s="9" t="s">
        <v>43</v>
      </c>
      <c r="D238" s="9" t="s">
        <v>70</v>
      </c>
      <c r="E238" s="9" t="s">
        <v>652</v>
      </c>
      <c r="F238" s="19" t="n">
        <f aca="false">IF('Base de Datos'!AB232="","",'Base de Datos'!AB232)</f>
        <v>3250</v>
      </c>
      <c r="G238" s="15"/>
      <c r="H238" s="28"/>
      <c r="I238" s="29" t="str">
        <f aca="false">IF(OR($G238="",$G238=0),"",IFERROR(ROUND($F238*$G238*(1-IF($H238="",0,$H238)),2),""))</f>
        <v/>
      </c>
      <c r="J238" s="9"/>
    </row>
    <row r="239" customFormat="false" ht="21.75" hidden="false" customHeight="true" outlineLevel="0" collapsed="false">
      <c r="B239" s="14" t="n">
        <v>229</v>
      </c>
      <c r="C239" s="7" t="s">
        <v>43</v>
      </c>
      <c r="D239" s="7" t="s">
        <v>70</v>
      </c>
      <c r="E239" s="7" t="s">
        <v>658</v>
      </c>
      <c r="F239" s="18" t="n">
        <f aca="false">IF('Base de Datos'!AB233="","",'Base de Datos'!AB233)</f>
        <v>4875</v>
      </c>
      <c r="G239" s="14"/>
      <c r="H239" s="26"/>
      <c r="I239" s="27" t="str">
        <f aca="false">IF(OR($G239="",$G239=0),"",IFERROR(ROUND($F239*$G239*(1-IF($H239="",0,$H239)),2),""))</f>
        <v/>
      </c>
      <c r="J239" s="7"/>
    </row>
    <row r="240" customFormat="false" ht="21.75" hidden="false" customHeight="true" outlineLevel="0" collapsed="false">
      <c r="B240" s="15" t="n">
        <v>230</v>
      </c>
      <c r="C240" s="9" t="s">
        <v>43</v>
      </c>
      <c r="D240" s="9" t="s">
        <v>70</v>
      </c>
      <c r="E240" s="9" t="s">
        <v>659</v>
      </c>
      <c r="F240" s="19" t="n">
        <f aca="false">IF('Base de Datos'!AB234="","",'Base de Datos'!AB234)</f>
        <v>6500</v>
      </c>
      <c r="G240" s="15"/>
      <c r="H240" s="28"/>
      <c r="I240" s="29" t="str">
        <f aca="false">IF(OR($G240="",$G240=0),"",IFERROR(ROUND($F240*$G240*(1-IF($H240="",0,$H240)),2),""))</f>
        <v/>
      </c>
      <c r="J240" s="9"/>
    </row>
    <row r="241" customFormat="false" ht="21.75" hidden="false" customHeight="true" outlineLevel="0" collapsed="false">
      <c r="B241" s="14" t="n">
        <v>231</v>
      </c>
      <c r="C241" s="7" t="s">
        <v>43</v>
      </c>
      <c r="D241" s="7" t="s">
        <v>70</v>
      </c>
      <c r="E241" s="7" t="s">
        <v>661</v>
      </c>
      <c r="F241" s="18" t="n">
        <f aca="false">IF('Base de Datos'!AB235="","",'Base de Datos'!AB235)</f>
        <v>9750</v>
      </c>
      <c r="G241" s="14"/>
      <c r="H241" s="26"/>
      <c r="I241" s="27" t="str">
        <f aca="false">IF(OR($G241="",$G241=0),"",IFERROR(ROUND($F241*$G241*(1-IF($H241="",0,$H241)),2),""))</f>
        <v/>
      </c>
      <c r="J241" s="7"/>
    </row>
    <row r="242" customFormat="false" ht="21.75" hidden="false" customHeight="true" outlineLevel="0" collapsed="false">
      <c r="B242" s="15" t="n">
        <v>232</v>
      </c>
      <c r="C242" s="9" t="s">
        <v>43</v>
      </c>
      <c r="D242" s="9" t="s">
        <v>70</v>
      </c>
      <c r="E242" s="9" t="s">
        <v>662</v>
      </c>
      <c r="F242" s="19" t="n">
        <f aca="false">IF('Base de Datos'!AB236="","",'Base de Datos'!AB236)</f>
        <v>14300</v>
      </c>
      <c r="G242" s="15"/>
      <c r="H242" s="28"/>
      <c r="I242" s="29" t="str">
        <f aca="false">IF(OR($G242="",$G242=0),"",IFERROR(ROUND($F242*$G242*(1-IF($H242="",0,$H242)),2),""))</f>
        <v/>
      </c>
      <c r="J242" s="9"/>
    </row>
    <row r="243" customFormat="false" ht="21.75" hidden="false" customHeight="true" outlineLevel="0" collapsed="false">
      <c r="B243" s="14" t="n">
        <v>233</v>
      </c>
      <c r="C243" s="7" t="s">
        <v>43</v>
      </c>
      <c r="D243" s="7" t="s">
        <v>71</v>
      </c>
      <c r="E243" s="7" t="s">
        <v>663</v>
      </c>
      <c r="F243" s="18" t="n">
        <f aca="false">IF('Base de Datos'!AB237="","",'Base de Datos'!AB237)</f>
        <v>750</v>
      </c>
      <c r="G243" s="14"/>
      <c r="H243" s="26"/>
      <c r="I243" s="27" t="str">
        <f aca="false">IF(OR($G243="",$G243=0),"",IFERROR(ROUND($F243*$G243*(1-IF($H243="",0,$H243)),2),""))</f>
        <v/>
      </c>
      <c r="J243" s="7"/>
    </row>
    <row r="244" customFormat="false" ht="21.75" hidden="false" customHeight="true" outlineLevel="0" collapsed="false">
      <c r="B244" s="15" t="n">
        <v>234</v>
      </c>
      <c r="C244" s="9" t="s">
        <v>43</v>
      </c>
      <c r="D244" s="9" t="s">
        <v>71</v>
      </c>
      <c r="E244" s="9" t="s">
        <v>666</v>
      </c>
      <c r="F244" s="19" t="n">
        <f aca="false">IF('Base de Datos'!AB238="","",'Base de Datos'!AB238)</f>
        <v>1125</v>
      </c>
      <c r="G244" s="15"/>
      <c r="H244" s="28"/>
      <c r="I244" s="29" t="str">
        <f aca="false">IF(OR($G244="",$G244=0),"",IFERROR(ROUND($F244*$G244*(1-IF($H244="",0,$H244)),2),""))</f>
        <v/>
      </c>
      <c r="J244" s="9"/>
    </row>
    <row r="245" customFormat="false" ht="21.75" hidden="false" customHeight="true" outlineLevel="0" collapsed="false">
      <c r="B245" s="14" t="n">
        <v>235</v>
      </c>
      <c r="C245" s="7" t="s">
        <v>43</v>
      </c>
      <c r="D245" s="7" t="s">
        <v>71</v>
      </c>
      <c r="E245" s="7" t="s">
        <v>667</v>
      </c>
      <c r="F245" s="18" t="n">
        <f aca="false">IF('Base de Datos'!AB239="","",'Base de Datos'!AB239)</f>
        <v>1500</v>
      </c>
      <c r="G245" s="14"/>
      <c r="H245" s="26"/>
      <c r="I245" s="27" t="str">
        <f aca="false">IF(OR($G245="",$G245=0),"",IFERROR(ROUND($F245*$G245*(1-IF($H245="",0,$H245)),2),""))</f>
        <v/>
      </c>
      <c r="J245" s="7"/>
    </row>
    <row r="246" customFormat="false" ht="21.75" hidden="false" customHeight="true" outlineLevel="0" collapsed="false">
      <c r="B246" s="15" t="n">
        <v>236</v>
      </c>
      <c r="C246" s="9" t="s">
        <v>43</v>
      </c>
      <c r="D246" s="9" t="s">
        <v>71</v>
      </c>
      <c r="E246" s="9" t="s">
        <v>669</v>
      </c>
      <c r="F246" s="19" t="n">
        <f aca="false">IF('Base de Datos'!AB240="","",'Base de Datos'!AB240)</f>
        <v>2250</v>
      </c>
      <c r="G246" s="15"/>
      <c r="H246" s="28"/>
      <c r="I246" s="29" t="str">
        <f aca="false">IF(OR($G246="",$G246=0),"",IFERROR(ROUND($F246*$G246*(1-IF($H246="",0,$H246)),2),""))</f>
        <v/>
      </c>
      <c r="J246" s="9"/>
    </row>
    <row r="247" customFormat="false" ht="21.75" hidden="false" customHeight="true" outlineLevel="0" collapsed="false">
      <c r="B247" s="14" t="n">
        <v>237</v>
      </c>
      <c r="C247" s="7" t="s">
        <v>43</v>
      </c>
      <c r="D247" s="7" t="s">
        <v>71</v>
      </c>
      <c r="E247" s="7" t="s">
        <v>670</v>
      </c>
      <c r="F247" s="18" t="n">
        <f aca="false">IF('Base de Datos'!AB241="","",'Base de Datos'!AB241)</f>
        <v>3300</v>
      </c>
      <c r="G247" s="14"/>
      <c r="H247" s="26"/>
      <c r="I247" s="27" t="str">
        <f aca="false">IF(OR($G247="",$G247=0),"",IFERROR(ROUND($F247*$G247*(1-IF($H247="",0,$H247)),2),""))</f>
        <v/>
      </c>
      <c r="J247" s="7"/>
    </row>
    <row r="248" customFormat="false" ht="21.75" hidden="false" customHeight="true" outlineLevel="0" collapsed="false">
      <c r="B248" s="15" t="n">
        <v>238</v>
      </c>
      <c r="C248" s="9" t="s">
        <v>43</v>
      </c>
      <c r="D248" s="9" t="s">
        <v>72</v>
      </c>
      <c r="E248" s="9" t="s">
        <v>321</v>
      </c>
      <c r="F248" s="19" t="str">
        <f aca="false">IF('Base de Datos'!AB242="","",'Base de Datos'!AB242)</f>
        <v/>
      </c>
      <c r="G248" s="15"/>
      <c r="H248" s="28"/>
      <c r="I248" s="29" t="str">
        <f aca="false">IF(OR($G248="",$G248=0),"",IFERROR(ROUND($F248*$G248*(1-IF($H248="",0,$H248)),2),""))</f>
        <v/>
      </c>
      <c r="J248" s="9"/>
    </row>
    <row r="249" customFormat="false" ht="21.75" hidden="false" customHeight="true" outlineLevel="0" collapsed="false">
      <c r="B249" s="14" t="n">
        <v>239</v>
      </c>
      <c r="C249" s="7" t="s">
        <v>43</v>
      </c>
      <c r="D249" s="7" t="s">
        <v>73</v>
      </c>
      <c r="E249" s="7" t="s">
        <v>604</v>
      </c>
      <c r="F249" s="18" t="n">
        <f aca="false">IF('Base de Datos'!AB243="","",'Base de Datos'!AB243)</f>
        <v>445</v>
      </c>
      <c r="G249" s="14"/>
      <c r="H249" s="26"/>
      <c r="I249" s="27" t="str">
        <f aca="false">IF(OR($G249="",$G249=0),"",IFERROR(ROUND($F249*$G249*(1-IF($H249="",0,$H249)),2),""))</f>
        <v/>
      </c>
      <c r="J249" s="7"/>
    </row>
    <row r="250" customFormat="false" ht="21.75" hidden="false" customHeight="true" outlineLevel="0" collapsed="false">
      <c r="B250" s="15" t="n">
        <v>240</v>
      </c>
      <c r="C250" s="9" t="s">
        <v>43</v>
      </c>
      <c r="D250" s="9" t="s">
        <v>73</v>
      </c>
      <c r="E250" s="9" t="s">
        <v>606</v>
      </c>
      <c r="F250" s="19" t="n">
        <f aca="false">IF('Base de Datos'!AB244="","",'Base de Datos'!AB244)</f>
        <v>670</v>
      </c>
      <c r="G250" s="15"/>
      <c r="H250" s="28"/>
      <c r="I250" s="29" t="str">
        <f aca="false">IF(OR($G250="",$G250=0),"",IFERROR(ROUND($F250*$G250*(1-IF($H250="",0,$H250)),2),""))</f>
        <v/>
      </c>
      <c r="J250" s="9"/>
    </row>
    <row r="251" customFormat="false" ht="21.75" hidden="false" customHeight="true" outlineLevel="0" collapsed="false">
      <c r="B251" s="14" t="n">
        <v>241</v>
      </c>
      <c r="C251" s="7" t="s">
        <v>43</v>
      </c>
      <c r="D251" s="7" t="s">
        <v>73</v>
      </c>
      <c r="E251" s="7" t="s">
        <v>674</v>
      </c>
      <c r="F251" s="18" t="n">
        <f aca="false">IF('Base de Datos'!AB245="","",'Base de Datos'!AB245)</f>
        <v>890</v>
      </c>
      <c r="G251" s="14"/>
      <c r="H251" s="26"/>
      <c r="I251" s="27" t="str">
        <f aca="false">IF(OR($G251="",$G251=0),"",IFERROR(ROUND($F251*$G251*(1-IF($H251="",0,$H251)),2),""))</f>
        <v/>
      </c>
      <c r="J251" s="7"/>
    </row>
    <row r="252" customFormat="false" ht="21.75" hidden="false" customHeight="true" outlineLevel="0" collapsed="false">
      <c r="B252" s="15" t="n">
        <v>242</v>
      </c>
      <c r="C252" s="9" t="s">
        <v>43</v>
      </c>
      <c r="D252" s="9" t="s">
        <v>73</v>
      </c>
      <c r="E252" s="9" t="s">
        <v>607</v>
      </c>
      <c r="F252" s="19" t="n">
        <f aca="false">IF('Base de Datos'!AB246="","",'Base de Datos'!AB246)</f>
        <v>1335</v>
      </c>
      <c r="G252" s="15"/>
      <c r="H252" s="28"/>
      <c r="I252" s="29" t="str">
        <f aca="false">IF(OR($G252="",$G252=0),"",IFERROR(ROUND($F252*$G252*(1-IF($H252="",0,$H252)),2),""))</f>
        <v/>
      </c>
      <c r="J252" s="9"/>
    </row>
    <row r="253" customFormat="false" ht="21.75" hidden="false" customHeight="true" outlineLevel="0" collapsed="false">
      <c r="B253" s="14" t="n">
        <v>243</v>
      </c>
      <c r="C253" s="7" t="s">
        <v>43</v>
      </c>
      <c r="D253" s="7" t="s">
        <v>73</v>
      </c>
      <c r="E253" s="7" t="s">
        <v>676</v>
      </c>
      <c r="F253" s="18" t="n">
        <f aca="false">IF('Base de Datos'!AB247="","",'Base de Datos'!AB247)</f>
        <v>1960</v>
      </c>
      <c r="G253" s="14"/>
      <c r="H253" s="26"/>
      <c r="I253" s="27" t="str">
        <f aca="false">IF(OR($G253="",$G253=0),"",IFERROR(ROUND($F253*$G253*(1-IF($H253="",0,$H253)),2),""))</f>
        <v/>
      </c>
      <c r="J253" s="7"/>
    </row>
    <row r="254" customFormat="false" ht="21.75" hidden="false" customHeight="true" outlineLevel="0" collapsed="false">
      <c r="B254" s="15" t="n">
        <v>244</v>
      </c>
      <c r="C254" s="9" t="s">
        <v>43</v>
      </c>
      <c r="D254" s="9" t="s">
        <v>74</v>
      </c>
      <c r="E254" s="9" t="s">
        <v>321</v>
      </c>
      <c r="F254" s="19" t="str">
        <f aca="false">IF('Base de Datos'!AB248="","",'Base de Datos'!AB248)</f>
        <v/>
      </c>
      <c r="G254" s="15"/>
      <c r="H254" s="28"/>
      <c r="I254" s="29" t="str">
        <f aca="false">IF(OR($G254="",$G254=0),"",IFERROR(ROUND($F254*$G254*(1-IF($H254="",0,$H254)),2),""))</f>
        <v/>
      </c>
      <c r="J254" s="9"/>
    </row>
    <row r="255" customFormat="false" ht="21.75" hidden="false" customHeight="true" outlineLevel="0" collapsed="false">
      <c r="B255" s="14" t="n">
        <v>245</v>
      </c>
      <c r="C255" s="7" t="s">
        <v>44</v>
      </c>
      <c r="D255" s="7" t="s">
        <v>61</v>
      </c>
      <c r="E255" s="7" t="s">
        <v>678</v>
      </c>
      <c r="F255" s="18" t="n">
        <f aca="false">IF('Base de Datos'!AB249="","",'Base de Datos'!AB249)</f>
        <v>345</v>
      </c>
      <c r="G255" s="14"/>
      <c r="H255" s="26"/>
      <c r="I255" s="27" t="str">
        <f aca="false">IF(OR($G255="",$G255=0),"",IFERROR(ROUND($F255*$G255*(1-IF($H255="",0,$H255)),2),""))</f>
        <v/>
      </c>
      <c r="J255" s="7"/>
    </row>
    <row r="256" customFormat="false" ht="21.75" hidden="false" customHeight="true" outlineLevel="0" collapsed="false">
      <c r="B256" s="15" t="n">
        <v>246</v>
      </c>
      <c r="C256" s="9" t="s">
        <v>44</v>
      </c>
      <c r="D256" s="9" t="s">
        <v>61</v>
      </c>
      <c r="E256" s="9" t="s">
        <v>685</v>
      </c>
      <c r="F256" s="19" t="n">
        <f aca="false">IF('Base de Datos'!AB250="","",'Base de Datos'!AB250)</f>
        <v>520</v>
      </c>
      <c r="G256" s="15"/>
      <c r="H256" s="28"/>
      <c r="I256" s="29" t="str">
        <f aca="false">IF(OR($G256="",$G256=0),"",IFERROR(ROUND($F256*$G256*(1-IF($H256="",0,$H256)),2),""))</f>
        <v/>
      </c>
      <c r="J256" s="9"/>
    </row>
    <row r="257" customFormat="false" ht="21.75" hidden="false" customHeight="true" outlineLevel="0" collapsed="false">
      <c r="B257" s="14" t="n">
        <v>247</v>
      </c>
      <c r="C257" s="7" t="s">
        <v>44</v>
      </c>
      <c r="D257" s="7" t="s">
        <v>61</v>
      </c>
      <c r="E257" s="7" t="s">
        <v>686</v>
      </c>
      <c r="F257" s="18" t="n">
        <f aca="false">IF('Base de Datos'!AB251="","",'Base de Datos'!AB251)</f>
        <v>690</v>
      </c>
      <c r="G257" s="14"/>
      <c r="H257" s="26"/>
      <c r="I257" s="27" t="str">
        <f aca="false">IF(OR($G257="",$G257=0),"",IFERROR(ROUND($F257*$G257*(1-IF($H257="",0,$H257)),2),""))</f>
        <v/>
      </c>
      <c r="J257" s="7"/>
    </row>
    <row r="258" customFormat="false" ht="21.75" hidden="false" customHeight="true" outlineLevel="0" collapsed="false">
      <c r="B258" s="15" t="n">
        <v>248</v>
      </c>
      <c r="C258" s="9" t="s">
        <v>44</v>
      </c>
      <c r="D258" s="9" t="s">
        <v>61</v>
      </c>
      <c r="E258" s="9" t="s">
        <v>688</v>
      </c>
      <c r="F258" s="19" t="n">
        <f aca="false">IF('Base de Datos'!AB252="","",'Base de Datos'!AB252)</f>
        <v>1035</v>
      </c>
      <c r="G258" s="15"/>
      <c r="H258" s="28"/>
      <c r="I258" s="29" t="str">
        <f aca="false">IF(OR($G258="",$G258=0),"",IFERROR(ROUND($F258*$G258*(1-IF($H258="",0,$H258)),2),""))</f>
        <v/>
      </c>
      <c r="J258" s="9"/>
    </row>
    <row r="259" customFormat="false" ht="21.75" hidden="false" customHeight="true" outlineLevel="0" collapsed="false">
      <c r="B259" s="14" t="n">
        <v>249</v>
      </c>
      <c r="C259" s="7" t="s">
        <v>44</v>
      </c>
      <c r="D259" s="7" t="s">
        <v>61</v>
      </c>
      <c r="E259" s="7" t="s">
        <v>689</v>
      </c>
      <c r="F259" s="18" t="n">
        <f aca="false">IF('Base de Datos'!AB253="","",'Base de Datos'!AB253)</f>
        <v>1520</v>
      </c>
      <c r="G259" s="14"/>
      <c r="H259" s="26"/>
      <c r="I259" s="27" t="str">
        <f aca="false">IF(OR($G259="",$G259=0),"",IFERROR(ROUND($F259*$G259*(1-IF($H259="",0,$H259)),2),""))</f>
        <v/>
      </c>
      <c r="J259" s="7"/>
    </row>
    <row r="260" customFormat="false" ht="21.75" hidden="false" customHeight="true" outlineLevel="0" collapsed="false">
      <c r="B260" s="15" t="n">
        <v>250</v>
      </c>
      <c r="C260" s="9" t="s">
        <v>44</v>
      </c>
      <c r="D260" s="9" t="s">
        <v>62</v>
      </c>
      <c r="E260" s="9" t="s">
        <v>690</v>
      </c>
      <c r="F260" s="19" t="n">
        <f aca="false">IF('Base de Datos'!AB254="","",'Base de Datos'!AB254)</f>
        <v>270</v>
      </c>
      <c r="G260" s="15"/>
      <c r="H260" s="28"/>
      <c r="I260" s="29" t="str">
        <f aca="false">IF(OR($G260="",$G260=0),"",IFERROR(ROUND($F260*$G260*(1-IF($H260="",0,$H260)),2),""))</f>
        <v/>
      </c>
      <c r="J260" s="9"/>
    </row>
    <row r="261" customFormat="false" ht="21.75" hidden="false" customHeight="true" outlineLevel="0" collapsed="false">
      <c r="B261" s="14" t="n">
        <v>251</v>
      </c>
      <c r="C261" s="7" t="s">
        <v>44</v>
      </c>
      <c r="D261" s="7" t="s">
        <v>62</v>
      </c>
      <c r="E261" s="7" t="s">
        <v>692</v>
      </c>
      <c r="F261" s="18" t="n">
        <f aca="false">IF('Base de Datos'!AB255="","",'Base de Datos'!AB255)</f>
        <v>405</v>
      </c>
      <c r="G261" s="14"/>
      <c r="H261" s="26"/>
      <c r="I261" s="27" t="str">
        <f aca="false">IF(OR($G261="",$G261=0),"",IFERROR(ROUND($F261*$G261*(1-IF($H261="",0,$H261)),2),""))</f>
        <v/>
      </c>
      <c r="J261" s="7"/>
    </row>
    <row r="262" customFormat="false" ht="21.75" hidden="false" customHeight="true" outlineLevel="0" collapsed="false">
      <c r="B262" s="15" t="n">
        <v>252</v>
      </c>
      <c r="C262" s="9" t="s">
        <v>44</v>
      </c>
      <c r="D262" s="9" t="s">
        <v>62</v>
      </c>
      <c r="E262" s="9" t="s">
        <v>693</v>
      </c>
      <c r="F262" s="19" t="n">
        <f aca="false">IF('Base de Datos'!AB256="","",'Base de Datos'!AB256)</f>
        <v>540</v>
      </c>
      <c r="G262" s="15"/>
      <c r="H262" s="28"/>
      <c r="I262" s="29" t="str">
        <f aca="false">IF(OR($G262="",$G262=0),"",IFERROR(ROUND($F262*$G262*(1-IF($H262="",0,$H262)),2),""))</f>
        <v/>
      </c>
      <c r="J262" s="9"/>
    </row>
    <row r="263" customFormat="false" ht="21.75" hidden="false" customHeight="true" outlineLevel="0" collapsed="false">
      <c r="B263" s="14" t="n">
        <v>253</v>
      </c>
      <c r="C263" s="7" t="s">
        <v>44</v>
      </c>
      <c r="D263" s="7" t="s">
        <v>62</v>
      </c>
      <c r="E263" s="7" t="s">
        <v>695</v>
      </c>
      <c r="F263" s="18" t="n">
        <f aca="false">IF('Base de Datos'!AB257="","",'Base de Datos'!AB257)</f>
        <v>810</v>
      </c>
      <c r="G263" s="14"/>
      <c r="H263" s="26"/>
      <c r="I263" s="27" t="str">
        <f aca="false">IF(OR($G263="",$G263=0),"",IFERROR(ROUND($F263*$G263*(1-IF($H263="",0,$H263)),2),""))</f>
        <v/>
      </c>
      <c r="J263" s="7"/>
    </row>
    <row r="264" customFormat="false" ht="21.75" hidden="false" customHeight="true" outlineLevel="0" collapsed="false">
      <c r="B264" s="15" t="n">
        <v>254</v>
      </c>
      <c r="C264" s="9" t="s">
        <v>44</v>
      </c>
      <c r="D264" s="9" t="s">
        <v>62</v>
      </c>
      <c r="E264" s="9" t="s">
        <v>696</v>
      </c>
      <c r="F264" s="19" t="n">
        <f aca="false">IF('Base de Datos'!AB258="","",'Base de Datos'!AB258)</f>
        <v>1190</v>
      </c>
      <c r="G264" s="15"/>
      <c r="H264" s="28"/>
      <c r="I264" s="29" t="str">
        <f aca="false">IF(OR($G264="",$G264=0),"",IFERROR(ROUND($F264*$G264*(1-IF($H264="",0,$H264)),2),""))</f>
        <v/>
      </c>
      <c r="J264" s="9"/>
    </row>
    <row r="265" customFormat="false" ht="21.75" hidden="false" customHeight="true" outlineLevel="0" collapsed="false">
      <c r="B265" s="14" t="n">
        <v>255</v>
      </c>
      <c r="C265" s="7" t="s">
        <v>44</v>
      </c>
      <c r="D265" s="7" t="s">
        <v>63</v>
      </c>
      <c r="E265" s="7" t="s">
        <v>697</v>
      </c>
      <c r="F265" s="18" t="n">
        <f aca="false">IF('Base de Datos'!AB259="","",'Base de Datos'!AB259)</f>
        <v>320</v>
      </c>
      <c r="G265" s="14"/>
      <c r="H265" s="26"/>
      <c r="I265" s="27" t="str">
        <f aca="false">IF(OR($G265="",$G265=0),"",IFERROR(ROUND($F265*$G265*(1-IF($H265="",0,$H265)),2),""))</f>
        <v/>
      </c>
      <c r="J265" s="7"/>
    </row>
    <row r="266" customFormat="false" ht="21.75" hidden="false" customHeight="true" outlineLevel="0" collapsed="false">
      <c r="B266" s="15" t="n">
        <v>256</v>
      </c>
      <c r="C266" s="9" t="s">
        <v>44</v>
      </c>
      <c r="D266" s="9" t="s">
        <v>63</v>
      </c>
      <c r="E266" s="9" t="s">
        <v>699</v>
      </c>
      <c r="F266" s="19" t="n">
        <f aca="false">IF('Base de Datos'!AB260="","",'Base de Datos'!AB260)</f>
        <v>480</v>
      </c>
      <c r="G266" s="15"/>
      <c r="H266" s="28"/>
      <c r="I266" s="29" t="str">
        <f aca="false">IF(OR($G266="",$G266=0),"",IFERROR(ROUND($F266*$G266*(1-IF($H266="",0,$H266)),2),""))</f>
        <v/>
      </c>
      <c r="J266" s="9"/>
    </row>
    <row r="267" customFormat="false" ht="21.75" hidden="false" customHeight="true" outlineLevel="0" collapsed="false">
      <c r="B267" s="14" t="n">
        <v>257</v>
      </c>
      <c r="C267" s="7" t="s">
        <v>44</v>
      </c>
      <c r="D267" s="7" t="s">
        <v>63</v>
      </c>
      <c r="E267" s="7" t="s">
        <v>700</v>
      </c>
      <c r="F267" s="18" t="n">
        <f aca="false">IF('Base de Datos'!AB261="","",'Base de Datos'!AB261)</f>
        <v>640</v>
      </c>
      <c r="G267" s="14"/>
      <c r="H267" s="26"/>
      <c r="I267" s="27" t="str">
        <f aca="false">IF(OR($G267="",$G267=0),"",IFERROR(ROUND($F267*$G267*(1-IF($H267="",0,$H267)),2),""))</f>
        <v/>
      </c>
      <c r="J267" s="7"/>
    </row>
    <row r="268" customFormat="false" ht="21.75" hidden="false" customHeight="true" outlineLevel="0" collapsed="false">
      <c r="B268" s="15" t="n">
        <v>258</v>
      </c>
      <c r="C268" s="9" t="s">
        <v>44</v>
      </c>
      <c r="D268" s="9" t="s">
        <v>63</v>
      </c>
      <c r="E268" s="9" t="s">
        <v>702</v>
      </c>
      <c r="F268" s="19" t="n">
        <f aca="false">IF('Base de Datos'!AB262="","",'Base de Datos'!AB262)</f>
        <v>960</v>
      </c>
      <c r="G268" s="15"/>
      <c r="H268" s="28"/>
      <c r="I268" s="29" t="str">
        <f aca="false">IF(OR($G268="",$G268=0),"",IFERROR(ROUND($F268*$G268*(1-IF($H268="",0,$H268)),2),""))</f>
        <v/>
      </c>
      <c r="J268" s="9"/>
    </row>
    <row r="269" customFormat="false" ht="21.75" hidden="false" customHeight="true" outlineLevel="0" collapsed="false">
      <c r="B269" s="14" t="n">
        <v>259</v>
      </c>
      <c r="C269" s="7" t="s">
        <v>44</v>
      </c>
      <c r="D269" s="7" t="s">
        <v>63</v>
      </c>
      <c r="E269" s="7" t="s">
        <v>703</v>
      </c>
      <c r="F269" s="18" t="n">
        <f aca="false">IF('Base de Datos'!AB263="","",'Base de Datos'!AB263)</f>
        <v>1410</v>
      </c>
      <c r="G269" s="14"/>
      <c r="H269" s="26"/>
      <c r="I269" s="27" t="str">
        <f aca="false">IF(OR($G269="",$G269=0),"",IFERROR(ROUND($F269*$G269*(1-IF($H269="",0,$H269)),2),""))</f>
        <v/>
      </c>
      <c r="J269" s="7"/>
    </row>
    <row r="270" customFormat="false" ht="21.75" hidden="false" customHeight="true" outlineLevel="0" collapsed="false">
      <c r="B270" s="15" t="n">
        <v>260</v>
      </c>
      <c r="C270" s="9" t="s">
        <v>44</v>
      </c>
      <c r="D270" s="9" t="s">
        <v>64</v>
      </c>
      <c r="E270" s="9" t="s">
        <v>704</v>
      </c>
      <c r="F270" s="19" t="n">
        <f aca="false">IF('Base de Datos'!AB264="","",'Base de Datos'!AB264)</f>
        <v>1900</v>
      </c>
      <c r="G270" s="15"/>
      <c r="H270" s="28"/>
      <c r="I270" s="29" t="str">
        <f aca="false">IF(OR($G270="",$G270=0),"",IFERROR(ROUND($F270*$G270*(1-IF($H270="",0,$H270)),2),""))</f>
        <v/>
      </c>
      <c r="J270" s="9"/>
    </row>
    <row r="271" customFormat="false" ht="21.75" hidden="false" customHeight="true" outlineLevel="0" collapsed="false">
      <c r="B271" s="14" t="n">
        <v>261</v>
      </c>
      <c r="C271" s="7" t="s">
        <v>44</v>
      </c>
      <c r="D271" s="7" t="s">
        <v>64</v>
      </c>
      <c r="E271" s="7" t="s">
        <v>710</v>
      </c>
      <c r="F271" s="18" t="n">
        <f aca="false">IF('Base de Datos'!AB265="","",'Base de Datos'!AB265)</f>
        <v>2850</v>
      </c>
      <c r="G271" s="14"/>
      <c r="H271" s="26"/>
      <c r="I271" s="27" t="str">
        <f aca="false">IF(OR($G271="",$G271=0),"",IFERROR(ROUND($F271*$G271*(1-IF($H271="",0,$H271)),2),""))</f>
        <v/>
      </c>
      <c r="J271" s="7"/>
    </row>
    <row r="272" customFormat="false" ht="21.75" hidden="false" customHeight="true" outlineLevel="0" collapsed="false">
      <c r="B272" s="15" t="n">
        <v>262</v>
      </c>
      <c r="C272" s="9" t="s">
        <v>44</v>
      </c>
      <c r="D272" s="9" t="s">
        <v>64</v>
      </c>
      <c r="E272" s="9" t="s">
        <v>711</v>
      </c>
      <c r="F272" s="19" t="n">
        <f aca="false">IF('Base de Datos'!AB266="","",'Base de Datos'!AB266)</f>
        <v>3800</v>
      </c>
      <c r="G272" s="15"/>
      <c r="H272" s="28"/>
      <c r="I272" s="29" t="str">
        <f aca="false">IF(OR($G272="",$G272=0),"",IFERROR(ROUND($F272*$G272*(1-IF($H272="",0,$H272)),2),""))</f>
        <v/>
      </c>
      <c r="J272" s="9"/>
    </row>
    <row r="273" customFormat="false" ht="21.75" hidden="false" customHeight="true" outlineLevel="0" collapsed="false">
      <c r="B273" s="14" t="n">
        <v>263</v>
      </c>
      <c r="C273" s="7" t="s">
        <v>44</v>
      </c>
      <c r="D273" s="7" t="s">
        <v>64</v>
      </c>
      <c r="E273" s="7" t="s">
        <v>713</v>
      </c>
      <c r="F273" s="18" t="n">
        <f aca="false">IF('Base de Datos'!AB267="","",'Base de Datos'!AB267)</f>
        <v>5700</v>
      </c>
      <c r="G273" s="14"/>
      <c r="H273" s="26"/>
      <c r="I273" s="27" t="str">
        <f aca="false">IF(OR($G273="",$G273=0),"",IFERROR(ROUND($F273*$G273*(1-IF($H273="",0,$H273)),2),""))</f>
        <v/>
      </c>
      <c r="J273" s="7"/>
    </row>
    <row r="274" customFormat="false" ht="21.75" hidden="false" customHeight="true" outlineLevel="0" collapsed="false">
      <c r="B274" s="15" t="n">
        <v>264</v>
      </c>
      <c r="C274" s="9" t="s">
        <v>44</v>
      </c>
      <c r="D274" s="9" t="s">
        <v>64</v>
      </c>
      <c r="E274" s="9" t="s">
        <v>714</v>
      </c>
      <c r="F274" s="19" t="n">
        <f aca="false">IF('Base de Datos'!AB268="","",'Base de Datos'!AB268)</f>
        <v>8360</v>
      </c>
      <c r="G274" s="15"/>
      <c r="H274" s="28"/>
      <c r="I274" s="29" t="str">
        <f aca="false">IF(OR($G274="",$G274=0),"",IFERROR(ROUND($F274*$G274*(1-IF($H274="",0,$H274)),2),""))</f>
        <v/>
      </c>
      <c r="J274" s="9"/>
    </row>
    <row r="275" customFormat="false" ht="21.75" hidden="false" customHeight="true" outlineLevel="0" collapsed="false">
      <c r="B275" s="14" t="n">
        <v>265</v>
      </c>
      <c r="C275" s="7" t="s">
        <v>44</v>
      </c>
      <c r="D275" s="7" t="s">
        <v>65</v>
      </c>
      <c r="E275" s="7" t="s">
        <v>715</v>
      </c>
      <c r="F275" s="18" t="n">
        <f aca="false">IF('Base de Datos'!AB269="","",'Base de Datos'!AB269)</f>
        <v>1050</v>
      </c>
      <c r="G275" s="14"/>
      <c r="H275" s="26"/>
      <c r="I275" s="27" t="str">
        <f aca="false">IF(OR($G275="",$G275=0),"",IFERROR(ROUND($F275*$G275*(1-IF($H275="",0,$H275)),2),""))</f>
        <v/>
      </c>
      <c r="J275" s="7"/>
    </row>
    <row r="276" customFormat="false" ht="21.75" hidden="false" customHeight="true" outlineLevel="0" collapsed="false">
      <c r="B276" s="15" t="n">
        <v>266</v>
      </c>
      <c r="C276" s="9" t="s">
        <v>44</v>
      </c>
      <c r="D276" s="9" t="s">
        <v>65</v>
      </c>
      <c r="E276" s="9" t="s">
        <v>717</v>
      </c>
      <c r="F276" s="19" t="n">
        <f aca="false">IF('Base de Datos'!AB270="","",'Base de Datos'!AB270)</f>
        <v>1575</v>
      </c>
      <c r="G276" s="15"/>
      <c r="H276" s="28"/>
      <c r="I276" s="29" t="str">
        <f aca="false">IF(OR($G276="",$G276=0),"",IFERROR(ROUND($F276*$G276*(1-IF($H276="",0,$H276)),2),""))</f>
        <v/>
      </c>
      <c r="J276" s="9"/>
    </row>
    <row r="277" customFormat="false" ht="21.75" hidden="false" customHeight="true" outlineLevel="0" collapsed="false">
      <c r="B277" s="14" t="n">
        <v>267</v>
      </c>
      <c r="C277" s="7" t="s">
        <v>44</v>
      </c>
      <c r="D277" s="7" t="s">
        <v>65</v>
      </c>
      <c r="E277" s="7" t="s">
        <v>718</v>
      </c>
      <c r="F277" s="18" t="n">
        <f aca="false">IF('Base de Datos'!AB271="","",'Base de Datos'!AB271)</f>
        <v>2100</v>
      </c>
      <c r="G277" s="14"/>
      <c r="H277" s="26"/>
      <c r="I277" s="27" t="str">
        <f aca="false">IF(OR($G277="",$G277=0),"",IFERROR(ROUND($F277*$G277*(1-IF($H277="",0,$H277)),2),""))</f>
        <v/>
      </c>
      <c r="J277" s="7"/>
    </row>
    <row r="278" customFormat="false" ht="21.75" hidden="false" customHeight="true" outlineLevel="0" collapsed="false">
      <c r="B278" s="15" t="n">
        <v>268</v>
      </c>
      <c r="C278" s="9" t="s">
        <v>44</v>
      </c>
      <c r="D278" s="9" t="s">
        <v>65</v>
      </c>
      <c r="E278" s="9" t="s">
        <v>720</v>
      </c>
      <c r="F278" s="19" t="n">
        <f aca="false">IF('Base de Datos'!AB272="","",'Base de Datos'!AB272)</f>
        <v>3150</v>
      </c>
      <c r="G278" s="15"/>
      <c r="H278" s="28"/>
      <c r="I278" s="29" t="str">
        <f aca="false">IF(OR($G278="",$G278=0),"",IFERROR(ROUND($F278*$G278*(1-IF($H278="",0,$H278)),2),""))</f>
        <v/>
      </c>
      <c r="J278" s="9"/>
    </row>
    <row r="279" customFormat="false" ht="21.75" hidden="false" customHeight="true" outlineLevel="0" collapsed="false">
      <c r="B279" s="14" t="n">
        <v>269</v>
      </c>
      <c r="C279" s="7" t="s">
        <v>44</v>
      </c>
      <c r="D279" s="7" t="s">
        <v>65</v>
      </c>
      <c r="E279" s="7" t="s">
        <v>721</v>
      </c>
      <c r="F279" s="18" t="n">
        <f aca="false">IF('Base de Datos'!AB273="","",'Base de Datos'!AB273)</f>
        <v>4620</v>
      </c>
      <c r="G279" s="14"/>
      <c r="H279" s="26"/>
      <c r="I279" s="27" t="str">
        <f aca="false">IF(OR($G279="",$G279=0),"",IFERROR(ROUND($F279*$G279*(1-IF($H279="",0,$H279)),2),""))</f>
        <v/>
      </c>
      <c r="J279" s="7"/>
    </row>
    <row r="280" customFormat="false" ht="21.75" hidden="false" customHeight="true" outlineLevel="0" collapsed="false">
      <c r="B280" s="15" t="n">
        <v>270</v>
      </c>
      <c r="C280" s="9" t="s">
        <v>44</v>
      </c>
      <c r="D280" s="9" t="s">
        <v>66</v>
      </c>
      <c r="E280" s="9" t="s">
        <v>321</v>
      </c>
      <c r="F280" s="19" t="str">
        <f aca="false">IF('Base de Datos'!AB274="","",'Base de Datos'!AB274)</f>
        <v/>
      </c>
      <c r="G280" s="15"/>
      <c r="H280" s="28"/>
      <c r="I280" s="29" t="str">
        <f aca="false">IF(OR($G280="",$G280=0),"",IFERROR(ROUND($F280*$G280*(1-IF($H280="",0,$H280)),2),""))</f>
        <v/>
      </c>
      <c r="J280" s="9"/>
    </row>
    <row r="281" customFormat="false" ht="21.75" hidden="false" customHeight="true" outlineLevel="0" collapsed="false">
      <c r="B281" s="14" t="n">
        <v>271</v>
      </c>
      <c r="C281" s="7" t="s">
        <v>44</v>
      </c>
      <c r="D281" s="7" t="s">
        <v>67</v>
      </c>
      <c r="E281" s="7" t="s">
        <v>723</v>
      </c>
      <c r="F281" s="18" t="n">
        <f aca="false">IF('Base de Datos'!AB275="","",'Base de Datos'!AB275)</f>
        <v>475</v>
      </c>
      <c r="G281" s="14"/>
      <c r="H281" s="26"/>
      <c r="I281" s="27" t="str">
        <f aca="false">IF(OR($G281="",$G281=0),"",IFERROR(ROUND($F281*$G281*(1-IF($H281="",0,$H281)),2),""))</f>
        <v/>
      </c>
      <c r="J281" s="7"/>
    </row>
    <row r="282" customFormat="false" ht="21.75" hidden="false" customHeight="true" outlineLevel="0" collapsed="false">
      <c r="B282" s="15" t="n">
        <v>272</v>
      </c>
      <c r="C282" s="9" t="s">
        <v>44</v>
      </c>
      <c r="D282" s="9" t="s">
        <v>67</v>
      </c>
      <c r="E282" s="9" t="s">
        <v>726</v>
      </c>
      <c r="F282" s="19" t="n">
        <f aca="false">IF('Base de Datos'!AB276="","",'Base de Datos'!AB276)</f>
        <v>710</v>
      </c>
      <c r="G282" s="15"/>
      <c r="H282" s="28"/>
      <c r="I282" s="29" t="str">
        <f aca="false">IF(OR($G282="",$G282=0),"",IFERROR(ROUND($F282*$G282*(1-IF($H282="",0,$H282)),2),""))</f>
        <v/>
      </c>
      <c r="J282" s="9"/>
    </row>
    <row r="283" customFormat="false" ht="21.75" hidden="false" customHeight="true" outlineLevel="0" collapsed="false">
      <c r="B283" s="14" t="n">
        <v>273</v>
      </c>
      <c r="C283" s="7" t="s">
        <v>44</v>
      </c>
      <c r="D283" s="7" t="s">
        <v>67</v>
      </c>
      <c r="E283" s="7" t="s">
        <v>727</v>
      </c>
      <c r="F283" s="18" t="n">
        <f aca="false">IF('Base de Datos'!AB277="","",'Base de Datos'!AB277)</f>
        <v>950</v>
      </c>
      <c r="G283" s="14"/>
      <c r="H283" s="26"/>
      <c r="I283" s="27" t="str">
        <f aca="false">IF(OR($G283="",$G283=0),"",IFERROR(ROUND($F283*$G283*(1-IF($H283="",0,$H283)),2),""))</f>
        <v/>
      </c>
      <c r="J283" s="7"/>
    </row>
    <row r="284" customFormat="false" ht="21.75" hidden="false" customHeight="true" outlineLevel="0" collapsed="false">
      <c r="B284" s="15" t="n">
        <v>274</v>
      </c>
      <c r="C284" s="9" t="s">
        <v>44</v>
      </c>
      <c r="D284" s="9" t="s">
        <v>67</v>
      </c>
      <c r="E284" s="9" t="s">
        <v>729</v>
      </c>
      <c r="F284" s="19" t="n">
        <f aca="false">IF('Base de Datos'!AB278="","",'Base de Datos'!AB278)</f>
        <v>1425</v>
      </c>
      <c r="G284" s="15"/>
      <c r="H284" s="28"/>
      <c r="I284" s="29" t="str">
        <f aca="false">IF(OR($G284="",$G284=0),"",IFERROR(ROUND($F284*$G284*(1-IF($H284="",0,$H284)),2),""))</f>
        <v/>
      </c>
      <c r="J284" s="9"/>
    </row>
    <row r="285" customFormat="false" ht="21.75" hidden="false" customHeight="true" outlineLevel="0" collapsed="false">
      <c r="B285" s="14" t="n">
        <v>275</v>
      </c>
      <c r="C285" s="7" t="s">
        <v>44</v>
      </c>
      <c r="D285" s="7" t="s">
        <v>67</v>
      </c>
      <c r="E285" s="7" t="s">
        <v>730</v>
      </c>
      <c r="F285" s="18" t="n">
        <f aca="false">IF('Base de Datos'!AB279="","",'Base de Datos'!AB279)</f>
        <v>2090</v>
      </c>
      <c r="G285" s="14"/>
      <c r="H285" s="26"/>
      <c r="I285" s="27" t="str">
        <f aca="false">IF(OR($G285="",$G285=0),"",IFERROR(ROUND($F285*$G285*(1-IF($H285="",0,$H285)),2),""))</f>
        <v/>
      </c>
      <c r="J285" s="7"/>
    </row>
    <row r="286" customFormat="false" ht="21.75" hidden="false" customHeight="true" outlineLevel="0" collapsed="false">
      <c r="B286" s="15" t="n">
        <v>276</v>
      </c>
      <c r="C286" s="9" t="s">
        <v>44</v>
      </c>
      <c r="D286" s="9" t="s">
        <v>68</v>
      </c>
      <c r="E286" s="9" t="s">
        <v>731</v>
      </c>
      <c r="F286" s="19" t="n">
        <f aca="false">IF('Base de Datos'!AB280="","",'Base de Datos'!AB280)</f>
        <v>2100</v>
      </c>
      <c r="G286" s="15"/>
      <c r="H286" s="28"/>
      <c r="I286" s="29" t="str">
        <f aca="false">IF(OR($G286="",$G286=0),"",IFERROR(ROUND($F286*$G286*(1-IF($H286="",0,$H286)),2),""))</f>
        <v/>
      </c>
      <c r="J286" s="9"/>
    </row>
    <row r="287" customFormat="false" ht="21.75" hidden="false" customHeight="true" outlineLevel="0" collapsed="false">
      <c r="B287" s="14" t="n">
        <v>277</v>
      </c>
      <c r="C287" s="7" t="s">
        <v>44</v>
      </c>
      <c r="D287" s="7" t="s">
        <v>68</v>
      </c>
      <c r="E287" s="7" t="s">
        <v>736</v>
      </c>
      <c r="F287" s="18" t="n">
        <f aca="false">IF('Base de Datos'!AB281="","",'Base de Datos'!AB281)</f>
        <v>3150</v>
      </c>
      <c r="G287" s="14"/>
      <c r="H287" s="26"/>
      <c r="I287" s="27" t="str">
        <f aca="false">IF(OR($G287="",$G287=0),"",IFERROR(ROUND($F287*$G287*(1-IF($H287="",0,$H287)),2),""))</f>
        <v/>
      </c>
      <c r="J287" s="7"/>
    </row>
    <row r="288" customFormat="false" ht="21.75" hidden="false" customHeight="true" outlineLevel="0" collapsed="false">
      <c r="B288" s="15" t="n">
        <v>278</v>
      </c>
      <c r="C288" s="9" t="s">
        <v>44</v>
      </c>
      <c r="D288" s="9" t="s">
        <v>68</v>
      </c>
      <c r="E288" s="9" t="s">
        <v>737</v>
      </c>
      <c r="F288" s="19" t="n">
        <f aca="false">IF('Base de Datos'!AB282="","",'Base de Datos'!AB282)</f>
        <v>4200</v>
      </c>
      <c r="G288" s="15"/>
      <c r="H288" s="28"/>
      <c r="I288" s="29" t="str">
        <f aca="false">IF(OR($G288="",$G288=0),"",IFERROR(ROUND($F288*$G288*(1-IF($H288="",0,$H288)),2),""))</f>
        <v/>
      </c>
      <c r="J288" s="9"/>
    </row>
    <row r="289" customFormat="false" ht="21.75" hidden="false" customHeight="true" outlineLevel="0" collapsed="false">
      <c r="B289" s="14" t="n">
        <v>279</v>
      </c>
      <c r="C289" s="7" t="s">
        <v>44</v>
      </c>
      <c r="D289" s="7" t="s">
        <v>68</v>
      </c>
      <c r="E289" s="7" t="s">
        <v>739</v>
      </c>
      <c r="F289" s="18" t="n">
        <f aca="false">IF('Base de Datos'!AB283="","",'Base de Datos'!AB283)</f>
        <v>6300</v>
      </c>
      <c r="G289" s="14"/>
      <c r="H289" s="26"/>
      <c r="I289" s="27" t="str">
        <f aca="false">IF(OR($G289="",$G289=0),"",IFERROR(ROUND($F289*$G289*(1-IF($H289="",0,$H289)),2),""))</f>
        <v/>
      </c>
      <c r="J289" s="7"/>
    </row>
    <row r="290" customFormat="false" ht="21.75" hidden="false" customHeight="true" outlineLevel="0" collapsed="false">
      <c r="B290" s="15" t="n">
        <v>280</v>
      </c>
      <c r="C290" s="9" t="s">
        <v>44</v>
      </c>
      <c r="D290" s="9" t="s">
        <v>68</v>
      </c>
      <c r="E290" s="9" t="s">
        <v>740</v>
      </c>
      <c r="F290" s="19" t="n">
        <f aca="false">IF('Base de Datos'!AB284="","",'Base de Datos'!AB284)</f>
        <v>9240</v>
      </c>
      <c r="G290" s="15"/>
      <c r="H290" s="28"/>
      <c r="I290" s="29" t="str">
        <f aca="false">IF(OR($G290="",$G290=0),"",IFERROR(ROUND($F290*$G290*(1-IF($H290="",0,$H290)),2),""))</f>
        <v/>
      </c>
      <c r="J290" s="9"/>
    </row>
    <row r="291" customFormat="false" ht="21.75" hidden="false" customHeight="true" outlineLevel="0" collapsed="false">
      <c r="B291" s="14" t="n">
        <v>281</v>
      </c>
      <c r="C291" s="7" t="s">
        <v>44</v>
      </c>
      <c r="D291" s="7" t="s">
        <v>69</v>
      </c>
      <c r="E291" s="7" t="s">
        <v>321</v>
      </c>
      <c r="F291" s="18" t="str">
        <f aca="false">IF('Base de Datos'!AB285="","",'Base de Datos'!AB285)</f>
        <v/>
      </c>
      <c r="G291" s="14"/>
      <c r="H291" s="26"/>
      <c r="I291" s="27" t="str">
        <f aca="false">IF(OR($G291="",$G291=0),"",IFERROR(ROUND($F291*$G291*(1-IF($H291="",0,$H291)),2),""))</f>
        <v/>
      </c>
      <c r="J291" s="7"/>
    </row>
    <row r="292" customFormat="false" ht="21.75" hidden="false" customHeight="true" outlineLevel="0" collapsed="false">
      <c r="B292" s="15" t="n">
        <v>282</v>
      </c>
      <c r="C292" s="9" t="s">
        <v>44</v>
      </c>
      <c r="D292" s="9" t="s">
        <v>70</v>
      </c>
      <c r="E292" s="9" t="s">
        <v>742</v>
      </c>
      <c r="F292" s="19" t="n">
        <f aca="false">IF('Base de Datos'!AB286="","",'Base de Datos'!AB286)</f>
        <v>2900</v>
      </c>
      <c r="G292" s="15"/>
      <c r="H292" s="28"/>
      <c r="I292" s="29" t="str">
        <f aca="false">IF(OR($G292="",$G292=0),"",IFERROR(ROUND($F292*$G292*(1-IF($H292="",0,$H292)),2),""))</f>
        <v/>
      </c>
      <c r="J292" s="9"/>
    </row>
    <row r="293" customFormat="false" ht="21.75" hidden="false" customHeight="true" outlineLevel="0" collapsed="false">
      <c r="B293" s="14" t="n">
        <v>283</v>
      </c>
      <c r="C293" s="7" t="s">
        <v>44</v>
      </c>
      <c r="D293" s="7" t="s">
        <v>70</v>
      </c>
      <c r="E293" s="7" t="s">
        <v>747</v>
      </c>
      <c r="F293" s="18" t="n">
        <f aca="false">IF('Base de Datos'!AB287="","",'Base de Datos'!AB287)</f>
        <v>4350</v>
      </c>
      <c r="G293" s="14"/>
      <c r="H293" s="26"/>
      <c r="I293" s="27" t="str">
        <f aca="false">IF(OR($G293="",$G293=0),"",IFERROR(ROUND($F293*$G293*(1-IF($H293="",0,$H293)),2),""))</f>
        <v/>
      </c>
      <c r="J293" s="7"/>
    </row>
    <row r="294" customFormat="false" ht="21.75" hidden="false" customHeight="true" outlineLevel="0" collapsed="false">
      <c r="B294" s="15" t="n">
        <v>284</v>
      </c>
      <c r="C294" s="9" t="s">
        <v>44</v>
      </c>
      <c r="D294" s="9" t="s">
        <v>70</v>
      </c>
      <c r="E294" s="9" t="s">
        <v>748</v>
      </c>
      <c r="F294" s="19" t="n">
        <f aca="false">IF('Base de Datos'!AB288="","",'Base de Datos'!AB288)</f>
        <v>5800</v>
      </c>
      <c r="G294" s="15"/>
      <c r="H294" s="28"/>
      <c r="I294" s="29" t="str">
        <f aca="false">IF(OR($G294="",$G294=0),"",IFERROR(ROUND($F294*$G294*(1-IF($H294="",0,$H294)),2),""))</f>
        <v/>
      </c>
      <c r="J294" s="9"/>
    </row>
    <row r="295" customFormat="false" ht="21.75" hidden="false" customHeight="true" outlineLevel="0" collapsed="false">
      <c r="B295" s="14" t="n">
        <v>285</v>
      </c>
      <c r="C295" s="7" t="s">
        <v>44</v>
      </c>
      <c r="D295" s="7" t="s">
        <v>70</v>
      </c>
      <c r="E295" s="7" t="s">
        <v>750</v>
      </c>
      <c r="F295" s="18" t="n">
        <f aca="false">IF('Base de Datos'!AB289="","",'Base de Datos'!AB289)</f>
        <v>8700</v>
      </c>
      <c r="G295" s="14"/>
      <c r="H295" s="26"/>
      <c r="I295" s="27" t="str">
        <f aca="false">IF(OR($G295="",$G295=0),"",IFERROR(ROUND($F295*$G295*(1-IF($H295="",0,$H295)),2),""))</f>
        <v/>
      </c>
      <c r="J295" s="7"/>
    </row>
    <row r="296" customFormat="false" ht="21.75" hidden="false" customHeight="true" outlineLevel="0" collapsed="false">
      <c r="B296" s="15" t="n">
        <v>286</v>
      </c>
      <c r="C296" s="9" t="s">
        <v>44</v>
      </c>
      <c r="D296" s="9" t="s">
        <v>70</v>
      </c>
      <c r="E296" s="9" t="s">
        <v>751</v>
      </c>
      <c r="F296" s="19" t="n">
        <f aca="false">IF('Base de Datos'!AB290="","",'Base de Datos'!AB290)</f>
        <v>12760</v>
      </c>
      <c r="G296" s="15"/>
      <c r="H296" s="28"/>
      <c r="I296" s="29" t="str">
        <f aca="false">IF(OR($G296="",$G296=0),"",IFERROR(ROUND($F296*$G296*(1-IF($H296="",0,$H296)),2),""))</f>
        <v/>
      </c>
      <c r="J296" s="9"/>
    </row>
    <row r="297" customFormat="false" ht="21.75" hidden="false" customHeight="true" outlineLevel="0" collapsed="false">
      <c r="B297" s="14" t="n">
        <v>287</v>
      </c>
      <c r="C297" s="7" t="s">
        <v>44</v>
      </c>
      <c r="D297" s="7" t="s">
        <v>71</v>
      </c>
      <c r="E297" s="7" t="s">
        <v>321</v>
      </c>
      <c r="F297" s="18" t="str">
        <f aca="false">IF('Base de Datos'!AB291="","",'Base de Datos'!AB291)</f>
        <v/>
      </c>
      <c r="G297" s="14"/>
      <c r="H297" s="26"/>
      <c r="I297" s="27" t="str">
        <f aca="false">IF(OR($G297="",$G297=0),"",IFERROR(ROUND($F297*$G297*(1-IF($H297="",0,$H297)),2),""))</f>
        <v/>
      </c>
      <c r="J297" s="7"/>
    </row>
    <row r="298" customFormat="false" ht="21.75" hidden="false" customHeight="true" outlineLevel="0" collapsed="false">
      <c r="B298" s="15" t="n">
        <v>288</v>
      </c>
      <c r="C298" s="9" t="s">
        <v>44</v>
      </c>
      <c r="D298" s="9" t="s">
        <v>72</v>
      </c>
      <c r="E298" s="9" t="s">
        <v>321</v>
      </c>
      <c r="F298" s="19" t="str">
        <f aca="false">IF('Base de Datos'!AB292="","",'Base de Datos'!AB292)</f>
        <v/>
      </c>
      <c r="G298" s="15"/>
      <c r="H298" s="28"/>
      <c r="I298" s="29" t="str">
        <f aca="false">IF(OR($G298="",$G298=0),"",IFERROR(ROUND($F298*$G298*(1-IF($H298="",0,$H298)),2),""))</f>
        <v/>
      </c>
      <c r="J298" s="9"/>
    </row>
    <row r="299" customFormat="false" ht="21.75" hidden="false" customHeight="true" outlineLevel="0" collapsed="false">
      <c r="B299" s="14" t="n">
        <v>289</v>
      </c>
      <c r="C299" s="7" t="s">
        <v>44</v>
      </c>
      <c r="D299" s="7" t="s">
        <v>73</v>
      </c>
      <c r="E299" s="7" t="s">
        <v>754</v>
      </c>
      <c r="F299" s="18" t="n">
        <f aca="false">IF('Base de Datos'!AB293="","",'Base de Datos'!AB293)</f>
        <v>360</v>
      </c>
      <c r="G299" s="14"/>
      <c r="H299" s="26"/>
      <c r="I299" s="27" t="str">
        <f aca="false">IF(OR($G299="",$G299=0),"",IFERROR(ROUND($F299*$G299*(1-IF($H299="",0,$H299)),2),""))</f>
        <v/>
      </c>
      <c r="J299" s="7"/>
    </row>
    <row r="300" customFormat="false" ht="21.75" hidden="false" customHeight="true" outlineLevel="0" collapsed="false">
      <c r="B300" s="15" t="n">
        <v>290</v>
      </c>
      <c r="C300" s="9" t="s">
        <v>44</v>
      </c>
      <c r="D300" s="9" t="s">
        <v>73</v>
      </c>
      <c r="E300" s="9" t="s">
        <v>756</v>
      </c>
      <c r="F300" s="19" t="n">
        <f aca="false">IF('Base de Datos'!AB294="","",'Base de Datos'!AB294)</f>
        <v>540</v>
      </c>
      <c r="G300" s="15"/>
      <c r="H300" s="28"/>
      <c r="I300" s="29" t="str">
        <f aca="false">IF(OR($G300="",$G300=0),"",IFERROR(ROUND($F300*$G300*(1-IF($H300="",0,$H300)),2),""))</f>
        <v/>
      </c>
      <c r="J300" s="9"/>
    </row>
    <row r="301" customFormat="false" ht="21.75" hidden="false" customHeight="true" outlineLevel="0" collapsed="false">
      <c r="B301" s="14" t="n">
        <v>291</v>
      </c>
      <c r="C301" s="7" t="s">
        <v>44</v>
      </c>
      <c r="D301" s="7" t="s">
        <v>73</v>
      </c>
      <c r="E301" s="7" t="s">
        <v>757</v>
      </c>
      <c r="F301" s="18" t="n">
        <f aca="false">IF('Base de Datos'!AB295="","",'Base de Datos'!AB295)</f>
        <v>720</v>
      </c>
      <c r="G301" s="14"/>
      <c r="H301" s="26"/>
      <c r="I301" s="27" t="str">
        <f aca="false">IF(OR($G301="",$G301=0),"",IFERROR(ROUND($F301*$G301*(1-IF($H301="",0,$H301)),2),""))</f>
        <v/>
      </c>
      <c r="J301" s="7"/>
    </row>
    <row r="302" customFormat="false" ht="21.75" hidden="false" customHeight="true" outlineLevel="0" collapsed="false">
      <c r="B302" s="15" t="n">
        <v>292</v>
      </c>
      <c r="C302" s="9" t="s">
        <v>44</v>
      </c>
      <c r="D302" s="9" t="s">
        <v>73</v>
      </c>
      <c r="E302" s="9" t="s">
        <v>759</v>
      </c>
      <c r="F302" s="19" t="n">
        <f aca="false">IF('Base de Datos'!AB296="","",'Base de Datos'!AB296)</f>
        <v>1080</v>
      </c>
      <c r="G302" s="15"/>
      <c r="H302" s="28"/>
      <c r="I302" s="29" t="str">
        <f aca="false">IF(OR($G302="",$G302=0),"",IFERROR(ROUND($F302*$G302*(1-IF($H302="",0,$H302)),2),""))</f>
        <v/>
      </c>
      <c r="J302" s="9"/>
    </row>
    <row r="303" customFormat="false" ht="21.75" hidden="false" customHeight="true" outlineLevel="0" collapsed="false">
      <c r="B303" s="14" t="n">
        <v>293</v>
      </c>
      <c r="C303" s="7" t="s">
        <v>44</v>
      </c>
      <c r="D303" s="7" t="s">
        <v>73</v>
      </c>
      <c r="E303" s="7" t="s">
        <v>760</v>
      </c>
      <c r="F303" s="18" t="n">
        <f aca="false">IF('Base de Datos'!AB297="","",'Base de Datos'!AB297)</f>
        <v>1585</v>
      </c>
      <c r="G303" s="14"/>
      <c r="H303" s="26"/>
      <c r="I303" s="27" t="str">
        <f aca="false">IF(OR($G303="",$G303=0),"",IFERROR(ROUND($F303*$G303*(1-IF($H303="",0,$H303)),2),""))</f>
        <v/>
      </c>
      <c r="J303" s="7"/>
    </row>
    <row r="304" customFormat="false" ht="21.75" hidden="false" customHeight="true" outlineLevel="0" collapsed="false">
      <c r="B304" s="15" t="n">
        <v>294</v>
      </c>
      <c r="C304" s="9" t="s">
        <v>44</v>
      </c>
      <c r="D304" s="9" t="s">
        <v>74</v>
      </c>
      <c r="E304" s="9" t="s">
        <v>321</v>
      </c>
      <c r="F304" s="19" t="str">
        <f aca="false">IF('Base de Datos'!AB298="","",'Base de Datos'!AB298)</f>
        <v/>
      </c>
      <c r="G304" s="15"/>
      <c r="H304" s="28"/>
      <c r="I304" s="29" t="str">
        <f aca="false">IF(OR($G304="",$G304=0),"",IFERROR(ROUND($F304*$G304*(1-IF($H304="",0,$H304)),2),""))</f>
        <v/>
      </c>
      <c r="J304" s="9"/>
    </row>
    <row r="305" customFormat="false" ht="21.75" hidden="false" customHeight="true" outlineLevel="0" collapsed="false">
      <c r="B305" s="14" t="n">
        <v>295</v>
      </c>
      <c r="C305" s="7" t="s">
        <v>45</v>
      </c>
      <c r="D305" s="7" t="s">
        <v>61</v>
      </c>
      <c r="E305" s="7" t="s">
        <v>762</v>
      </c>
      <c r="F305" s="18" t="n">
        <f aca="false">IF('Base de Datos'!AB299="","",'Base de Datos'!AB299)</f>
        <v>160</v>
      </c>
      <c r="G305" s="14"/>
      <c r="H305" s="26"/>
      <c r="I305" s="27" t="str">
        <f aca="false">IF(OR($G305="",$G305=0),"",IFERROR(ROUND($F305*$G305*(1-IF($H305="",0,$H305)),2),""))</f>
        <v/>
      </c>
      <c r="J305" s="7"/>
    </row>
    <row r="306" customFormat="false" ht="21.75" hidden="false" customHeight="true" outlineLevel="0" collapsed="false">
      <c r="B306" s="15" t="n">
        <v>296</v>
      </c>
      <c r="C306" s="9" t="s">
        <v>45</v>
      </c>
      <c r="D306" s="9" t="s">
        <v>61</v>
      </c>
      <c r="E306" s="9" t="s">
        <v>766</v>
      </c>
      <c r="F306" s="19" t="n">
        <f aca="false">IF('Base de Datos'!AB300="","",'Base de Datos'!AB300)</f>
        <v>240</v>
      </c>
      <c r="G306" s="15"/>
      <c r="H306" s="28"/>
      <c r="I306" s="29" t="str">
        <f aca="false">IF(OR($G306="",$G306=0),"",IFERROR(ROUND($F306*$G306*(1-IF($H306="",0,$H306)),2),""))</f>
        <v/>
      </c>
      <c r="J306" s="9"/>
    </row>
    <row r="307" customFormat="false" ht="21.75" hidden="false" customHeight="true" outlineLevel="0" collapsed="false">
      <c r="B307" s="14" t="n">
        <v>297</v>
      </c>
      <c r="C307" s="7" t="s">
        <v>45</v>
      </c>
      <c r="D307" s="7" t="s">
        <v>61</v>
      </c>
      <c r="E307" s="7" t="s">
        <v>767</v>
      </c>
      <c r="F307" s="18" t="n">
        <f aca="false">IF('Base de Datos'!AB301="","",'Base de Datos'!AB301)</f>
        <v>320</v>
      </c>
      <c r="G307" s="14"/>
      <c r="H307" s="26"/>
      <c r="I307" s="27" t="str">
        <f aca="false">IF(OR($G307="",$G307=0),"",IFERROR(ROUND($F307*$G307*(1-IF($H307="",0,$H307)),2),""))</f>
        <v/>
      </c>
      <c r="J307" s="7"/>
    </row>
    <row r="308" customFormat="false" ht="21.75" hidden="false" customHeight="true" outlineLevel="0" collapsed="false">
      <c r="B308" s="15" t="n">
        <v>298</v>
      </c>
      <c r="C308" s="9" t="s">
        <v>45</v>
      </c>
      <c r="D308" s="9" t="s">
        <v>61</v>
      </c>
      <c r="E308" s="9" t="s">
        <v>769</v>
      </c>
      <c r="F308" s="19" t="n">
        <f aca="false">IF('Base de Datos'!AB302="","",'Base de Datos'!AB302)</f>
        <v>480</v>
      </c>
      <c r="G308" s="15"/>
      <c r="H308" s="28"/>
      <c r="I308" s="29" t="str">
        <f aca="false">IF(OR($G308="",$G308=0),"",IFERROR(ROUND($F308*$G308*(1-IF($H308="",0,$H308)),2),""))</f>
        <v/>
      </c>
      <c r="J308" s="9"/>
    </row>
    <row r="309" customFormat="false" ht="21.75" hidden="false" customHeight="true" outlineLevel="0" collapsed="false">
      <c r="B309" s="14" t="n">
        <v>299</v>
      </c>
      <c r="C309" s="7" t="s">
        <v>45</v>
      </c>
      <c r="D309" s="7" t="s">
        <v>61</v>
      </c>
      <c r="E309" s="7" t="s">
        <v>770</v>
      </c>
      <c r="F309" s="18" t="n">
        <f aca="false">IF('Base de Datos'!AB303="","",'Base de Datos'!AB303)</f>
        <v>705</v>
      </c>
      <c r="G309" s="14"/>
      <c r="H309" s="26"/>
      <c r="I309" s="27" t="str">
        <f aca="false">IF(OR($G309="",$G309=0),"",IFERROR(ROUND($F309*$G309*(1-IF($H309="",0,$H309)),2),""))</f>
        <v/>
      </c>
      <c r="J309" s="7"/>
    </row>
    <row r="310" customFormat="false" ht="21.75" hidden="false" customHeight="true" outlineLevel="0" collapsed="false">
      <c r="B310" s="15" t="n">
        <v>300</v>
      </c>
      <c r="C310" s="9" t="s">
        <v>45</v>
      </c>
      <c r="D310" s="9" t="s">
        <v>62</v>
      </c>
      <c r="E310" s="9" t="s">
        <v>771</v>
      </c>
      <c r="F310" s="19" t="n">
        <f aca="false">IF('Base de Datos'!AB304="","",'Base de Datos'!AB304)</f>
        <v>120</v>
      </c>
      <c r="G310" s="15"/>
      <c r="H310" s="28"/>
      <c r="I310" s="29" t="str">
        <f aca="false">IF(OR($G310="",$G310=0),"",IFERROR(ROUND($F310*$G310*(1-IF($H310="",0,$H310)),2),""))</f>
        <v/>
      </c>
      <c r="J310" s="9"/>
    </row>
    <row r="311" customFormat="false" ht="21.75" hidden="false" customHeight="true" outlineLevel="0" collapsed="false">
      <c r="B311" s="14" t="n">
        <v>301</v>
      </c>
      <c r="C311" s="7" t="s">
        <v>45</v>
      </c>
      <c r="D311" s="7" t="s">
        <v>62</v>
      </c>
      <c r="E311" s="7" t="s">
        <v>774</v>
      </c>
      <c r="F311" s="18" t="n">
        <f aca="false">IF('Base de Datos'!AB305="","",'Base de Datos'!AB305)</f>
        <v>180</v>
      </c>
      <c r="G311" s="14"/>
      <c r="H311" s="26"/>
      <c r="I311" s="27" t="str">
        <f aca="false">IF(OR($G311="",$G311=0),"",IFERROR(ROUND($F311*$G311*(1-IF($H311="",0,$H311)),2),""))</f>
        <v/>
      </c>
      <c r="J311" s="7"/>
    </row>
    <row r="312" customFormat="false" ht="21.75" hidden="false" customHeight="true" outlineLevel="0" collapsed="false">
      <c r="B312" s="15" t="n">
        <v>302</v>
      </c>
      <c r="C312" s="9" t="s">
        <v>45</v>
      </c>
      <c r="D312" s="9" t="s">
        <v>62</v>
      </c>
      <c r="E312" s="9" t="s">
        <v>767</v>
      </c>
      <c r="F312" s="19" t="n">
        <f aca="false">IF('Base de Datos'!AB306="","",'Base de Datos'!AB306)</f>
        <v>240</v>
      </c>
      <c r="G312" s="15"/>
      <c r="H312" s="28"/>
      <c r="I312" s="29" t="str">
        <f aca="false">IF(OR($G312="",$G312=0),"",IFERROR(ROUND($F312*$G312*(1-IF($H312="",0,$H312)),2),""))</f>
        <v/>
      </c>
      <c r="J312" s="9"/>
    </row>
    <row r="313" customFormat="false" ht="21.75" hidden="false" customHeight="true" outlineLevel="0" collapsed="false">
      <c r="B313" s="14" t="n">
        <v>303</v>
      </c>
      <c r="C313" s="7" t="s">
        <v>45</v>
      </c>
      <c r="D313" s="7" t="s">
        <v>62</v>
      </c>
      <c r="E313" s="7" t="s">
        <v>776</v>
      </c>
      <c r="F313" s="18" t="n">
        <f aca="false">IF('Base de Datos'!AB307="","",'Base de Datos'!AB307)</f>
        <v>360</v>
      </c>
      <c r="G313" s="14"/>
      <c r="H313" s="26"/>
      <c r="I313" s="27" t="str">
        <f aca="false">IF(OR($G313="",$G313=0),"",IFERROR(ROUND($F313*$G313*(1-IF($H313="",0,$H313)),2),""))</f>
        <v/>
      </c>
      <c r="J313" s="7"/>
    </row>
    <row r="314" customFormat="false" ht="21.75" hidden="false" customHeight="true" outlineLevel="0" collapsed="false">
      <c r="B314" s="15" t="n">
        <v>304</v>
      </c>
      <c r="C314" s="9" t="s">
        <v>45</v>
      </c>
      <c r="D314" s="9" t="s">
        <v>62</v>
      </c>
      <c r="E314" s="9" t="s">
        <v>770</v>
      </c>
      <c r="F314" s="19" t="n">
        <f aca="false">IF('Base de Datos'!AB308="","",'Base de Datos'!AB308)</f>
        <v>530</v>
      </c>
      <c r="G314" s="15"/>
      <c r="H314" s="28"/>
      <c r="I314" s="29" t="str">
        <f aca="false">IF(OR($G314="",$G314=0),"",IFERROR(ROUND($F314*$G314*(1-IF($H314="",0,$H314)),2),""))</f>
        <v/>
      </c>
      <c r="J314" s="9"/>
    </row>
    <row r="315" customFormat="false" ht="21.75" hidden="false" customHeight="true" outlineLevel="0" collapsed="false">
      <c r="B315" s="14" t="n">
        <v>305</v>
      </c>
      <c r="C315" s="7" t="s">
        <v>45</v>
      </c>
      <c r="D315" s="7" t="s">
        <v>63</v>
      </c>
      <c r="E315" s="7" t="s">
        <v>777</v>
      </c>
      <c r="F315" s="18" t="n">
        <f aca="false">IF('Base de Datos'!AB309="","",'Base de Datos'!AB309)</f>
        <v>150</v>
      </c>
      <c r="G315" s="14"/>
      <c r="H315" s="26"/>
      <c r="I315" s="27" t="str">
        <f aca="false">IF(OR($G315="",$G315=0),"",IFERROR(ROUND($F315*$G315*(1-IF($H315="",0,$H315)),2),""))</f>
        <v/>
      </c>
      <c r="J315" s="7"/>
    </row>
    <row r="316" customFormat="false" ht="21.75" hidden="false" customHeight="true" outlineLevel="0" collapsed="false">
      <c r="B316" s="15" t="n">
        <v>306</v>
      </c>
      <c r="C316" s="9" t="s">
        <v>45</v>
      </c>
      <c r="D316" s="9" t="s">
        <v>63</v>
      </c>
      <c r="E316" s="9" t="s">
        <v>779</v>
      </c>
      <c r="F316" s="19" t="n">
        <f aca="false">IF('Base de Datos'!AB310="","",'Base de Datos'!AB310)</f>
        <v>225</v>
      </c>
      <c r="G316" s="15"/>
      <c r="H316" s="28"/>
      <c r="I316" s="29" t="str">
        <f aca="false">IF(OR($G316="",$G316=0),"",IFERROR(ROUND($F316*$G316*(1-IF($H316="",0,$H316)),2),""))</f>
        <v/>
      </c>
      <c r="J316" s="9"/>
    </row>
    <row r="317" customFormat="false" ht="21.75" hidden="false" customHeight="true" outlineLevel="0" collapsed="false">
      <c r="B317" s="14" t="n">
        <v>307</v>
      </c>
      <c r="C317" s="7" t="s">
        <v>45</v>
      </c>
      <c r="D317" s="7" t="s">
        <v>63</v>
      </c>
      <c r="E317" s="7" t="s">
        <v>769</v>
      </c>
      <c r="F317" s="18" t="n">
        <f aca="false">IF('Base de Datos'!AB311="","",'Base de Datos'!AB311)</f>
        <v>300</v>
      </c>
      <c r="G317" s="14"/>
      <c r="H317" s="26"/>
      <c r="I317" s="27" t="str">
        <f aca="false">IF(OR($G317="",$G317=0),"",IFERROR(ROUND($F317*$G317*(1-IF($H317="",0,$H317)),2),""))</f>
        <v/>
      </c>
      <c r="J317" s="7"/>
    </row>
    <row r="318" customFormat="false" ht="21.75" hidden="false" customHeight="true" outlineLevel="0" collapsed="false">
      <c r="B318" s="15" t="n">
        <v>308</v>
      </c>
      <c r="C318" s="9" t="s">
        <v>45</v>
      </c>
      <c r="D318" s="9" t="s">
        <v>63</v>
      </c>
      <c r="E318" s="9" t="s">
        <v>780</v>
      </c>
      <c r="F318" s="19" t="n">
        <f aca="false">IF('Base de Datos'!AB312="","",'Base de Datos'!AB312)</f>
        <v>450</v>
      </c>
      <c r="G318" s="15"/>
      <c r="H318" s="28"/>
      <c r="I318" s="29" t="str">
        <f aca="false">IF(OR($G318="",$G318=0),"",IFERROR(ROUND($F318*$G318*(1-IF($H318="",0,$H318)),2),""))</f>
        <v/>
      </c>
      <c r="J318" s="9"/>
    </row>
    <row r="319" customFormat="false" ht="21.75" hidden="false" customHeight="true" outlineLevel="0" collapsed="false">
      <c r="B319" s="14" t="n">
        <v>309</v>
      </c>
      <c r="C319" s="7" t="s">
        <v>45</v>
      </c>
      <c r="D319" s="7" t="s">
        <v>63</v>
      </c>
      <c r="E319" s="7" t="s">
        <v>781</v>
      </c>
      <c r="F319" s="18" t="n">
        <f aca="false">IF('Base de Datos'!AB313="","",'Base de Datos'!AB313)</f>
        <v>660</v>
      </c>
      <c r="G319" s="14"/>
      <c r="H319" s="26"/>
      <c r="I319" s="27" t="str">
        <f aca="false">IF(OR($G319="",$G319=0),"",IFERROR(ROUND($F319*$G319*(1-IF($H319="",0,$H319)),2),""))</f>
        <v/>
      </c>
      <c r="J319" s="7"/>
    </row>
    <row r="320" customFormat="false" ht="21.75" hidden="false" customHeight="true" outlineLevel="0" collapsed="false">
      <c r="B320" s="15" t="n">
        <v>310</v>
      </c>
      <c r="C320" s="9" t="s">
        <v>45</v>
      </c>
      <c r="D320" s="9" t="s">
        <v>64</v>
      </c>
      <c r="E320" s="9" t="s">
        <v>782</v>
      </c>
      <c r="F320" s="19" t="n">
        <f aca="false">IF('Base de Datos'!AB314="","",'Base de Datos'!AB314)</f>
        <v>700</v>
      </c>
      <c r="G320" s="15"/>
      <c r="H320" s="28"/>
      <c r="I320" s="29" t="str">
        <f aca="false">IF(OR($G320="",$G320=0),"",IFERROR(ROUND($F320*$G320*(1-IF($H320="",0,$H320)),2),""))</f>
        <v/>
      </c>
      <c r="J320" s="9"/>
    </row>
    <row r="321" customFormat="false" ht="21.75" hidden="false" customHeight="true" outlineLevel="0" collapsed="false">
      <c r="B321" s="14" t="n">
        <v>311</v>
      </c>
      <c r="C321" s="7" t="s">
        <v>45</v>
      </c>
      <c r="D321" s="7" t="s">
        <v>64</v>
      </c>
      <c r="E321" s="7" t="s">
        <v>786</v>
      </c>
      <c r="F321" s="18" t="n">
        <f aca="false">IF('Base de Datos'!AB315="","",'Base de Datos'!AB315)</f>
        <v>1050</v>
      </c>
      <c r="G321" s="14"/>
      <c r="H321" s="26"/>
      <c r="I321" s="27" t="str">
        <f aca="false">IF(OR($G321="",$G321=0),"",IFERROR(ROUND($F321*$G321*(1-IF($H321="",0,$H321)),2),""))</f>
        <v/>
      </c>
      <c r="J321" s="7"/>
    </row>
    <row r="322" customFormat="false" ht="21.75" hidden="false" customHeight="true" outlineLevel="0" collapsed="false">
      <c r="B322" s="15" t="n">
        <v>312</v>
      </c>
      <c r="C322" s="9" t="s">
        <v>45</v>
      </c>
      <c r="D322" s="9" t="s">
        <v>64</v>
      </c>
      <c r="E322" s="9" t="s">
        <v>787</v>
      </c>
      <c r="F322" s="19" t="n">
        <f aca="false">IF('Base de Datos'!AB316="","",'Base de Datos'!AB316)</f>
        <v>1400</v>
      </c>
      <c r="G322" s="15"/>
      <c r="H322" s="28"/>
      <c r="I322" s="29" t="str">
        <f aca="false">IF(OR($G322="",$G322=0),"",IFERROR(ROUND($F322*$G322*(1-IF($H322="",0,$H322)),2),""))</f>
        <v/>
      </c>
      <c r="J322" s="9"/>
    </row>
    <row r="323" customFormat="false" ht="21.75" hidden="false" customHeight="true" outlineLevel="0" collapsed="false">
      <c r="B323" s="14" t="n">
        <v>313</v>
      </c>
      <c r="C323" s="7" t="s">
        <v>45</v>
      </c>
      <c r="D323" s="7" t="s">
        <v>64</v>
      </c>
      <c r="E323" s="7" t="s">
        <v>789</v>
      </c>
      <c r="F323" s="18" t="n">
        <f aca="false">IF('Base de Datos'!AB317="","",'Base de Datos'!AB317)</f>
        <v>2100</v>
      </c>
      <c r="G323" s="14"/>
      <c r="H323" s="26"/>
      <c r="I323" s="27" t="str">
        <f aca="false">IF(OR($G323="",$G323=0),"",IFERROR(ROUND($F323*$G323*(1-IF($H323="",0,$H323)),2),""))</f>
        <v/>
      </c>
      <c r="J323" s="7"/>
    </row>
    <row r="324" customFormat="false" ht="21.75" hidden="false" customHeight="true" outlineLevel="0" collapsed="false">
      <c r="B324" s="15" t="n">
        <v>314</v>
      </c>
      <c r="C324" s="9" t="s">
        <v>45</v>
      </c>
      <c r="D324" s="9" t="s">
        <v>64</v>
      </c>
      <c r="E324" s="9" t="s">
        <v>790</v>
      </c>
      <c r="F324" s="19" t="n">
        <f aca="false">IF('Base de Datos'!AB318="","",'Base de Datos'!AB318)</f>
        <v>3080</v>
      </c>
      <c r="G324" s="15"/>
      <c r="H324" s="28"/>
      <c r="I324" s="29" t="str">
        <f aca="false">IF(OR($G324="",$G324=0),"",IFERROR(ROUND($F324*$G324*(1-IF($H324="",0,$H324)),2),""))</f>
        <v/>
      </c>
      <c r="J324" s="9"/>
    </row>
    <row r="325" customFormat="false" ht="21.75" hidden="false" customHeight="true" outlineLevel="0" collapsed="false">
      <c r="B325" s="14" t="n">
        <v>315</v>
      </c>
      <c r="C325" s="7" t="s">
        <v>45</v>
      </c>
      <c r="D325" s="7" t="s">
        <v>65</v>
      </c>
      <c r="E325" s="7" t="s">
        <v>321</v>
      </c>
      <c r="F325" s="18" t="str">
        <f aca="false">IF('Base de Datos'!AB319="","",'Base de Datos'!AB319)</f>
        <v/>
      </c>
      <c r="G325" s="14"/>
      <c r="H325" s="26"/>
      <c r="I325" s="27" t="str">
        <f aca="false">IF(OR($G325="",$G325=0),"",IFERROR(ROUND($F325*$G325*(1-IF($H325="",0,$H325)),2),""))</f>
        <v/>
      </c>
      <c r="J325" s="7"/>
    </row>
    <row r="326" customFormat="false" ht="21.75" hidden="false" customHeight="true" outlineLevel="0" collapsed="false">
      <c r="B326" s="15" t="n">
        <v>316</v>
      </c>
      <c r="C326" s="9" t="s">
        <v>45</v>
      </c>
      <c r="D326" s="9" t="s">
        <v>66</v>
      </c>
      <c r="E326" s="9" t="s">
        <v>792</v>
      </c>
      <c r="F326" s="19" t="n">
        <f aca="false">IF('Base de Datos'!AB320="","",'Base de Datos'!AB320)</f>
        <v>140</v>
      </c>
      <c r="G326" s="15"/>
      <c r="H326" s="28"/>
      <c r="I326" s="29" t="str">
        <f aca="false">IF(OR($G326="",$G326=0),"",IFERROR(ROUND($F326*$G326*(1-IF($H326="",0,$H326)),2),""))</f>
        <v/>
      </c>
      <c r="J326" s="9"/>
    </row>
    <row r="327" customFormat="false" ht="21.75" hidden="false" customHeight="true" outlineLevel="0" collapsed="false">
      <c r="B327" s="14" t="n">
        <v>317</v>
      </c>
      <c r="C327" s="7" t="s">
        <v>45</v>
      </c>
      <c r="D327" s="7" t="s">
        <v>66</v>
      </c>
      <c r="E327" s="7" t="s">
        <v>794</v>
      </c>
      <c r="F327" s="18" t="n">
        <f aca="false">IF('Base de Datos'!AB321="","",'Base de Datos'!AB321)</f>
        <v>210</v>
      </c>
      <c r="G327" s="14"/>
      <c r="H327" s="26"/>
      <c r="I327" s="27" t="str">
        <f aca="false">IF(OR($G327="",$G327=0),"",IFERROR(ROUND($F327*$G327*(1-IF($H327="",0,$H327)),2),""))</f>
        <v/>
      </c>
      <c r="J327" s="7"/>
    </row>
    <row r="328" customFormat="false" ht="21.75" hidden="false" customHeight="true" outlineLevel="0" collapsed="false">
      <c r="B328" s="15" t="n">
        <v>318</v>
      </c>
      <c r="C328" s="9" t="s">
        <v>45</v>
      </c>
      <c r="D328" s="9" t="s">
        <v>66</v>
      </c>
      <c r="E328" s="9" t="s">
        <v>795</v>
      </c>
      <c r="F328" s="19" t="n">
        <f aca="false">IF('Base de Datos'!AB322="","",'Base de Datos'!AB322)</f>
        <v>280</v>
      </c>
      <c r="G328" s="15"/>
      <c r="H328" s="28"/>
      <c r="I328" s="29" t="str">
        <f aca="false">IF(OR($G328="",$G328=0),"",IFERROR(ROUND($F328*$G328*(1-IF($H328="",0,$H328)),2),""))</f>
        <v/>
      </c>
      <c r="J328" s="9"/>
    </row>
    <row r="329" customFormat="false" ht="21.75" hidden="false" customHeight="true" outlineLevel="0" collapsed="false">
      <c r="B329" s="14" t="n">
        <v>319</v>
      </c>
      <c r="C329" s="7" t="s">
        <v>45</v>
      </c>
      <c r="D329" s="7" t="s">
        <v>66</v>
      </c>
      <c r="E329" s="7" t="s">
        <v>796</v>
      </c>
      <c r="F329" s="18" t="n">
        <f aca="false">IF('Base de Datos'!AB323="","",'Base de Datos'!AB323)</f>
        <v>420</v>
      </c>
      <c r="G329" s="14"/>
      <c r="H329" s="26"/>
      <c r="I329" s="27" t="str">
        <f aca="false">IF(OR($G329="",$G329=0),"",IFERROR(ROUND($F329*$G329*(1-IF($H329="",0,$H329)),2),""))</f>
        <v/>
      </c>
      <c r="J329" s="7"/>
    </row>
    <row r="330" customFormat="false" ht="21.75" hidden="false" customHeight="true" outlineLevel="0" collapsed="false">
      <c r="B330" s="15" t="n">
        <v>320</v>
      </c>
      <c r="C330" s="9" t="s">
        <v>45</v>
      </c>
      <c r="D330" s="9" t="s">
        <v>66</v>
      </c>
      <c r="E330" s="9" t="s">
        <v>770</v>
      </c>
      <c r="F330" s="19" t="n">
        <f aca="false">IF('Base de Datos'!AB324="","",'Base de Datos'!AB324)</f>
        <v>615</v>
      </c>
      <c r="G330" s="15"/>
      <c r="H330" s="28"/>
      <c r="I330" s="29" t="str">
        <f aca="false">IF(OR($G330="",$G330=0),"",IFERROR(ROUND($F330*$G330*(1-IF($H330="",0,$H330)),2),""))</f>
        <v/>
      </c>
      <c r="J330" s="9"/>
    </row>
    <row r="331" customFormat="false" ht="21.75" hidden="false" customHeight="true" outlineLevel="0" collapsed="false">
      <c r="B331" s="14" t="n">
        <v>321</v>
      </c>
      <c r="C331" s="7" t="s">
        <v>45</v>
      </c>
      <c r="D331" s="7" t="s">
        <v>67</v>
      </c>
      <c r="E331" s="7" t="s">
        <v>321</v>
      </c>
      <c r="F331" s="18" t="str">
        <f aca="false">IF('Base de Datos'!AB325="","",'Base de Datos'!AB325)</f>
        <v/>
      </c>
      <c r="G331" s="14"/>
      <c r="H331" s="26"/>
      <c r="I331" s="27" t="str">
        <f aca="false">IF(OR($G331="",$G331=0),"",IFERROR(ROUND($F331*$G331*(1-IF($H331="",0,$H331)),2),""))</f>
        <v/>
      </c>
      <c r="J331" s="7"/>
    </row>
    <row r="332" customFormat="false" ht="21.75" hidden="false" customHeight="true" outlineLevel="0" collapsed="false">
      <c r="B332" s="15" t="n">
        <v>322</v>
      </c>
      <c r="C332" s="9" t="s">
        <v>45</v>
      </c>
      <c r="D332" s="9" t="s">
        <v>68</v>
      </c>
      <c r="E332" s="9" t="s">
        <v>321</v>
      </c>
      <c r="F332" s="19" t="str">
        <f aca="false">IF('Base de Datos'!AB326="","",'Base de Datos'!AB326)</f>
        <v/>
      </c>
      <c r="G332" s="15"/>
      <c r="H332" s="28"/>
      <c r="I332" s="29" t="str">
        <f aca="false">IF(OR($G332="",$G332=0),"",IFERROR(ROUND($F332*$G332*(1-IF($H332="",0,$H332)),2),""))</f>
        <v/>
      </c>
      <c r="J332" s="9"/>
    </row>
    <row r="333" customFormat="false" ht="21.75" hidden="false" customHeight="true" outlineLevel="0" collapsed="false">
      <c r="B333" s="14" t="n">
        <v>323</v>
      </c>
      <c r="C333" s="7" t="s">
        <v>45</v>
      </c>
      <c r="D333" s="7" t="s">
        <v>69</v>
      </c>
      <c r="E333" s="7" t="s">
        <v>321</v>
      </c>
      <c r="F333" s="18" t="str">
        <f aca="false">IF('Base de Datos'!AB327="","",'Base de Datos'!AB327)</f>
        <v/>
      </c>
      <c r="G333" s="14"/>
      <c r="H333" s="26"/>
      <c r="I333" s="27" t="str">
        <f aca="false">IF(OR($G333="",$G333=0),"",IFERROR(ROUND($F333*$G333*(1-IF($H333="",0,$H333)),2),""))</f>
        <v/>
      </c>
      <c r="J333" s="7"/>
    </row>
    <row r="334" customFormat="false" ht="21.75" hidden="false" customHeight="true" outlineLevel="0" collapsed="false">
      <c r="B334" s="15" t="n">
        <v>324</v>
      </c>
      <c r="C334" s="9" t="s">
        <v>45</v>
      </c>
      <c r="D334" s="9" t="s">
        <v>70</v>
      </c>
      <c r="E334" s="9" t="s">
        <v>321</v>
      </c>
      <c r="F334" s="19" t="str">
        <f aca="false">IF('Base de Datos'!AB328="","",'Base de Datos'!AB328)</f>
        <v/>
      </c>
      <c r="G334" s="15"/>
      <c r="H334" s="28"/>
      <c r="I334" s="29" t="str">
        <f aca="false">IF(OR($G334="",$G334=0),"",IFERROR(ROUND($F334*$G334*(1-IF($H334="",0,$H334)),2),""))</f>
        <v/>
      </c>
      <c r="J334" s="9"/>
    </row>
    <row r="335" customFormat="false" ht="21.75" hidden="false" customHeight="true" outlineLevel="0" collapsed="false">
      <c r="B335" s="14" t="n">
        <v>325</v>
      </c>
      <c r="C335" s="7" t="s">
        <v>45</v>
      </c>
      <c r="D335" s="7" t="s">
        <v>71</v>
      </c>
      <c r="E335" s="7" t="s">
        <v>321</v>
      </c>
      <c r="F335" s="18" t="str">
        <f aca="false">IF('Base de Datos'!AB329="","",'Base de Datos'!AB329)</f>
        <v/>
      </c>
      <c r="G335" s="14"/>
      <c r="H335" s="26"/>
      <c r="I335" s="27" t="str">
        <f aca="false">IF(OR($G335="",$G335=0),"",IFERROR(ROUND($F335*$G335*(1-IF($H335="",0,$H335)),2),""))</f>
        <v/>
      </c>
      <c r="J335" s="7"/>
    </row>
    <row r="336" customFormat="false" ht="21.75" hidden="false" customHeight="true" outlineLevel="0" collapsed="false">
      <c r="B336" s="15" t="n">
        <v>326</v>
      </c>
      <c r="C336" s="9" t="s">
        <v>45</v>
      </c>
      <c r="D336" s="9" t="s">
        <v>72</v>
      </c>
      <c r="E336" s="9" t="s">
        <v>321</v>
      </c>
      <c r="F336" s="19" t="str">
        <f aca="false">IF('Base de Datos'!AB330="","",'Base de Datos'!AB330)</f>
        <v/>
      </c>
      <c r="G336" s="15"/>
      <c r="H336" s="28"/>
      <c r="I336" s="29" t="str">
        <f aca="false">IF(OR($G336="",$G336=0),"",IFERROR(ROUND($F336*$G336*(1-IF($H336="",0,$H336)),2),""))</f>
        <v/>
      </c>
      <c r="J336" s="9"/>
    </row>
    <row r="337" customFormat="false" ht="21.75" hidden="false" customHeight="true" outlineLevel="0" collapsed="false">
      <c r="B337" s="14" t="n">
        <v>327</v>
      </c>
      <c r="C337" s="7" t="s">
        <v>45</v>
      </c>
      <c r="D337" s="7" t="s">
        <v>73</v>
      </c>
      <c r="E337" s="7" t="s">
        <v>770</v>
      </c>
      <c r="F337" s="18" t="n">
        <f aca="false">IF('Base de Datos'!AB331="","",'Base de Datos'!AB331)</f>
        <v>165</v>
      </c>
      <c r="G337" s="14"/>
      <c r="H337" s="26"/>
      <c r="I337" s="27" t="str">
        <f aca="false">IF(OR($G337="",$G337=0),"",IFERROR(ROUND($F337*$G337*(1-IF($H337="",0,$H337)),2),""))</f>
        <v/>
      </c>
      <c r="J337" s="7"/>
    </row>
    <row r="338" customFormat="false" ht="21.75" hidden="false" customHeight="true" outlineLevel="0" collapsed="false">
      <c r="B338" s="15" t="n">
        <v>328</v>
      </c>
      <c r="C338" s="9" t="s">
        <v>45</v>
      </c>
      <c r="D338" s="9" t="s">
        <v>73</v>
      </c>
      <c r="E338" s="9" t="s">
        <v>780</v>
      </c>
      <c r="F338" s="19" t="n">
        <f aca="false">IF('Base de Datos'!AB332="","",'Base de Datos'!AB332)</f>
        <v>250</v>
      </c>
      <c r="G338" s="15"/>
      <c r="H338" s="28"/>
      <c r="I338" s="29" t="str">
        <f aca="false">IF(OR($G338="",$G338=0),"",IFERROR(ROUND($F338*$G338*(1-IF($H338="",0,$H338)),2),""))</f>
        <v/>
      </c>
      <c r="J338" s="9"/>
    </row>
    <row r="339" customFormat="false" ht="21.75" hidden="false" customHeight="true" outlineLevel="0" collapsed="false">
      <c r="B339" s="14" t="n">
        <v>329</v>
      </c>
      <c r="C339" s="7" t="s">
        <v>45</v>
      </c>
      <c r="D339" s="7" t="s">
        <v>73</v>
      </c>
      <c r="E339" s="7" t="s">
        <v>804</v>
      </c>
      <c r="F339" s="18" t="n">
        <f aca="false">IF('Base de Datos'!AB333="","",'Base de Datos'!AB333)</f>
        <v>330</v>
      </c>
      <c r="G339" s="14"/>
      <c r="H339" s="26"/>
      <c r="I339" s="27" t="str">
        <f aca="false">IF(OR($G339="",$G339=0),"",IFERROR(ROUND($F339*$G339*(1-IF($H339="",0,$H339)),2),""))</f>
        <v/>
      </c>
      <c r="J339" s="7"/>
    </row>
    <row r="340" customFormat="false" ht="21.75" hidden="false" customHeight="true" outlineLevel="0" collapsed="false">
      <c r="B340" s="15" t="n">
        <v>330</v>
      </c>
      <c r="C340" s="9" t="s">
        <v>45</v>
      </c>
      <c r="D340" s="9" t="s">
        <v>73</v>
      </c>
      <c r="E340" s="9" t="s">
        <v>806</v>
      </c>
      <c r="F340" s="19" t="n">
        <f aca="false">IF('Base de Datos'!AB334="","",'Base de Datos'!AB334)</f>
        <v>495</v>
      </c>
      <c r="G340" s="15"/>
      <c r="H340" s="28"/>
      <c r="I340" s="29" t="str">
        <f aca="false">IF(OR($G340="",$G340=0),"",IFERROR(ROUND($F340*$G340*(1-IF($H340="",0,$H340)),2),""))</f>
        <v/>
      </c>
      <c r="J340" s="9"/>
    </row>
    <row r="341" customFormat="false" ht="21.75" hidden="false" customHeight="true" outlineLevel="0" collapsed="false">
      <c r="B341" s="14" t="n">
        <v>331</v>
      </c>
      <c r="C341" s="7" t="s">
        <v>45</v>
      </c>
      <c r="D341" s="7" t="s">
        <v>73</v>
      </c>
      <c r="E341" s="7" t="s">
        <v>807</v>
      </c>
      <c r="F341" s="18" t="n">
        <f aca="false">IF('Base de Datos'!AB335="","",'Base de Datos'!AB335)</f>
        <v>725</v>
      </c>
      <c r="G341" s="14"/>
      <c r="H341" s="26"/>
      <c r="I341" s="27" t="str">
        <f aca="false">IF(OR($G341="",$G341=0),"",IFERROR(ROUND($F341*$G341*(1-IF($H341="",0,$H341)),2),""))</f>
        <v/>
      </c>
      <c r="J341" s="7"/>
    </row>
    <row r="342" customFormat="false" ht="21.75" hidden="false" customHeight="true" outlineLevel="0" collapsed="false">
      <c r="B342" s="15" t="n">
        <v>332</v>
      </c>
      <c r="C342" s="9" t="s">
        <v>45</v>
      </c>
      <c r="D342" s="9" t="s">
        <v>74</v>
      </c>
      <c r="E342" s="9" t="s">
        <v>808</v>
      </c>
      <c r="F342" s="19" t="n">
        <f aca="false">IF('Base de Datos'!AB336="","",'Base de Datos'!AB336)</f>
        <v>65</v>
      </c>
      <c r="G342" s="15"/>
      <c r="H342" s="28"/>
      <c r="I342" s="29" t="str">
        <f aca="false">IF(OR($G342="",$G342=0),"",IFERROR(ROUND($F342*$G342*(1-IF($H342="",0,$H342)),2),""))</f>
        <v/>
      </c>
      <c r="J342" s="9"/>
    </row>
    <row r="343" customFormat="false" ht="21.75" hidden="false" customHeight="true" outlineLevel="0" collapsed="false">
      <c r="B343" s="14" t="n">
        <v>333</v>
      </c>
      <c r="C343" s="7" t="s">
        <v>45</v>
      </c>
      <c r="D343" s="7" t="s">
        <v>74</v>
      </c>
      <c r="E343" s="7" t="s">
        <v>815</v>
      </c>
      <c r="F343" s="18" t="n">
        <f aca="false">IF('Base de Datos'!AB337="","",'Base de Datos'!AB337)</f>
        <v>95</v>
      </c>
      <c r="G343" s="14"/>
      <c r="H343" s="26"/>
      <c r="I343" s="27" t="str">
        <f aca="false">IF(OR($G343="",$G343=0),"",IFERROR(ROUND($F343*$G343*(1-IF($H343="",0,$H343)),2),""))</f>
        <v/>
      </c>
      <c r="J343" s="7"/>
    </row>
    <row r="344" customFormat="false" ht="21.75" hidden="false" customHeight="true" outlineLevel="0" collapsed="false">
      <c r="B344" s="15" t="n">
        <v>334</v>
      </c>
      <c r="C344" s="9" t="s">
        <v>45</v>
      </c>
      <c r="D344" s="9" t="s">
        <v>74</v>
      </c>
      <c r="E344" s="9" t="s">
        <v>816</v>
      </c>
      <c r="F344" s="19" t="n">
        <f aca="false">IF('Base de Datos'!AB338="","",'Base de Datos'!AB338)</f>
        <v>130</v>
      </c>
      <c r="G344" s="15"/>
      <c r="H344" s="28"/>
      <c r="I344" s="29" t="str">
        <f aca="false">IF(OR($G344="",$G344=0),"",IFERROR(ROUND($F344*$G344*(1-IF($H344="",0,$H344)),2),""))</f>
        <v/>
      </c>
      <c r="J344" s="9"/>
    </row>
    <row r="345" customFormat="false" ht="21.75" hidden="false" customHeight="true" outlineLevel="0" collapsed="false">
      <c r="B345" s="14" t="n">
        <v>335</v>
      </c>
      <c r="C345" s="7" t="s">
        <v>45</v>
      </c>
      <c r="D345" s="7" t="s">
        <v>74</v>
      </c>
      <c r="E345" s="7" t="s">
        <v>818</v>
      </c>
      <c r="F345" s="18" t="n">
        <f aca="false">IF('Base de Datos'!AB339="","",'Base de Datos'!AB339)</f>
        <v>195</v>
      </c>
      <c r="G345" s="14"/>
      <c r="H345" s="26"/>
      <c r="I345" s="27" t="str">
        <f aca="false">IF(OR($G345="",$G345=0),"",IFERROR(ROUND($F345*$G345*(1-IF($H345="",0,$H345)),2),""))</f>
        <v/>
      </c>
      <c r="J345" s="7"/>
    </row>
    <row r="346" customFormat="false" ht="21.75" hidden="false" customHeight="true" outlineLevel="0" collapsed="false">
      <c r="B346" s="15" t="n">
        <v>336</v>
      </c>
      <c r="C346" s="9" t="s">
        <v>45</v>
      </c>
      <c r="D346" s="9" t="s">
        <v>74</v>
      </c>
      <c r="E346" s="9" t="s">
        <v>819</v>
      </c>
      <c r="F346" s="19" t="n">
        <f aca="false">IF('Base de Datos'!AB340="","",'Base de Datos'!AB340)</f>
        <v>285</v>
      </c>
      <c r="G346" s="15"/>
      <c r="H346" s="28"/>
      <c r="I346" s="29" t="str">
        <f aca="false">IF(OR($G346="",$G346=0),"",IFERROR(ROUND($F346*$G346*(1-IF($H346="",0,$H346)),2),""))</f>
        <v/>
      </c>
      <c r="J346" s="9"/>
    </row>
    <row r="347" customFormat="false" ht="21.75" hidden="false" customHeight="true" outlineLevel="0" collapsed="false">
      <c r="B347" s="14" t="n">
        <v>337</v>
      </c>
      <c r="C347" s="7" t="s">
        <v>46</v>
      </c>
      <c r="D347" s="7" t="s">
        <v>61</v>
      </c>
      <c r="E347" s="7" t="s">
        <v>820</v>
      </c>
      <c r="F347" s="18" t="n">
        <f aca="false">IF('Base de Datos'!AB341="","",'Base de Datos'!AB341)</f>
        <v>495</v>
      </c>
      <c r="G347" s="14"/>
      <c r="H347" s="26"/>
      <c r="I347" s="27" t="str">
        <f aca="false">IF(OR($G347="",$G347=0),"",IFERROR(ROUND($F347*$G347*(1-IF($H347="",0,$H347)),2),""))</f>
        <v/>
      </c>
      <c r="J347" s="7"/>
    </row>
    <row r="348" customFormat="false" ht="21.75" hidden="false" customHeight="true" outlineLevel="0" collapsed="false">
      <c r="B348" s="15" t="n">
        <v>338</v>
      </c>
      <c r="C348" s="9" t="s">
        <v>46</v>
      </c>
      <c r="D348" s="9" t="s">
        <v>61</v>
      </c>
      <c r="E348" s="9" t="s">
        <v>832</v>
      </c>
      <c r="F348" s="19" t="n">
        <f aca="false">IF('Base de Datos'!AB342="","",'Base de Datos'!AB342)</f>
        <v>740</v>
      </c>
      <c r="G348" s="15"/>
      <c r="H348" s="28"/>
      <c r="I348" s="29" t="str">
        <f aca="false">IF(OR($G348="",$G348=0),"",IFERROR(ROUND($F348*$G348*(1-IF($H348="",0,$H348)),2),""))</f>
        <v/>
      </c>
      <c r="J348" s="9"/>
    </row>
    <row r="349" customFormat="false" ht="21.75" hidden="false" customHeight="true" outlineLevel="0" collapsed="false">
      <c r="B349" s="14" t="n">
        <v>339</v>
      </c>
      <c r="C349" s="7" t="s">
        <v>46</v>
      </c>
      <c r="D349" s="7" t="s">
        <v>61</v>
      </c>
      <c r="E349" s="7" t="s">
        <v>833</v>
      </c>
      <c r="F349" s="18" t="n">
        <f aca="false">IF('Base de Datos'!AB343="","",'Base de Datos'!AB343)</f>
        <v>990</v>
      </c>
      <c r="G349" s="14"/>
      <c r="H349" s="26"/>
      <c r="I349" s="27" t="str">
        <f aca="false">IF(OR($G349="",$G349=0),"",IFERROR(ROUND($F349*$G349*(1-IF($H349="",0,$H349)),2),""))</f>
        <v/>
      </c>
      <c r="J349" s="7"/>
    </row>
    <row r="350" customFormat="false" ht="21.75" hidden="false" customHeight="true" outlineLevel="0" collapsed="false">
      <c r="B350" s="15" t="n">
        <v>340</v>
      </c>
      <c r="C350" s="9" t="s">
        <v>46</v>
      </c>
      <c r="D350" s="9" t="s">
        <v>61</v>
      </c>
      <c r="E350" s="9" t="s">
        <v>835</v>
      </c>
      <c r="F350" s="19" t="n">
        <f aca="false">IF('Base de Datos'!AB344="","",'Base de Datos'!AB344)</f>
        <v>1485</v>
      </c>
      <c r="G350" s="15"/>
      <c r="H350" s="28"/>
      <c r="I350" s="29" t="str">
        <f aca="false">IF(OR($G350="",$G350=0),"",IFERROR(ROUND($F350*$G350*(1-IF($H350="",0,$H350)),2),""))</f>
        <v/>
      </c>
      <c r="J350" s="9"/>
    </row>
    <row r="351" customFormat="false" ht="21.75" hidden="false" customHeight="true" outlineLevel="0" collapsed="false">
      <c r="B351" s="14" t="n">
        <v>341</v>
      </c>
      <c r="C351" s="7" t="s">
        <v>46</v>
      </c>
      <c r="D351" s="7" t="s">
        <v>61</v>
      </c>
      <c r="E351" s="7" t="s">
        <v>836</v>
      </c>
      <c r="F351" s="18" t="n">
        <f aca="false">IF('Base de Datos'!AB345="","",'Base de Datos'!AB345)</f>
        <v>2180</v>
      </c>
      <c r="G351" s="14"/>
      <c r="H351" s="26"/>
      <c r="I351" s="27" t="str">
        <f aca="false">IF(OR($G351="",$G351=0),"",IFERROR(ROUND($F351*$G351*(1-IF($H351="",0,$H351)),2),""))</f>
        <v/>
      </c>
      <c r="J351" s="7"/>
    </row>
    <row r="352" customFormat="false" ht="21.75" hidden="false" customHeight="true" outlineLevel="0" collapsed="false">
      <c r="B352" s="15" t="n">
        <v>342</v>
      </c>
      <c r="C352" s="9" t="s">
        <v>46</v>
      </c>
      <c r="D352" s="9" t="s">
        <v>62</v>
      </c>
      <c r="E352" s="9" t="s">
        <v>837</v>
      </c>
      <c r="F352" s="19" t="n">
        <f aca="false">IF('Base de Datos'!AB346="","",'Base de Datos'!AB346)</f>
        <v>545</v>
      </c>
      <c r="G352" s="15"/>
      <c r="H352" s="28"/>
      <c r="I352" s="29" t="str">
        <f aca="false">IF(OR($G352="",$G352=0),"",IFERROR(ROUND($F352*$G352*(1-IF($H352="",0,$H352)),2),""))</f>
        <v/>
      </c>
      <c r="J352" s="9"/>
    </row>
    <row r="353" customFormat="false" ht="21.75" hidden="false" customHeight="true" outlineLevel="0" collapsed="false">
      <c r="B353" s="14" t="n">
        <v>343</v>
      </c>
      <c r="C353" s="7" t="s">
        <v>46</v>
      </c>
      <c r="D353" s="7" t="s">
        <v>62</v>
      </c>
      <c r="E353" s="7" t="s">
        <v>842</v>
      </c>
      <c r="F353" s="18" t="n">
        <f aca="false">IF('Base de Datos'!AB347="","",'Base de Datos'!AB347)</f>
        <v>820</v>
      </c>
      <c r="G353" s="14"/>
      <c r="H353" s="26"/>
      <c r="I353" s="27" t="str">
        <f aca="false">IF(OR($G353="",$G353=0),"",IFERROR(ROUND($F353*$G353*(1-IF($H353="",0,$H353)),2),""))</f>
        <v/>
      </c>
      <c r="J353" s="7"/>
    </row>
    <row r="354" customFormat="false" ht="21.75" hidden="false" customHeight="true" outlineLevel="0" collapsed="false">
      <c r="B354" s="15" t="n">
        <v>344</v>
      </c>
      <c r="C354" s="9" t="s">
        <v>46</v>
      </c>
      <c r="D354" s="9" t="s">
        <v>62</v>
      </c>
      <c r="E354" s="9" t="s">
        <v>836</v>
      </c>
      <c r="F354" s="19" t="n">
        <f aca="false">IF('Base de Datos'!AB348="","",'Base de Datos'!AB348)</f>
        <v>1090</v>
      </c>
      <c r="G354" s="15"/>
      <c r="H354" s="28"/>
      <c r="I354" s="29" t="str">
        <f aca="false">IF(OR($G354="",$G354=0),"",IFERROR(ROUND($F354*$G354*(1-IF($H354="",0,$H354)),2),""))</f>
        <v/>
      </c>
      <c r="J354" s="9"/>
    </row>
    <row r="355" customFormat="false" ht="21.75" hidden="false" customHeight="true" outlineLevel="0" collapsed="false">
      <c r="B355" s="14" t="n">
        <v>345</v>
      </c>
      <c r="C355" s="7" t="s">
        <v>46</v>
      </c>
      <c r="D355" s="7" t="s">
        <v>62</v>
      </c>
      <c r="E355" s="7" t="s">
        <v>833</v>
      </c>
      <c r="F355" s="18" t="n">
        <f aca="false">IF('Base de Datos'!AB349="","",'Base de Datos'!AB349)</f>
        <v>1635</v>
      </c>
      <c r="G355" s="14"/>
      <c r="H355" s="26"/>
      <c r="I355" s="27" t="str">
        <f aca="false">IF(OR($G355="",$G355=0),"",IFERROR(ROUND($F355*$G355*(1-IF($H355="",0,$H355)),2),""))</f>
        <v/>
      </c>
      <c r="J355" s="7"/>
    </row>
    <row r="356" customFormat="false" ht="21.75" hidden="false" customHeight="true" outlineLevel="0" collapsed="false">
      <c r="B356" s="15" t="n">
        <v>346</v>
      </c>
      <c r="C356" s="9" t="s">
        <v>46</v>
      </c>
      <c r="D356" s="9" t="s">
        <v>62</v>
      </c>
      <c r="E356" s="9" t="s">
        <v>835</v>
      </c>
      <c r="F356" s="19" t="n">
        <f aca="false">IF('Base de Datos'!AB350="","",'Base de Datos'!AB350)</f>
        <v>2400</v>
      </c>
      <c r="G356" s="15"/>
      <c r="H356" s="28"/>
      <c r="I356" s="29" t="str">
        <f aca="false">IF(OR($G356="",$G356=0),"",IFERROR(ROUND($F356*$G356*(1-IF($H356="",0,$H356)),2),""))</f>
        <v/>
      </c>
      <c r="J356" s="9"/>
    </row>
    <row r="357" customFormat="false" ht="21.75" hidden="false" customHeight="true" outlineLevel="0" collapsed="false">
      <c r="B357" s="14" t="n">
        <v>347</v>
      </c>
      <c r="C357" s="7" t="s">
        <v>46</v>
      </c>
      <c r="D357" s="7" t="s">
        <v>63</v>
      </c>
      <c r="E357" s="7" t="s">
        <v>844</v>
      </c>
      <c r="F357" s="18" t="n">
        <f aca="false">IF('Base de Datos'!AB351="","",'Base de Datos'!AB351)</f>
        <v>645</v>
      </c>
      <c r="G357" s="14"/>
      <c r="H357" s="26"/>
      <c r="I357" s="27" t="str">
        <f aca="false">IF(OR($G357="",$G357=0),"",IFERROR(ROUND($F357*$G357*(1-IF($H357="",0,$H357)),2),""))</f>
        <v/>
      </c>
      <c r="J357" s="7"/>
    </row>
    <row r="358" customFormat="false" ht="21.75" hidden="false" customHeight="true" outlineLevel="0" collapsed="false">
      <c r="B358" s="15" t="n">
        <v>348</v>
      </c>
      <c r="C358" s="9" t="s">
        <v>46</v>
      </c>
      <c r="D358" s="9" t="s">
        <v>63</v>
      </c>
      <c r="E358" s="9" t="s">
        <v>851</v>
      </c>
      <c r="F358" s="19" t="n">
        <f aca="false">IF('Base de Datos'!AB352="","",'Base de Datos'!AB352)</f>
        <v>970</v>
      </c>
      <c r="G358" s="15"/>
      <c r="H358" s="28"/>
      <c r="I358" s="29" t="str">
        <f aca="false">IF(OR($G358="",$G358=0),"",IFERROR(ROUND($F358*$G358*(1-IF($H358="",0,$H358)),2),""))</f>
        <v/>
      </c>
      <c r="J358" s="9"/>
    </row>
    <row r="359" customFormat="false" ht="21.75" hidden="false" customHeight="true" outlineLevel="0" collapsed="false">
      <c r="B359" s="14" t="n">
        <v>349</v>
      </c>
      <c r="C359" s="7" t="s">
        <v>46</v>
      </c>
      <c r="D359" s="7" t="s">
        <v>63</v>
      </c>
      <c r="E359" s="7" t="s">
        <v>852</v>
      </c>
      <c r="F359" s="18" t="n">
        <f aca="false">IF('Base de Datos'!AB353="","",'Base de Datos'!AB353)</f>
        <v>1290</v>
      </c>
      <c r="G359" s="14"/>
      <c r="H359" s="26"/>
      <c r="I359" s="27" t="str">
        <f aca="false">IF(OR($G359="",$G359=0),"",IFERROR(ROUND($F359*$G359*(1-IF($H359="",0,$H359)),2),""))</f>
        <v/>
      </c>
      <c r="J359" s="7"/>
    </row>
    <row r="360" customFormat="false" ht="21.75" hidden="false" customHeight="true" outlineLevel="0" collapsed="false">
      <c r="B360" s="15" t="n">
        <v>350</v>
      </c>
      <c r="C360" s="9" t="s">
        <v>46</v>
      </c>
      <c r="D360" s="9" t="s">
        <v>63</v>
      </c>
      <c r="E360" s="9" t="s">
        <v>854</v>
      </c>
      <c r="F360" s="19" t="n">
        <f aca="false">IF('Base de Datos'!AB354="","",'Base de Datos'!AB354)</f>
        <v>1935</v>
      </c>
      <c r="G360" s="15"/>
      <c r="H360" s="28"/>
      <c r="I360" s="29" t="str">
        <f aca="false">IF(OR($G360="",$G360=0),"",IFERROR(ROUND($F360*$G360*(1-IF($H360="",0,$H360)),2),""))</f>
        <v/>
      </c>
      <c r="J360" s="9"/>
    </row>
    <row r="361" customFormat="false" ht="21.75" hidden="false" customHeight="true" outlineLevel="0" collapsed="false">
      <c r="B361" s="14" t="n">
        <v>351</v>
      </c>
      <c r="C361" s="7" t="s">
        <v>46</v>
      </c>
      <c r="D361" s="7" t="s">
        <v>63</v>
      </c>
      <c r="E361" s="7" t="s">
        <v>855</v>
      </c>
      <c r="F361" s="18" t="n">
        <f aca="false">IF('Base de Datos'!AB355="","",'Base de Datos'!AB355)</f>
        <v>2840</v>
      </c>
      <c r="G361" s="14"/>
      <c r="H361" s="26"/>
      <c r="I361" s="27" t="str">
        <f aca="false">IF(OR($G361="",$G361=0),"",IFERROR(ROUND($F361*$G361*(1-IF($H361="",0,$H361)),2),""))</f>
        <v/>
      </c>
      <c r="J361" s="7"/>
    </row>
    <row r="362" customFormat="false" ht="21.75" hidden="false" customHeight="true" outlineLevel="0" collapsed="false">
      <c r="B362" s="15" t="n">
        <v>352</v>
      </c>
      <c r="C362" s="9" t="s">
        <v>46</v>
      </c>
      <c r="D362" s="9" t="s">
        <v>64</v>
      </c>
      <c r="E362" s="9" t="s">
        <v>856</v>
      </c>
      <c r="F362" s="19" t="n">
        <f aca="false">IF('Base de Datos'!AB356="","",'Base de Datos'!AB356)</f>
        <v>995</v>
      </c>
      <c r="G362" s="15"/>
      <c r="H362" s="28"/>
      <c r="I362" s="29" t="str">
        <f aca="false">IF(OR($G362="",$G362=0),"",IFERROR(ROUND($F362*$G362*(1-IF($H362="",0,$H362)),2),""))</f>
        <v/>
      </c>
      <c r="J362" s="9"/>
    </row>
    <row r="363" customFormat="false" ht="21.75" hidden="false" customHeight="true" outlineLevel="0" collapsed="false">
      <c r="B363" s="14" t="n">
        <v>353</v>
      </c>
      <c r="C363" s="7" t="s">
        <v>46</v>
      </c>
      <c r="D363" s="7" t="s">
        <v>64</v>
      </c>
      <c r="E363" s="7" t="s">
        <v>859</v>
      </c>
      <c r="F363" s="18" t="n">
        <f aca="false">IF('Base de Datos'!AB357="","",'Base de Datos'!AB357)</f>
        <v>1490</v>
      </c>
      <c r="G363" s="14"/>
      <c r="H363" s="26"/>
      <c r="I363" s="27" t="str">
        <f aca="false">IF(OR($G363="",$G363=0),"",IFERROR(ROUND($F363*$G363*(1-IF($H363="",0,$H363)),2),""))</f>
        <v/>
      </c>
      <c r="J363" s="7"/>
    </row>
    <row r="364" customFormat="false" ht="21.75" hidden="false" customHeight="true" outlineLevel="0" collapsed="false">
      <c r="B364" s="15" t="n">
        <v>354</v>
      </c>
      <c r="C364" s="9" t="s">
        <v>46</v>
      </c>
      <c r="D364" s="9" t="s">
        <v>64</v>
      </c>
      <c r="E364" s="9" t="s">
        <v>860</v>
      </c>
      <c r="F364" s="19" t="n">
        <f aca="false">IF('Base de Datos'!AB358="","",'Base de Datos'!AB358)</f>
        <v>1990</v>
      </c>
      <c r="G364" s="15"/>
      <c r="H364" s="28"/>
      <c r="I364" s="29" t="str">
        <f aca="false">IF(OR($G364="",$G364=0),"",IFERROR(ROUND($F364*$G364*(1-IF($H364="",0,$H364)),2),""))</f>
        <v/>
      </c>
      <c r="J364" s="9"/>
    </row>
    <row r="365" customFormat="false" ht="21.75" hidden="false" customHeight="true" outlineLevel="0" collapsed="false">
      <c r="B365" s="14" t="n">
        <v>355</v>
      </c>
      <c r="C365" s="7" t="s">
        <v>46</v>
      </c>
      <c r="D365" s="7" t="s">
        <v>64</v>
      </c>
      <c r="E365" s="7" t="s">
        <v>862</v>
      </c>
      <c r="F365" s="18" t="n">
        <f aca="false">IF('Base de Datos'!AB359="","",'Base de Datos'!AB359)</f>
        <v>2985</v>
      </c>
      <c r="G365" s="14"/>
      <c r="H365" s="26"/>
      <c r="I365" s="27" t="str">
        <f aca="false">IF(OR($G365="",$G365=0),"",IFERROR(ROUND($F365*$G365*(1-IF($H365="",0,$H365)),2),""))</f>
        <v/>
      </c>
      <c r="J365" s="7"/>
    </row>
    <row r="366" customFormat="false" ht="21.75" hidden="false" customHeight="true" outlineLevel="0" collapsed="false">
      <c r="B366" s="15" t="n">
        <v>356</v>
      </c>
      <c r="C366" s="9" t="s">
        <v>46</v>
      </c>
      <c r="D366" s="9" t="s">
        <v>64</v>
      </c>
      <c r="E366" s="9" t="s">
        <v>863</v>
      </c>
      <c r="F366" s="19" t="n">
        <f aca="false">IF('Base de Datos'!AB360="","",'Base de Datos'!AB360)</f>
        <v>4380</v>
      </c>
      <c r="G366" s="15"/>
      <c r="H366" s="28"/>
      <c r="I366" s="29" t="str">
        <f aca="false">IF(OR($G366="",$G366=0),"",IFERROR(ROUND($F366*$G366*(1-IF($H366="",0,$H366)),2),""))</f>
        <v/>
      </c>
      <c r="J366" s="9"/>
    </row>
    <row r="367" customFormat="false" ht="21.75" hidden="false" customHeight="true" outlineLevel="0" collapsed="false">
      <c r="B367" s="14" t="n">
        <v>357</v>
      </c>
      <c r="C367" s="7" t="s">
        <v>46</v>
      </c>
      <c r="D367" s="7" t="s">
        <v>65</v>
      </c>
      <c r="E367" s="7" t="s">
        <v>321</v>
      </c>
      <c r="F367" s="18" t="str">
        <f aca="false">IF('Base de Datos'!AB361="","",'Base de Datos'!AB361)</f>
        <v/>
      </c>
      <c r="G367" s="14"/>
      <c r="H367" s="26"/>
      <c r="I367" s="27" t="str">
        <f aca="false">IF(OR($G367="",$G367=0),"",IFERROR(ROUND($F367*$G367*(1-IF($H367="",0,$H367)),2),""))</f>
        <v/>
      </c>
      <c r="J367" s="7"/>
    </row>
    <row r="368" customFormat="false" ht="21.75" hidden="false" customHeight="true" outlineLevel="0" collapsed="false">
      <c r="B368" s="15" t="n">
        <v>358</v>
      </c>
      <c r="C368" s="9" t="s">
        <v>46</v>
      </c>
      <c r="D368" s="9" t="s">
        <v>66</v>
      </c>
      <c r="E368" s="9" t="s">
        <v>865</v>
      </c>
      <c r="F368" s="19" t="n">
        <f aca="false">IF('Base de Datos'!AB362="","",'Base de Datos'!AB362)</f>
        <v>595</v>
      </c>
      <c r="G368" s="15"/>
      <c r="H368" s="28"/>
      <c r="I368" s="29" t="str">
        <f aca="false">IF(OR($G368="",$G368=0),"",IFERROR(ROUND($F368*$G368*(1-IF($H368="",0,$H368)),2),""))</f>
        <v/>
      </c>
      <c r="J368" s="9"/>
    </row>
    <row r="369" customFormat="false" ht="21.75" hidden="false" customHeight="true" outlineLevel="0" collapsed="false">
      <c r="B369" s="14" t="n">
        <v>359</v>
      </c>
      <c r="C369" s="7" t="s">
        <v>46</v>
      </c>
      <c r="D369" s="7" t="s">
        <v>66</v>
      </c>
      <c r="E369" s="7" t="s">
        <v>873</v>
      </c>
      <c r="F369" s="18" t="n">
        <f aca="false">IF('Base de Datos'!AB363="","",'Base de Datos'!AB363)</f>
        <v>890</v>
      </c>
      <c r="G369" s="14"/>
      <c r="H369" s="26"/>
      <c r="I369" s="27" t="str">
        <f aca="false">IF(OR($G369="",$G369=0),"",IFERROR(ROUND($F369*$G369*(1-IF($H369="",0,$H369)),2),""))</f>
        <v/>
      </c>
      <c r="J369" s="7"/>
    </row>
    <row r="370" customFormat="false" ht="21.75" hidden="false" customHeight="true" outlineLevel="0" collapsed="false">
      <c r="B370" s="15" t="n">
        <v>360</v>
      </c>
      <c r="C370" s="9" t="s">
        <v>46</v>
      </c>
      <c r="D370" s="9" t="s">
        <v>66</v>
      </c>
      <c r="E370" s="9" t="s">
        <v>874</v>
      </c>
      <c r="F370" s="19" t="n">
        <f aca="false">IF('Base de Datos'!AB364="","",'Base de Datos'!AB364)</f>
        <v>1190</v>
      </c>
      <c r="G370" s="15"/>
      <c r="H370" s="28"/>
      <c r="I370" s="29" t="str">
        <f aca="false">IF(OR($G370="",$G370=0),"",IFERROR(ROUND($F370*$G370*(1-IF($H370="",0,$H370)),2),""))</f>
        <v/>
      </c>
      <c r="J370" s="9"/>
    </row>
    <row r="371" customFormat="false" ht="21.75" hidden="false" customHeight="true" outlineLevel="0" collapsed="false">
      <c r="B371" s="14" t="n">
        <v>361</v>
      </c>
      <c r="C371" s="7" t="s">
        <v>46</v>
      </c>
      <c r="D371" s="7" t="s">
        <v>66</v>
      </c>
      <c r="E371" s="7" t="s">
        <v>876</v>
      </c>
      <c r="F371" s="18" t="n">
        <f aca="false">IF('Base de Datos'!AB365="","",'Base de Datos'!AB365)</f>
        <v>1785</v>
      </c>
      <c r="G371" s="14"/>
      <c r="H371" s="26"/>
      <c r="I371" s="27" t="str">
        <f aca="false">IF(OR($G371="",$G371=0),"",IFERROR(ROUND($F371*$G371*(1-IF($H371="",0,$H371)),2),""))</f>
        <v/>
      </c>
      <c r="J371" s="7"/>
    </row>
    <row r="372" customFormat="false" ht="21.75" hidden="false" customHeight="true" outlineLevel="0" collapsed="false">
      <c r="B372" s="15" t="n">
        <v>362</v>
      </c>
      <c r="C372" s="9" t="s">
        <v>46</v>
      </c>
      <c r="D372" s="9" t="s">
        <v>66</v>
      </c>
      <c r="E372" s="9" t="s">
        <v>877</v>
      </c>
      <c r="F372" s="19" t="n">
        <f aca="false">IF('Base de Datos'!AB366="","",'Base de Datos'!AB366)</f>
        <v>2620</v>
      </c>
      <c r="G372" s="15"/>
      <c r="H372" s="28"/>
      <c r="I372" s="29" t="str">
        <f aca="false">IF(OR($G372="",$G372=0),"",IFERROR(ROUND($F372*$G372*(1-IF($H372="",0,$H372)),2),""))</f>
        <v/>
      </c>
      <c r="J372" s="9"/>
    </row>
    <row r="373" customFormat="false" ht="21.75" hidden="false" customHeight="true" outlineLevel="0" collapsed="false">
      <c r="B373" s="14" t="n">
        <v>363</v>
      </c>
      <c r="C373" s="7" t="s">
        <v>46</v>
      </c>
      <c r="D373" s="7" t="s">
        <v>67</v>
      </c>
      <c r="E373" s="7" t="s">
        <v>878</v>
      </c>
      <c r="F373" s="18" t="n">
        <f aca="false">IF('Base de Datos'!AB367="","",'Base de Datos'!AB367)</f>
        <v>445</v>
      </c>
      <c r="G373" s="14"/>
      <c r="H373" s="26"/>
      <c r="I373" s="27" t="str">
        <f aca="false">IF(OR($G373="",$G373=0),"",IFERROR(ROUND($F373*$G373*(1-IF($H373="",0,$H373)),2),""))</f>
        <v/>
      </c>
      <c r="J373" s="7"/>
    </row>
    <row r="374" customFormat="false" ht="21.75" hidden="false" customHeight="true" outlineLevel="0" collapsed="false">
      <c r="B374" s="15" t="n">
        <v>364</v>
      </c>
      <c r="C374" s="9" t="s">
        <v>46</v>
      </c>
      <c r="D374" s="9" t="s">
        <v>67</v>
      </c>
      <c r="E374" s="9" t="s">
        <v>880</v>
      </c>
      <c r="F374" s="19" t="n">
        <f aca="false">IF('Base de Datos'!AB368="","",'Base de Datos'!AB368)</f>
        <v>670</v>
      </c>
      <c r="G374" s="15"/>
      <c r="H374" s="28"/>
      <c r="I374" s="29" t="str">
        <f aca="false">IF(OR($G374="",$G374=0),"",IFERROR(ROUND($F374*$G374*(1-IF($H374="",0,$H374)),2),""))</f>
        <v/>
      </c>
      <c r="J374" s="9"/>
    </row>
    <row r="375" customFormat="false" ht="21.75" hidden="false" customHeight="true" outlineLevel="0" collapsed="false">
      <c r="B375" s="14" t="n">
        <v>365</v>
      </c>
      <c r="C375" s="7" t="s">
        <v>46</v>
      </c>
      <c r="D375" s="7" t="s">
        <v>67</v>
      </c>
      <c r="E375" s="7" t="s">
        <v>881</v>
      </c>
      <c r="F375" s="18" t="n">
        <f aca="false">IF('Base de Datos'!AB369="","",'Base de Datos'!AB369)</f>
        <v>890</v>
      </c>
      <c r="G375" s="14"/>
      <c r="H375" s="26"/>
      <c r="I375" s="27" t="str">
        <f aca="false">IF(OR($G375="",$G375=0),"",IFERROR(ROUND($F375*$G375*(1-IF($H375="",0,$H375)),2),""))</f>
        <v/>
      </c>
      <c r="J375" s="7"/>
    </row>
    <row r="376" customFormat="false" ht="21.75" hidden="false" customHeight="true" outlineLevel="0" collapsed="false">
      <c r="B376" s="15" t="n">
        <v>366</v>
      </c>
      <c r="C376" s="9" t="s">
        <v>46</v>
      </c>
      <c r="D376" s="9" t="s">
        <v>67</v>
      </c>
      <c r="E376" s="9" t="s">
        <v>883</v>
      </c>
      <c r="F376" s="19" t="n">
        <f aca="false">IF('Base de Datos'!AB370="","",'Base de Datos'!AB370)</f>
        <v>1335</v>
      </c>
      <c r="G376" s="15"/>
      <c r="H376" s="28"/>
      <c r="I376" s="29" t="str">
        <f aca="false">IF(OR($G376="",$G376=0),"",IFERROR(ROUND($F376*$G376*(1-IF($H376="",0,$H376)),2),""))</f>
        <v/>
      </c>
      <c r="J376" s="9"/>
    </row>
    <row r="377" customFormat="false" ht="21.75" hidden="false" customHeight="true" outlineLevel="0" collapsed="false">
      <c r="B377" s="14" t="n">
        <v>367</v>
      </c>
      <c r="C377" s="7" t="s">
        <v>46</v>
      </c>
      <c r="D377" s="7" t="s">
        <v>67</v>
      </c>
      <c r="E377" s="7" t="s">
        <v>884</v>
      </c>
      <c r="F377" s="18" t="n">
        <f aca="false">IF('Base de Datos'!AB371="","",'Base de Datos'!AB371)</f>
        <v>1960</v>
      </c>
      <c r="G377" s="14"/>
      <c r="H377" s="26"/>
      <c r="I377" s="27" t="str">
        <f aca="false">IF(OR($G377="",$G377=0),"",IFERROR(ROUND($F377*$G377*(1-IF($H377="",0,$H377)),2),""))</f>
        <v/>
      </c>
      <c r="J377" s="7"/>
    </row>
    <row r="378" customFormat="false" ht="21.75" hidden="false" customHeight="true" outlineLevel="0" collapsed="false">
      <c r="B378" s="15" t="n">
        <v>368</v>
      </c>
      <c r="C378" s="9" t="s">
        <v>46</v>
      </c>
      <c r="D378" s="9" t="s">
        <v>68</v>
      </c>
      <c r="E378" s="9" t="s">
        <v>885</v>
      </c>
      <c r="F378" s="19" t="n">
        <f aca="false">IF('Base de Datos'!AB372="","",'Base de Datos'!AB372)</f>
        <v>470</v>
      </c>
      <c r="G378" s="15"/>
      <c r="H378" s="28"/>
      <c r="I378" s="29" t="str">
        <f aca="false">IF(OR($G378="",$G378=0),"",IFERROR(ROUND($F378*$G378*(1-IF($H378="",0,$H378)),2),""))</f>
        <v/>
      </c>
      <c r="J378" s="9"/>
    </row>
    <row r="379" customFormat="false" ht="21.75" hidden="false" customHeight="true" outlineLevel="0" collapsed="false">
      <c r="B379" s="14" t="n">
        <v>369</v>
      </c>
      <c r="C379" s="7" t="s">
        <v>46</v>
      </c>
      <c r="D379" s="7" t="s">
        <v>68</v>
      </c>
      <c r="E379" s="7" t="s">
        <v>888</v>
      </c>
      <c r="F379" s="18" t="n">
        <f aca="false">IF('Base de Datos'!AB373="","",'Base de Datos'!AB373)</f>
        <v>705</v>
      </c>
      <c r="G379" s="14"/>
      <c r="H379" s="26"/>
      <c r="I379" s="27" t="str">
        <f aca="false">IF(OR($G379="",$G379=0),"",IFERROR(ROUND($F379*$G379*(1-IF($H379="",0,$H379)),2),""))</f>
        <v/>
      </c>
      <c r="J379" s="7"/>
    </row>
    <row r="380" customFormat="false" ht="21.75" hidden="false" customHeight="true" outlineLevel="0" collapsed="false">
      <c r="B380" s="15" t="n">
        <v>370</v>
      </c>
      <c r="C380" s="9" t="s">
        <v>46</v>
      </c>
      <c r="D380" s="9" t="s">
        <v>68</v>
      </c>
      <c r="E380" s="9" t="s">
        <v>889</v>
      </c>
      <c r="F380" s="19" t="n">
        <f aca="false">IF('Base de Datos'!AB374="","",'Base de Datos'!AB374)</f>
        <v>940</v>
      </c>
      <c r="G380" s="15"/>
      <c r="H380" s="28"/>
      <c r="I380" s="29" t="str">
        <f aca="false">IF(OR($G380="",$G380=0),"",IFERROR(ROUND($F380*$G380*(1-IF($H380="",0,$H380)),2),""))</f>
        <v/>
      </c>
      <c r="J380" s="9"/>
    </row>
    <row r="381" customFormat="false" ht="21.75" hidden="false" customHeight="true" outlineLevel="0" collapsed="false">
      <c r="B381" s="14" t="n">
        <v>371</v>
      </c>
      <c r="C381" s="7" t="s">
        <v>46</v>
      </c>
      <c r="D381" s="7" t="s">
        <v>68</v>
      </c>
      <c r="E381" s="7" t="s">
        <v>891</v>
      </c>
      <c r="F381" s="18" t="n">
        <f aca="false">IF('Base de Datos'!AB375="","",'Base de Datos'!AB375)</f>
        <v>1410</v>
      </c>
      <c r="G381" s="14"/>
      <c r="H381" s="26"/>
      <c r="I381" s="27" t="str">
        <f aca="false">IF(OR($G381="",$G381=0),"",IFERROR(ROUND($F381*$G381*(1-IF($H381="",0,$H381)),2),""))</f>
        <v/>
      </c>
      <c r="J381" s="7"/>
    </row>
    <row r="382" customFormat="false" ht="21.75" hidden="false" customHeight="true" outlineLevel="0" collapsed="false">
      <c r="B382" s="15" t="n">
        <v>372</v>
      </c>
      <c r="C382" s="9" t="s">
        <v>46</v>
      </c>
      <c r="D382" s="9" t="s">
        <v>68</v>
      </c>
      <c r="E382" s="9" t="s">
        <v>892</v>
      </c>
      <c r="F382" s="19" t="n">
        <f aca="false">IF('Base de Datos'!AB376="","",'Base de Datos'!AB376)</f>
        <v>2070</v>
      </c>
      <c r="G382" s="15"/>
      <c r="H382" s="28"/>
      <c r="I382" s="29" t="str">
        <f aca="false">IF(OR($G382="",$G382=0),"",IFERROR(ROUND($F382*$G382*(1-IF($H382="",0,$H382)),2),""))</f>
        <v/>
      </c>
      <c r="J382" s="9"/>
    </row>
    <row r="383" customFormat="false" ht="21.75" hidden="false" customHeight="true" outlineLevel="0" collapsed="false">
      <c r="B383" s="14" t="n">
        <v>373</v>
      </c>
      <c r="C383" s="7" t="s">
        <v>46</v>
      </c>
      <c r="D383" s="7" t="s">
        <v>69</v>
      </c>
      <c r="E383" s="7" t="s">
        <v>321</v>
      </c>
      <c r="F383" s="18" t="str">
        <f aca="false">IF('Base de Datos'!AB377="","",'Base de Datos'!AB377)</f>
        <v/>
      </c>
      <c r="G383" s="14"/>
      <c r="H383" s="26"/>
      <c r="I383" s="27" t="str">
        <f aca="false">IF(OR($G383="",$G383=0),"",IFERROR(ROUND($F383*$G383*(1-IF($H383="",0,$H383)),2),""))</f>
        <v/>
      </c>
      <c r="J383" s="7"/>
    </row>
    <row r="384" customFormat="false" ht="21.75" hidden="false" customHeight="true" outlineLevel="0" collapsed="false">
      <c r="B384" s="15" t="n">
        <v>374</v>
      </c>
      <c r="C384" s="9" t="s">
        <v>46</v>
      </c>
      <c r="D384" s="9" t="s">
        <v>70</v>
      </c>
      <c r="E384" s="9" t="s">
        <v>894</v>
      </c>
      <c r="F384" s="19" t="n">
        <f aca="false">IF('Base de Datos'!AB378="","",'Base de Datos'!AB378)</f>
        <v>3450</v>
      </c>
      <c r="G384" s="15"/>
      <c r="H384" s="28"/>
      <c r="I384" s="29" t="str">
        <f aca="false">IF(OR($G384="",$G384=0),"",IFERROR(ROUND($F384*$G384*(1-IF($H384="",0,$H384)),2),""))</f>
        <v/>
      </c>
      <c r="J384" s="9"/>
    </row>
    <row r="385" customFormat="false" ht="21.75" hidden="false" customHeight="true" outlineLevel="0" collapsed="false">
      <c r="B385" s="14" t="n">
        <v>375</v>
      </c>
      <c r="C385" s="7" t="s">
        <v>46</v>
      </c>
      <c r="D385" s="7" t="s">
        <v>70</v>
      </c>
      <c r="E385" s="7" t="s">
        <v>898</v>
      </c>
      <c r="F385" s="18" t="n">
        <f aca="false">IF('Base de Datos'!AB379="","",'Base de Datos'!AB379)</f>
        <v>5175</v>
      </c>
      <c r="G385" s="14"/>
      <c r="H385" s="26"/>
      <c r="I385" s="27" t="str">
        <f aca="false">IF(OR($G385="",$G385=0),"",IFERROR(ROUND($F385*$G385*(1-IF($H385="",0,$H385)),2),""))</f>
        <v/>
      </c>
      <c r="J385" s="7"/>
    </row>
    <row r="386" customFormat="false" ht="21.75" hidden="false" customHeight="true" outlineLevel="0" collapsed="false">
      <c r="B386" s="15" t="n">
        <v>376</v>
      </c>
      <c r="C386" s="9" t="s">
        <v>46</v>
      </c>
      <c r="D386" s="9" t="s">
        <v>70</v>
      </c>
      <c r="E386" s="9" t="s">
        <v>899</v>
      </c>
      <c r="F386" s="19" t="n">
        <f aca="false">IF('Base de Datos'!AB380="","",'Base de Datos'!AB380)</f>
        <v>6900</v>
      </c>
      <c r="G386" s="15"/>
      <c r="H386" s="28"/>
      <c r="I386" s="29" t="str">
        <f aca="false">IF(OR($G386="",$G386=0),"",IFERROR(ROUND($F386*$G386*(1-IF($H386="",0,$H386)),2),""))</f>
        <v/>
      </c>
      <c r="J386" s="9"/>
    </row>
    <row r="387" customFormat="false" ht="21.75" hidden="false" customHeight="true" outlineLevel="0" collapsed="false">
      <c r="B387" s="14" t="n">
        <v>377</v>
      </c>
      <c r="C387" s="7" t="s">
        <v>46</v>
      </c>
      <c r="D387" s="7" t="s">
        <v>70</v>
      </c>
      <c r="E387" s="7" t="s">
        <v>901</v>
      </c>
      <c r="F387" s="18" t="n">
        <f aca="false">IF('Base de Datos'!AB381="","",'Base de Datos'!AB381)</f>
        <v>10350</v>
      </c>
      <c r="G387" s="14"/>
      <c r="H387" s="26"/>
      <c r="I387" s="27" t="str">
        <f aca="false">IF(OR($G387="",$G387=0),"",IFERROR(ROUND($F387*$G387*(1-IF($H387="",0,$H387)),2),""))</f>
        <v/>
      </c>
      <c r="J387" s="7"/>
    </row>
    <row r="388" customFormat="false" ht="21.75" hidden="false" customHeight="true" outlineLevel="0" collapsed="false">
      <c r="B388" s="15" t="n">
        <v>378</v>
      </c>
      <c r="C388" s="9" t="s">
        <v>46</v>
      </c>
      <c r="D388" s="9" t="s">
        <v>70</v>
      </c>
      <c r="E388" s="9" t="s">
        <v>902</v>
      </c>
      <c r="F388" s="19" t="n">
        <f aca="false">IF('Base de Datos'!AB382="","",'Base de Datos'!AB382)</f>
        <v>15180</v>
      </c>
      <c r="G388" s="15"/>
      <c r="H388" s="28"/>
      <c r="I388" s="29" t="str">
        <f aca="false">IF(OR($G388="",$G388=0),"",IFERROR(ROUND($F388*$G388*(1-IF($H388="",0,$H388)),2),""))</f>
        <v/>
      </c>
      <c r="J388" s="9"/>
    </row>
    <row r="389" customFormat="false" ht="21.75" hidden="false" customHeight="true" outlineLevel="0" collapsed="false">
      <c r="B389" s="14" t="n">
        <v>379</v>
      </c>
      <c r="C389" s="7" t="s">
        <v>46</v>
      </c>
      <c r="D389" s="7" t="s">
        <v>71</v>
      </c>
      <c r="E389" s="7" t="s">
        <v>321</v>
      </c>
      <c r="F389" s="18" t="str">
        <f aca="false">IF('Base de Datos'!AB383="","",'Base de Datos'!AB383)</f>
        <v/>
      </c>
      <c r="G389" s="14"/>
      <c r="H389" s="26"/>
      <c r="I389" s="27" t="str">
        <f aca="false">IF(OR($G389="",$G389=0),"",IFERROR(ROUND($F389*$G389*(1-IF($H389="",0,$H389)),2),""))</f>
        <v/>
      </c>
      <c r="J389" s="7"/>
    </row>
    <row r="390" customFormat="false" ht="21.75" hidden="false" customHeight="true" outlineLevel="0" collapsed="false">
      <c r="B390" s="15" t="n">
        <v>380</v>
      </c>
      <c r="C390" s="9" t="s">
        <v>46</v>
      </c>
      <c r="D390" s="9" t="s">
        <v>72</v>
      </c>
      <c r="E390" s="9" t="s">
        <v>904</v>
      </c>
      <c r="F390" s="19" t="n">
        <f aca="false">IF('Base de Datos'!AB384="","",'Base de Datos'!AB384)</f>
        <v>745</v>
      </c>
      <c r="G390" s="15"/>
      <c r="H390" s="28"/>
      <c r="I390" s="29" t="str">
        <f aca="false">IF(OR($G390="",$G390=0),"",IFERROR(ROUND($F390*$G390*(1-IF($H390="",0,$H390)),2),""))</f>
        <v/>
      </c>
      <c r="J390" s="9"/>
    </row>
    <row r="391" customFormat="false" ht="21.75" hidden="false" customHeight="true" outlineLevel="0" collapsed="false">
      <c r="B391" s="14" t="n">
        <v>381</v>
      </c>
      <c r="C391" s="7" t="s">
        <v>46</v>
      </c>
      <c r="D391" s="7" t="s">
        <v>72</v>
      </c>
      <c r="E391" s="7" t="s">
        <v>820</v>
      </c>
      <c r="F391" s="18" t="n">
        <f aca="false">IF('Base de Datos'!AB385="","",'Base de Datos'!AB385)</f>
        <v>1120</v>
      </c>
      <c r="G391" s="14"/>
      <c r="H391" s="26"/>
      <c r="I391" s="27" t="str">
        <f aca="false">IF(OR($G391="",$G391=0),"",IFERROR(ROUND($F391*$G391*(1-IF($H391="",0,$H391)),2),""))</f>
        <v/>
      </c>
      <c r="J391" s="7"/>
    </row>
    <row r="392" customFormat="false" ht="21.75" hidden="false" customHeight="true" outlineLevel="0" collapsed="false">
      <c r="B392" s="15" t="n">
        <v>382</v>
      </c>
      <c r="C392" s="9" t="s">
        <v>46</v>
      </c>
      <c r="D392" s="9" t="s">
        <v>72</v>
      </c>
      <c r="E392" s="9" t="s">
        <v>832</v>
      </c>
      <c r="F392" s="19" t="n">
        <f aca="false">IF('Base de Datos'!AB386="","",'Base de Datos'!AB386)</f>
        <v>1490</v>
      </c>
      <c r="G392" s="15"/>
      <c r="H392" s="28"/>
      <c r="I392" s="29" t="str">
        <f aca="false">IF(OR($G392="",$G392=0),"",IFERROR(ROUND($F392*$G392*(1-IF($H392="",0,$H392)),2),""))</f>
        <v/>
      </c>
      <c r="J392" s="9"/>
    </row>
    <row r="393" customFormat="false" ht="21.75" hidden="false" customHeight="true" outlineLevel="0" collapsed="false">
      <c r="B393" s="14" t="n">
        <v>383</v>
      </c>
      <c r="C393" s="7" t="s">
        <v>46</v>
      </c>
      <c r="D393" s="7" t="s">
        <v>72</v>
      </c>
      <c r="E393" s="7" t="s">
        <v>856</v>
      </c>
      <c r="F393" s="18" t="n">
        <f aca="false">IF('Base de Datos'!AB387="","",'Base de Datos'!AB387)</f>
        <v>2235</v>
      </c>
      <c r="G393" s="14"/>
      <c r="H393" s="26"/>
      <c r="I393" s="27" t="str">
        <f aca="false">IF(OR($G393="",$G393=0),"",IFERROR(ROUND($F393*$G393*(1-IF($H393="",0,$H393)),2),""))</f>
        <v/>
      </c>
      <c r="J393" s="7"/>
    </row>
    <row r="394" customFormat="false" ht="21.75" hidden="false" customHeight="true" outlineLevel="0" collapsed="false">
      <c r="B394" s="15" t="n">
        <v>384</v>
      </c>
      <c r="C394" s="9" t="s">
        <v>46</v>
      </c>
      <c r="D394" s="9" t="s">
        <v>72</v>
      </c>
      <c r="E394" s="9" t="s">
        <v>859</v>
      </c>
      <c r="F394" s="19" t="n">
        <f aca="false">IF('Base de Datos'!AB388="","",'Base de Datos'!AB388)</f>
        <v>3280</v>
      </c>
      <c r="G394" s="15"/>
      <c r="H394" s="28"/>
      <c r="I394" s="29" t="str">
        <f aca="false">IF(OR($G394="",$G394=0),"",IFERROR(ROUND($F394*$G394*(1-IF($H394="",0,$H394)),2),""))</f>
        <v/>
      </c>
      <c r="J394" s="9"/>
    </row>
    <row r="395" customFormat="false" ht="21.75" hidden="false" customHeight="true" outlineLevel="0" collapsed="false">
      <c r="B395" s="14" t="n">
        <v>385</v>
      </c>
      <c r="C395" s="7" t="s">
        <v>46</v>
      </c>
      <c r="D395" s="7" t="s">
        <v>73</v>
      </c>
      <c r="E395" s="7" t="s">
        <v>908</v>
      </c>
      <c r="F395" s="18" t="n">
        <f aca="false">IF('Base de Datos'!AB389="","",'Base de Datos'!AB389)</f>
        <v>795</v>
      </c>
      <c r="G395" s="14"/>
      <c r="H395" s="26"/>
      <c r="I395" s="27" t="str">
        <f aca="false">IF(OR($G395="",$G395=0),"",IFERROR(ROUND($F395*$G395*(1-IF($H395="",0,$H395)),2),""))</f>
        <v/>
      </c>
      <c r="J395" s="7"/>
    </row>
    <row r="396" customFormat="false" ht="21.75" hidden="false" customHeight="true" outlineLevel="0" collapsed="false">
      <c r="B396" s="15" t="n">
        <v>386</v>
      </c>
      <c r="C396" s="9" t="s">
        <v>46</v>
      </c>
      <c r="D396" s="9" t="s">
        <v>73</v>
      </c>
      <c r="E396" s="9" t="s">
        <v>911</v>
      </c>
      <c r="F396" s="19" t="n">
        <f aca="false">IF('Base de Datos'!AB390="","",'Base de Datos'!AB390)</f>
        <v>1190</v>
      </c>
      <c r="G396" s="15"/>
      <c r="H396" s="28"/>
      <c r="I396" s="29" t="str">
        <f aca="false">IF(OR($G396="",$G396=0),"",IFERROR(ROUND($F396*$G396*(1-IF($H396="",0,$H396)),2),""))</f>
        <v/>
      </c>
      <c r="J396" s="9"/>
    </row>
    <row r="397" customFormat="false" ht="21.75" hidden="false" customHeight="true" outlineLevel="0" collapsed="false">
      <c r="B397" s="14" t="n">
        <v>387</v>
      </c>
      <c r="C397" s="7" t="s">
        <v>46</v>
      </c>
      <c r="D397" s="7" t="s">
        <v>73</v>
      </c>
      <c r="E397" s="7" t="s">
        <v>912</v>
      </c>
      <c r="F397" s="18" t="n">
        <f aca="false">IF('Base de Datos'!AB391="","",'Base de Datos'!AB391)</f>
        <v>1590</v>
      </c>
      <c r="G397" s="14"/>
      <c r="H397" s="26"/>
      <c r="I397" s="27" t="str">
        <f aca="false">IF(OR($G397="",$G397=0),"",IFERROR(ROUND($F397*$G397*(1-IF($H397="",0,$H397)),2),""))</f>
        <v/>
      </c>
      <c r="J397" s="7"/>
    </row>
    <row r="398" customFormat="false" ht="21.75" hidden="false" customHeight="true" outlineLevel="0" collapsed="false">
      <c r="B398" s="15" t="n">
        <v>388</v>
      </c>
      <c r="C398" s="9" t="s">
        <v>46</v>
      </c>
      <c r="D398" s="9" t="s">
        <v>73</v>
      </c>
      <c r="E398" s="9" t="s">
        <v>914</v>
      </c>
      <c r="F398" s="19" t="n">
        <f aca="false">IF('Base de Datos'!AB392="","",'Base de Datos'!AB392)</f>
        <v>2385</v>
      </c>
      <c r="G398" s="15"/>
      <c r="H398" s="28"/>
      <c r="I398" s="29" t="str">
        <f aca="false">IF(OR($G398="",$G398=0),"",IFERROR(ROUND($F398*$G398*(1-IF($H398="",0,$H398)),2),""))</f>
        <v/>
      </c>
      <c r="J398" s="9"/>
    </row>
    <row r="399" customFormat="false" ht="21.75" hidden="false" customHeight="true" outlineLevel="0" collapsed="false">
      <c r="B399" s="14" t="n">
        <v>389</v>
      </c>
      <c r="C399" s="7" t="s">
        <v>46</v>
      </c>
      <c r="D399" s="7" t="s">
        <v>73</v>
      </c>
      <c r="E399" s="7" t="s">
        <v>915</v>
      </c>
      <c r="F399" s="18" t="n">
        <f aca="false">IF('Base de Datos'!AB393="","",'Base de Datos'!AB393)</f>
        <v>3500</v>
      </c>
      <c r="G399" s="14"/>
      <c r="H399" s="26"/>
      <c r="I399" s="27" t="str">
        <f aca="false">IF(OR($G399="",$G399=0),"",IFERROR(ROUND($F399*$G399*(1-IF($H399="",0,$H399)),2),""))</f>
        <v/>
      </c>
      <c r="J399" s="7"/>
    </row>
    <row r="400" customFormat="false" ht="21.75" hidden="false" customHeight="true" outlineLevel="0" collapsed="false">
      <c r="B400" s="15" t="n">
        <v>390</v>
      </c>
      <c r="C400" s="9" t="s">
        <v>46</v>
      </c>
      <c r="D400" s="9" t="s">
        <v>74</v>
      </c>
      <c r="E400" s="9" t="s">
        <v>321</v>
      </c>
      <c r="F400" s="19" t="str">
        <f aca="false">IF('Base de Datos'!AB394="","",'Base de Datos'!AB394)</f>
        <v/>
      </c>
      <c r="G400" s="15"/>
      <c r="H400" s="28"/>
      <c r="I400" s="29" t="str">
        <f aca="false">IF(OR($G400="",$G400=0),"",IFERROR(ROUND($F400*$G400*(1-IF($H400="",0,$H400)),2),""))</f>
        <v/>
      </c>
      <c r="J400" s="9"/>
    </row>
    <row r="401" customFormat="false" ht="21.75" hidden="false" customHeight="true" outlineLevel="0" collapsed="false">
      <c r="B401" s="14" t="n">
        <v>391</v>
      </c>
      <c r="C401" s="7" t="s">
        <v>47</v>
      </c>
      <c r="D401" s="7" t="s">
        <v>61</v>
      </c>
      <c r="E401" s="7" t="s">
        <v>917</v>
      </c>
      <c r="F401" s="18" t="n">
        <f aca="false">IF('Base de Datos'!AB395="","",'Base de Datos'!AB395)</f>
        <v>155</v>
      </c>
      <c r="G401" s="14"/>
      <c r="H401" s="26"/>
      <c r="I401" s="27" t="str">
        <f aca="false">IF(OR($G401="",$G401=0),"",IFERROR(ROUND($F401*$G401*(1-IF($H401="",0,$H401)),2),""))</f>
        <v/>
      </c>
      <c r="J401" s="7"/>
    </row>
    <row r="402" customFormat="false" ht="21.75" hidden="false" customHeight="true" outlineLevel="0" collapsed="false">
      <c r="B402" s="15" t="n">
        <v>392</v>
      </c>
      <c r="C402" s="9" t="s">
        <v>47</v>
      </c>
      <c r="D402" s="9" t="s">
        <v>61</v>
      </c>
      <c r="E402" s="9" t="s">
        <v>924</v>
      </c>
      <c r="F402" s="19" t="n">
        <f aca="false">IF('Base de Datos'!AB396="","",'Base de Datos'!AB396)</f>
        <v>230</v>
      </c>
      <c r="G402" s="15"/>
      <c r="H402" s="28"/>
      <c r="I402" s="29" t="str">
        <f aca="false">IF(OR($G402="",$G402=0),"",IFERROR(ROUND($F402*$G402*(1-IF($H402="",0,$H402)),2),""))</f>
        <v/>
      </c>
      <c r="J402" s="9"/>
    </row>
    <row r="403" customFormat="false" ht="21.75" hidden="false" customHeight="true" outlineLevel="0" collapsed="false">
      <c r="B403" s="14" t="n">
        <v>393</v>
      </c>
      <c r="C403" s="7" t="s">
        <v>47</v>
      </c>
      <c r="D403" s="7" t="s">
        <v>61</v>
      </c>
      <c r="E403" s="7" t="s">
        <v>925</v>
      </c>
      <c r="F403" s="18" t="n">
        <f aca="false">IF('Base de Datos'!AB397="","",'Base de Datos'!AB397)</f>
        <v>310</v>
      </c>
      <c r="G403" s="14"/>
      <c r="H403" s="26"/>
      <c r="I403" s="27" t="str">
        <f aca="false">IF(OR($G403="",$G403=0),"",IFERROR(ROUND($F403*$G403*(1-IF($H403="",0,$H403)),2),""))</f>
        <v/>
      </c>
      <c r="J403" s="7"/>
    </row>
    <row r="404" customFormat="false" ht="21.75" hidden="false" customHeight="true" outlineLevel="0" collapsed="false">
      <c r="B404" s="15" t="n">
        <v>394</v>
      </c>
      <c r="C404" s="9" t="s">
        <v>47</v>
      </c>
      <c r="D404" s="9" t="s">
        <v>61</v>
      </c>
      <c r="E404" s="9" t="s">
        <v>927</v>
      </c>
      <c r="F404" s="19" t="n">
        <f aca="false">IF('Base de Datos'!AB398="","",'Base de Datos'!AB398)</f>
        <v>465</v>
      </c>
      <c r="G404" s="15"/>
      <c r="H404" s="28"/>
      <c r="I404" s="29" t="str">
        <f aca="false">IF(OR($G404="",$G404=0),"",IFERROR(ROUND($F404*$G404*(1-IF($H404="",0,$H404)),2),""))</f>
        <v/>
      </c>
      <c r="J404" s="9"/>
    </row>
    <row r="405" customFormat="false" ht="21.75" hidden="false" customHeight="true" outlineLevel="0" collapsed="false">
      <c r="B405" s="14" t="n">
        <v>395</v>
      </c>
      <c r="C405" s="7" t="s">
        <v>47</v>
      </c>
      <c r="D405" s="7" t="s">
        <v>61</v>
      </c>
      <c r="E405" s="7" t="s">
        <v>928</v>
      </c>
      <c r="F405" s="18" t="n">
        <f aca="false">IF('Base de Datos'!AB399="","",'Base de Datos'!AB399)</f>
        <v>680</v>
      </c>
      <c r="G405" s="14"/>
      <c r="H405" s="26"/>
      <c r="I405" s="27" t="str">
        <f aca="false">IF(OR($G405="",$G405=0),"",IFERROR(ROUND($F405*$G405*(1-IF($H405="",0,$H405)),2),""))</f>
        <v/>
      </c>
      <c r="J405" s="7"/>
    </row>
    <row r="406" customFormat="false" ht="21.75" hidden="false" customHeight="true" outlineLevel="0" collapsed="false">
      <c r="B406" s="15" t="n">
        <v>396</v>
      </c>
      <c r="C406" s="9" t="s">
        <v>47</v>
      </c>
      <c r="D406" s="9" t="s">
        <v>62</v>
      </c>
      <c r="E406" s="9" t="s">
        <v>925</v>
      </c>
      <c r="F406" s="19" t="n">
        <f aca="false">IF('Base de Datos'!AB400="","",'Base de Datos'!AB400)</f>
        <v>170</v>
      </c>
      <c r="G406" s="15"/>
      <c r="H406" s="28"/>
      <c r="I406" s="29" t="str">
        <f aca="false">IF(OR($G406="",$G406=0),"",IFERROR(ROUND($F406*$G406*(1-IF($H406="",0,$H406)),2),""))</f>
        <v/>
      </c>
      <c r="J406" s="9"/>
    </row>
    <row r="407" customFormat="false" ht="21.75" hidden="false" customHeight="true" outlineLevel="0" collapsed="false">
      <c r="B407" s="14" t="n">
        <v>397</v>
      </c>
      <c r="C407" s="7" t="s">
        <v>47</v>
      </c>
      <c r="D407" s="7" t="s">
        <v>62</v>
      </c>
      <c r="E407" s="7" t="s">
        <v>927</v>
      </c>
      <c r="F407" s="18" t="n">
        <f aca="false">IF('Base de Datos'!AB401="","",'Base de Datos'!AB401)</f>
        <v>255</v>
      </c>
      <c r="G407" s="14"/>
      <c r="H407" s="26"/>
      <c r="I407" s="27" t="str">
        <f aca="false">IF(OR($G407="",$G407=0),"",IFERROR(ROUND($F407*$G407*(1-IF($H407="",0,$H407)),2),""))</f>
        <v/>
      </c>
      <c r="J407" s="7"/>
    </row>
    <row r="408" customFormat="false" ht="21.75" hidden="false" customHeight="true" outlineLevel="0" collapsed="false">
      <c r="B408" s="15" t="n">
        <v>398</v>
      </c>
      <c r="C408" s="9" t="s">
        <v>47</v>
      </c>
      <c r="D408" s="9" t="s">
        <v>62</v>
      </c>
      <c r="E408" s="9" t="s">
        <v>930</v>
      </c>
      <c r="F408" s="19" t="n">
        <f aca="false">IF('Base de Datos'!AB402="","",'Base de Datos'!AB402)</f>
        <v>340</v>
      </c>
      <c r="G408" s="15"/>
      <c r="H408" s="28"/>
      <c r="I408" s="29" t="str">
        <f aca="false">IF(OR($G408="",$G408=0),"",IFERROR(ROUND($F408*$G408*(1-IF($H408="",0,$H408)),2),""))</f>
        <v/>
      </c>
      <c r="J408" s="9"/>
    </row>
    <row r="409" customFormat="false" ht="21.75" hidden="false" customHeight="true" outlineLevel="0" collapsed="false">
      <c r="B409" s="14" t="n">
        <v>399</v>
      </c>
      <c r="C409" s="7" t="s">
        <v>47</v>
      </c>
      <c r="D409" s="7" t="s">
        <v>62</v>
      </c>
      <c r="E409" s="7" t="s">
        <v>932</v>
      </c>
      <c r="F409" s="18" t="n">
        <f aca="false">IF('Base de Datos'!AB403="","",'Base de Datos'!AB403)</f>
        <v>510</v>
      </c>
      <c r="G409" s="14"/>
      <c r="H409" s="26"/>
      <c r="I409" s="27" t="str">
        <f aca="false">IF(OR($G409="",$G409=0),"",IFERROR(ROUND($F409*$G409*(1-IF($H409="",0,$H409)),2),""))</f>
        <v/>
      </c>
      <c r="J409" s="7"/>
    </row>
    <row r="410" customFormat="false" ht="21.75" hidden="false" customHeight="true" outlineLevel="0" collapsed="false">
      <c r="B410" s="15" t="n">
        <v>400</v>
      </c>
      <c r="C410" s="9" t="s">
        <v>47</v>
      </c>
      <c r="D410" s="9" t="s">
        <v>62</v>
      </c>
      <c r="E410" s="9" t="s">
        <v>933</v>
      </c>
      <c r="F410" s="19" t="n">
        <f aca="false">IF('Base de Datos'!AB404="","",'Base de Datos'!AB404)</f>
        <v>750</v>
      </c>
      <c r="G410" s="15"/>
      <c r="H410" s="28"/>
      <c r="I410" s="29" t="str">
        <f aca="false">IF(OR($G410="",$G410=0),"",IFERROR(ROUND($F410*$G410*(1-IF($H410="",0,$H410)),2),""))</f>
        <v/>
      </c>
      <c r="J410" s="9"/>
    </row>
    <row r="411" customFormat="false" ht="21.75" hidden="false" customHeight="true" outlineLevel="0" collapsed="false">
      <c r="B411" s="14" t="n">
        <v>401</v>
      </c>
      <c r="C411" s="7" t="s">
        <v>47</v>
      </c>
      <c r="D411" s="7" t="s">
        <v>63</v>
      </c>
      <c r="E411" s="7" t="s">
        <v>934</v>
      </c>
      <c r="F411" s="18" t="n">
        <f aca="false">IF('Base de Datos'!AB405="","",'Base de Datos'!AB405)</f>
        <v>150</v>
      </c>
      <c r="G411" s="14"/>
      <c r="H411" s="26"/>
      <c r="I411" s="27" t="str">
        <f aca="false">IF(OR($G411="",$G411=0),"",IFERROR(ROUND($F411*$G411*(1-IF($H411="",0,$H411)),2),""))</f>
        <v/>
      </c>
      <c r="J411" s="7"/>
    </row>
    <row r="412" customFormat="false" ht="21.75" hidden="false" customHeight="true" outlineLevel="0" collapsed="false">
      <c r="B412" s="15" t="n">
        <v>402</v>
      </c>
      <c r="C412" s="9" t="s">
        <v>47</v>
      </c>
      <c r="D412" s="9" t="s">
        <v>63</v>
      </c>
      <c r="E412" s="9" t="s">
        <v>936</v>
      </c>
      <c r="F412" s="19" t="n">
        <f aca="false">IF('Base de Datos'!AB406="","",'Base de Datos'!AB406)</f>
        <v>225</v>
      </c>
      <c r="G412" s="15"/>
      <c r="H412" s="28"/>
      <c r="I412" s="29" t="str">
        <f aca="false">IF(OR($G412="",$G412=0),"",IFERROR(ROUND($F412*$G412*(1-IF($H412="",0,$H412)),2),""))</f>
        <v/>
      </c>
      <c r="J412" s="9"/>
    </row>
    <row r="413" customFormat="false" ht="21.75" hidden="false" customHeight="true" outlineLevel="0" collapsed="false">
      <c r="B413" s="14" t="n">
        <v>403</v>
      </c>
      <c r="C413" s="7" t="s">
        <v>47</v>
      </c>
      <c r="D413" s="7" t="s">
        <v>63</v>
      </c>
      <c r="E413" s="7" t="s">
        <v>937</v>
      </c>
      <c r="F413" s="18" t="n">
        <f aca="false">IF('Base de Datos'!AB407="","",'Base de Datos'!AB407)</f>
        <v>300</v>
      </c>
      <c r="G413" s="14"/>
      <c r="H413" s="26"/>
      <c r="I413" s="27" t="str">
        <f aca="false">IF(OR($G413="",$G413=0),"",IFERROR(ROUND($F413*$G413*(1-IF($H413="",0,$H413)),2),""))</f>
        <v/>
      </c>
      <c r="J413" s="7"/>
    </row>
    <row r="414" customFormat="false" ht="21.75" hidden="false" customHeight="true" outlineLevel="0" collapsed="false">
      <c r="B414" s="15" t="n">
        <v>404</v>
      </c>
      <c r="C414" s="9" t="s">
        <v>47</v>
      </c>
      <c r="D414" s="9" t="s">
        <v>63</v>
      </c>
      <c r="E414" s="9" t="s">
        <v>939</v>
      </c>
      <c r="F414" s="19" t="n">
        <f aca="false">IF('Base de Datos'!AB408="","",'Base de Datos'!AB408)</f>
        <v>450</v>
      </c>
      <c r="G414" s="15"/>
      <c r="H414" s="28"/>
      <c r="I414" s="29" t="str">
        <f aca="false">IF(OR($G414="",$G414=0),"",IFERROR(ROUND($F414*$G414*(1-IF($H414="",0,$H414)),2),""))</f>
        <v/>
      </c>
      <c r="J414" s="9"/>
    </row>
    <row r="415" customFormat="false" ht="21.75" hidden="false" customHeight="true" outlineLevel="0" collapsed="false">
      <c r="B415" s="14" t="n">
        <v>405</v>
      </c>
      <c r="C415" s="7" t="s">
        <v>47</v>
      </c>
      <c r="D415" s="7" t="s">
        <v>63</v>
      </c>
      <c r="E415" s="7" t="s">
        <v>940</v>
      </c>
      <c r="F415" s="18" t="n">
        <f aca="false">IF('Base de Datos'!AB409="","",'Base de Datos'!AB409)</f>
        <v>660</v>
      </c>
      <c r="G415" s="14"/>
      <c r="H415" s="26"/>
      <c r="I415" s="27" t="str">
        <f aca="false">IF(OR($G415="",$G415=0),"",IFERROR(ROUND($F415*$G415*(1-IF($H415="",0,$H415)),2),""))</f>
        <v/>
      </c>
      <c r="J415" s="7"/>
    </row>
    <row r="416" customFormat="false" ht="21.75" hidden="false" customHeight="true" outlineLevel="0" collapsed="false">
      <c r="B416" s="15" t="n">
        <v>406</v>
      </c>
      <c r="C416" s="9" t="s">
        <v>47</v>
      </c>
      <c r="D416" s="9" t="s">
        <v>64</v>
      </c>
      <c r="E416" s="9" t="s">
        <v>941</v>
      </c>
      <c r="F416" s="19" t="n">
        <f aca="false">IF('Base de Datos'!AB410="","",'Base de Datos'!AB410)</f>
        <v>725</v>
      </c>
      <c r="G416" s="15"/>
      <c r="H416" s="28"/>
      <c r="I416" s="29" t="str">
        <f aca="false">IF(OR($G416="",$G416=0),"",IFERROR(ROUND($F416*$G416*(1-IF($H416="",0,$H416)),2),""))</f>
        <v/>
      </c>
      <c r="J416" s="9"/>
    </row>
    <row r="417" customFormat="false" ht="21.75" hidden="false" customHeight="true" outlineLevel="0" collapsed="false">
      <c r="B417" s="14" t="n">
        <v>407</v>
      </c>
      <c r="C417" s="7" t="s">
        <v>47</v>
      </c>
      <c r="D417" s="7" t="s">
        <v>64</v>
      </c>
      <c r="E417" s="7" t="s">
        <v>944</v>
      </c>
      <c r="F417" s="18" t="n">
        <f aca="false">IF('Base de Datos'!AB411="","",'Base de Datos'!AB411)</f>
        <v>1090</v>
      </c>
      <c r="G417" s="14"/>
      <c r="H417" s="26"/>
      <c r="I417" s="27" t="str">
        <f aca="false">IF(OR($G417="",$G417=0),"",IFERROR(ROUND($F417*$G417*(1-IF($H417="",0,$H417)),2),""))</f>
        <v/>
      </c>
      <c r="J417" s="7"/>
    </row>
    <row r="418" customFormat="false" ht="21.75" hidden="false" customHeight="true" outlineLevel="0" collapsed="false">
      <c r="B418" s="15" t="n">
        <v>408</v>
      </c>
      <c r="C418" s="9" t="s">
        <v>47</v>
      </c>
      <c r="D418" s="9" t="s">
        <v>64</v>
      </c>
      <c r="E418" s="9" t="s">
        <v>945</v>
      </c>
      <c r="F418" s="19" t="n">
        <f aca="false">IF('Base de Datos'!AB412="","",'Base de Datos'!AB412)</f>
        <v>1450</v>
      </c>
      <c r="G418" s="15"/>
      <c r="H418" s="28"/>
      <c r="I418" s="29" t="str">
        <f aca="false">IF(OR($G418="",$G418=0),"",IFERROR(ROUND($F418*$G418*(1-IF($H418="",0,$H418)),2),""))</f>
        <v/>
      </c>
      <c r="J418" s="9"/>
    </row>
    <row r="419" customFormat="false" ht="21.75" hidden="false" customHeight="true" outlineLevel="0" collapsed="false">
      <c r="B419" s="14" t="n">
        <v>409</v>
      </c>
      <c r="C419" s="7" t="s">
        <v>47</v>
      </c>
      <c r="D419" s="7" t="s">
        <v>64</v>
      </c>
      <c r="E419" s="7" t="s">
        <v>947</v>
      </c>
      <c r="F419" s="18" t="n">
        <f aca="false">IF('Base de Datos'!AB413="","",'Base de Datos'!AB413)</f>
        <v>2175</v>
      </c>
      <c r="G419" s="14"/>
      <c r="H419" s="26"/>
      <c r="I419" s="27" t="str">
        <f aca="false">IF(OR($G419="",$G419=0),"",IFERROR(ROUND($F419*$G419*(1-IF($H419="",0,$H419)),2),""))</f>
        <v/>
      </c>
      <c r="J419" s="7"/>
    </row>
    <row r="420" customFormat="false" ht="21.75" hidden="false" customHeight="true" outlineLevel="0" collapsed="false">
      <c r="B420" s="15" t="n">
        <v>410</v>
      </c>
      <c r="C420" s="9" t="s">
        <v>47</v>
      </c>
      <c r="D420" s="9" t="s">
        <v>64</v>
      </c>
      <c r="E420" s="9" t="s">
        <v>948</v>
      </c>
      <c r="F420" s="19" t="n">
        <f aca="false">IF('Base de Datos'!AB414="","",'Base de Datos'!AB414)</f>
        <v>3190</v>
      </c>
      <c r="G420" s="15"/>
      <c r="H420" s="28"/>
      <c r="I420" s="29" t="str">
        <f aca="false">IF(OR($G420="",$G420=0),"",IFERROR(ROUND($F420*$G420*(1-IF($H420="",0,$H420)),2),""))</f>
        <v/>
      </c>
      <c r="J420" s="9"/>
    </row>
    <row r="421" customFormat="false" ht="21.75" hidden="false" customHeight="true" outlineLevel="0" collapsed="false">
      <c r="B421" s="14" t="n">
        <v>411</v>
      </c>
      <c r="C421" s="7" t="s">
        <v>47</v>
      </c>
      <c r="D421" s="7" t="s">
        <v>65</v>
      </c>
      <c r="E421" s="7" t="s">
        <v>949</v>
      </c>
      <c r="F421" s="18" t="n">
        <f aca="false">IF('Base de Datos'!AB415="","",'Base de Datos'!AB415)</f>
        <v>345</v>
      </c>
      <c r="G421" s="14"/>
      <c r="H421" s="26"/>
      <c r="I421" s="27" t="str">
        <f aca="false">IF(OR($G421="",$G421=0),"",IFERROR(ROUND($F421*$G421*(1-IF($H421="",0,$H421)),2),""))</f>
        <v/>
      </c>
      <c r="J421" s="7"/>
    </row>
    <row r="422" customFormat="false" ht="21.75" hidden="false" customHeight="true" outlineLevel="0" collapsed="false">
      <c r="B422" s="15" t="n">
        <v>412</v>
      </c>
      <c r="C422" s="9" t="s">
        <v>47</v>
      </c>
      <c r="D422" s="9" t="s">
        <v>65</v>
      </c>
      <c r="E422" s="9" t="s">
        <v>953</v>
      </c>
      <c r="F422" s="19" t="n">
        <f aca="false">IF('Base de Datos'!AB416="","",'Base de Datos'!AB416)</f>
        <v>520</v>
      </c>
      <c r="G422" s="15"/>
      <c r="H422" s="28"/>
      <c r="I422" s="29" t="str">
        <f aca="false">IF(OR($G422="",$G422=0),"",IFERROR(ROUND($F422*$G422*(1-IF($H422="",0,$H422)),2),""))</f>
        <v/>
      </c>
      <c r="J422" s="9"/>
    </row>
    <row r="423" customFormat="false" ht="21.75" hidden="false" customHeight="true" outlineLevel="0" collapsed="false">
      <c r="B423" s="14" t="n">
        <v>413</v>
      </c>
      <c r="C423" s="7" t="s">
        <v>47</v>
      </c>
      <c r="D423" s="7" t="s">
        <v>65</v>
      </c>
      <c r="E423" s="7" t="s">
        <v>954</v>
      </c>
      <c r="F423" s="18" t="n">
        <f aca="false">IF('Base de Datos'!AB417="","",'Base de Datos'!AB417)</f>
        <v>690</v>
      </c>
      <c r="G423" s="14"/>
      <c r="H423" s="26"/>
      <c r="I423" s="27" t="str">
        <f aca="false">IF(OR($G423="",$G423=0),"",IFERROR(ROUND($F423*$G423*(1-IF($H423="",0,$H423)),2),""))</f>
        <v/>
      </c>
      <c r="J423" s="7"/>
    </row>
    <row r="424" customFormat="false" ht="21.75" hidden="false" customHeight="true" outlineLevel="0" collapsed="false">
      <c r="B424" s="15" t="n">
        <v>414</v>
      </c>
      <c r="C424" s="9" t="s">
        <v>47</v>
      </c>
      <c r="D424" s="9" t="s">
        <v>65</v>
      </c>
      <c r="E424" s="9" t="s">
        <v>956</v>
      </c>
      <c r="F424" s="19" t="n">
        <f aca="false">IF('Base de Datos'!AB418="","",'Base de Datos'!AB418)</f>
        <v>1035</v>
      </c>
      <c r="G424" s="15"/>
      <c r="H424" s="28"/>
      <c r="I424" s="29" t="str">
        <f aca="false">IF(OR($G424="",$G424=0),"",IFERROR(ROUND($F424*$G424*(1-IF($H424="",0,$H424)),2),""))</f>
        <v/>
      </c>
      <c r="J424" s="9"/>
    </row>
    <row r="425" customFormat="false" ht="21.75" hidden="false" customHeight="true" outlineLevel="0" collapsed="false">
      <c r="B425" s="14" t="n">
        <v>415</v>
      </c>
      <c r="C425" s="7" t="s">
        <v>47</v>
      </c>
      <c r="D425" s="7" t="s">
        <v>65</v>
      </c>
      <c r="E425" s="7" t="s">
        <v>957</v>
      </c>
      <c r="F425" s="18" t="n">
        <f aca="false">IF('Base de Datos'!AB419="","",'Base de Datos'!AB419)</f>
        <v>1520</v>
      </c>
      <c r="G425" s="14"/>
      <c r="H425" s="26"/>
      <c r="I425" s="27" t="str">
        <f aca="false">IF(OR($G425="",$G425=0),"",IFERROR(ROUND($F425*$G425*(1-IF($H425="",0,$H425)),2),""))</f>
        <v/>
      </c>
      <c r="J425" s="7"/>
    </row>
    <row r="426" customFormat="false" ht="21.75" hidden="false" customHeight="true" outlineLevel="0" collapsed="false">
      <c r="B426" s="15" t="n">
        <v>416</v>
      </c>
      <c r="C426" s="9" t="s">
        <v>47</v>
      </c>
      <c r="D426" s="9" t="s">
        <v>66</v>
      </c>
      <c r="E426" s="9" t="s">
        <v>958</v>
      </c>
      <c r="F426" s="19" t="n">
        <f aca="false">IF('Base de Datos'!AB420="","",'Base de Datos'!AB420)</f>
        <v>260</v>
      </c>
      <c r="G426" s="15"/>
      <c r="H426" s="28"/>
      <c r="I426" s="29" t="str">
        <f aca="false">IF(OR($G426="",$G426=0),"",IFERROR(ROUND($F426*$G426*(1-IF($H426="",0,$H426)),2),""))</f>
        <v/>
      </c>
      <c r="J426" s="9"/>
    </row>
    <row r="427" customFormat="false" ht="21.75" hidden="false" customHeight="true" outlineLevel="0" collapsed="false">
      <c r="B427" s="14" t="n">
        <v>417</v>
      </c>
      <c r="C427" s="7" t="s">
        <v>47</v>
      </c>
      <c r="D427" s="7" t="s">
        <v>66</v>
      </c>
      <c r="E427" s="7" t="s">
        <v>961</v>
      </c>
      <c r="F427" s="18" t="n">
        <f aca="false">IF('Base de Datos'!AB421="","",'Base de Datos'!AB421)</f>
        <v>390</v>
      </c>
      <c r="G427" s="14"/>
      <c r="H427" s="26"/>
      <c r="I427" s="27" t="str">
        <f aca="false">IF(OR($G427="",$G427=0),"",IFERROR(ROUND($F427*$G427*(1-IF($H427="",0,$H427)),2),""))</f>
        <v/>
      </c>
      <c r="J427" s="7"/>
    </row>
    <row r="428" customFormat="false" ht="21.75" hidden="false" customHeight="true" outlineLevel="0" collapsed="false">
      <c r="B428" s="15" t="n">
        <v>418</v>
      </c>
      <c r="C428" s="9" t="s">
        <v>47</v>
      </c>
      <c r="D428" s="9" t="s">
        <v>66</v>
      </c>
      <c r="E428" s="9" t="s">
        <v>962</v>
      </c>
      <c r="F428" s="19" t="n">
        <f aca="false">IF('Base de Datos'!AB422="","",'Base de Datos'!AB422)</f>
        <v>520</v>
      </c>
      <c r="G428" s="15"/>
      <c r="H428" s="28"/>
      <c r="I428" s="29" t="str">
        <f aca="false">IF(OR($G428="",$G428=0),"",IFERROR(ROUND($F428*$G428*(1-IF($H428="",0,$H428)),2),""))</f>
        <v/>
      </c>
      <c r="J428" s="9"/>
    </row>
    <row r="429" customFormat="false" ht="21.75" hidden="false" customHeight="true" outlineLevel="0" collapsed="false">
      <c r="B429" s="14" t="n">
        <v>419</v>
      </c>
      <c r="C429" s="7" t="s">
        <v>47</v>
      </c>
      <c r="D429" s="7" t="s">
        <v>66</v>
      </c>
      <c r="E429" s="7" t="s">
        <v>964</v>
      </c>
      <c r="F429" s="18" t="n">
        <f aca="false">IF('Base de Datos'!AB423="","",'Base de Datos'!AB423)</f>
        <v>780</v>
      </c>
      <c r="G429" s="14"/>
      <c r="H429" s="26"/>
      <c r="I429" s="27" t="str">
        <f aca="false">IF(OR($G429="",$G429=0),"",IFERROR(ROUND($F429*$G429*(1-IF($H429="",0,$H429)),2),""))</f>
        <v/>
      </c>
      <c r="J429" s="7"/>
    </row>
    <row r="430" customFormat="false" ht="21.75" hidden="false" customHeight="true" outlineLevel="0" collapsed="false">
      <c r="B430" s="15" t="n">
        <v>420</v>
      </c>
      <c r="C430" s="9" t="s">
        <v>47</v>
      </c>
      <c r="D430" s="9" t="s">
        <v>66</v>
      </c>
      <c r="E430" s="9" t="s">
        <v>965</v>
      </c>
      <c r="F430" s="19" t="n">
        <f aca="false">IF('Base de Datos'!AB424="","",'Base de Datos'!AB424)</f>
        <v>1145</v>
      </c>
      <c r="G430" s="15"/>
      <c r="H430" s="28"/>
      <c r="I430" s="29" t="str">
        <f aca="false">IF(OR($G430="",$G430=0),"",IFERROR(ROUND($F430*$G430*(1-IF($H430="",0,$H430)),2),""))</f>
        <v/>
      </c>
      <c r="J430" s="9"/>
    </row>
    <row r="431" customFormat="false" ht="21.75" hidden="false" customHeight="true" outlineLevel="0" collapsed="false">
      <c r="B431" s="14" t="n">
        <v>421</v>
      </c>
      <c r="C431" s="7" t="s">
        <v>47</v>
      </c>
      <c r="D431" s="7" t="s">
        <v>67</v>
      </c>
      <c r="E431" s="7" t="s">
        <v>966</v>
      </c>
      <c r="F431" s="18" t="n">
        <f aca="false">IF('Base de Datos'!AB425="","",'Base de Datos'!AB425)</f>
        <v>310</v>
      </c>
      <c r="G431" s="14"/>
      <c r="H431" s="26"/>
      <c r="I431" s="27" t="str">
        <f aca="false">IF(OR($G431="",$G431=0),"",IFERROR(ROUND($F431*$G431*(1-IF($H431="",0,$H431)),2),""))</f>
        <v/>
      </c>
      <c r="J431" s="7"/>
    </row>
    <row r="432" customFormat="false" ht="21.75" hidden="false" customHeight="true" outlineLevel="0" collapsed="false">
      <c r="B432" s="15" t="n">
        <v>422</v>
      </c>
      <c r="C432" s="9" t="s">
        <v>47</v>
      </c>
      <c r="D432" s="9" t="s">
        <v>67</v>
      </c>
      <c r="E432" s="9" t="s">
        <v>969</v>
      </c>
      <c r="F432" s="19" t="n">
        <f aca="false">IF('Base de Datos'!AB426="","",'Base de Datos'!AB426)</f>
        <v>465</v>
      </c>
      <c r="G432" s="15"/>
      <c r="H432" s="28"/>
      <c r="I432" s="29" t="str">
        <f aca="false">IF(OR($G432="",$G432=0),"",IFERROR(ROUND($F432*$G432*(1-IF($H432="",0,$H432)),2),""))</f>
        <v/>
      </c>
      <c r="J432" s="9"/>
    </row>
    <row r="433" customFormat="false" ht="21.75" hidden="false" customHeight="true" outlineLevel="0" collapsed="false">
      <c r="B433" s="14" t="n">
        <v>423</v>
      </c>
      <c r="C433" s="7" t="s">
        <v>47</v>
      </c>
      <c r="D433" s="7" t="s">
        <v>67</v>
      </c>
      <c r="E433" s="7" t="s">
        <v>970</v>
      </c>
      <c r="F433" s="18" t="n">
        <f aca="false">IF('Base de Datos'!AB427="","",'Base de Datos'!AB427)</f>
        <v>620</v>
      </c>
      <c r="G433" s="14"/>
      <c r="H433" s="26"/>
      <c r="I433" s="27" t="str">
        <f aca="false">IF(OR($G433="",$G433=0),"",IFERROR(ROUND($F433*$G433*(1-IF($H433="",0,$H433)),2),""))</f>
        <v/>
      </c>
      <c r="J433" s="7"/>
    </row>
    <row r="434" customFormat="false" ht="21.75" hidden="false" customHeight="true" outlineLevel="0" collapsed="false">
      <c r="B434" s="15" t="n">
        <v>424</v>
      </c>
      <c r="C434" s="9" t="s">
        <v>47</v>
      </c>
      <c r="D434" s="9" t="s">
        <v>67</v>
      </c>
      <c r="E434" s="9" t="s">
        <v>971</v>
      </c>
      <c r="F434" s="19" t="n">
        <f aca="false">IF('Base de Datos'!AB428="","",'Base de Datos'!AB428)</f>
        <v>930</v>
      </c>
      <c r="G434" s="15"/>
      <c r="H434" s="28"/>
      <c r="I434" s="29" t="str">
        <f aca="false">IF(OR($G434="",$G434=0),"",IFERROR(ROUND($F434*$G434*(1-IF($H434="",0,$H434)),2),""))</f>
        <v/>
      </c>
      <c r="J434" s="9"/>
    </row>
    <row r="435" customFormat="false" ht="21.75" hidden="false" customHeight="true" outlineLevel="0" collapsed="false">
      <c r="B435" s="14" t="n">
        <v>425</v>
      </c>
      <c r="C435" s="7" t="s">
        <v>47</v>
      </c>
      <c r="D435" s="7" t="s">
        <v>67</v>
      </c>
      <c r="E435" s="7" t="s">
        <v>972</v>
      </c>
      <c r="F435" s="18" t="n">
        <f aca="false">IF('Base de Datos'!AB429="","",'Base de Datos'!AB429)</f>
        <v>1365</v>
      </c>
      <c r="G435" s="14"/>
      <c r="H435" s="26"/>
      <c r="I435" s="27" t="str">
        <f aca="false">IF(OR($G435="",$G435=0),"",IFERROR(ROUND($F435*$G435*(1-IF($H435="",0,$H435)),2),""))</f>
        <v/>
      </c>
      <c r="J435" s="7"/>
    </row>
    <row r="436" customFormat="false" ht="21.75" hidden="false" customHeight="true" outlineLevel="0" collapsed="false">
      <c r="B436" s="15" t="n">
        <v>426</v>
      </c>
      <c r="C436" s="9" t="s">
        <v>47</v>
      </c>
      <c r="D436" s="9" t="s">
        <v>68</v>
      </c>
      <c r="E436" s="9" t="s">
        <v>973</v>
      </c>
      <c r="F436" s="19" t="n">
        <f aca="false">IF('Base de Datos'!AB430="","",'Base de Datos'!AB430)</f>
        <v>1100</v>
      </c>
      <c r="G436" s="15"/>
      <c r="H436" s="28"/>
      <c r="I436" s="29" t="str">
        <f aca="false">IF(OR($G436="",$G436=0),"",IFERROR(ROUND($F436*$G436*(1-IF($H436="",0,$H436)),2),""))</f>
        <v/>
      </c>
      <c r="J436" s="9"/>
    </row>
    <row r="437" customFormat="false" ht="21.75" hidden="false" customHeight="true" outlineLevel="0" collapsed="false">
      <c r="B437" s="14" t="n">
        <v>427</v>
      </c>
      <c r="C437" s="7" t="s">
        <v>47</v>
      </c>
      <c r="D437" s="7" t="s">
        <v>68</v>
      </c>
      <c r="E437" s="7" t="s">
        <v>977</v>
      </c>
      <c r="F437" s="18" t="n">
        <f aca="false">IF('Base de Datos'!AB431="","",'Base de Datos'!AB431)</f>
        <v>1650</v>
      </c>
      <c r="G437" s="14"/>
      <c r="H437" s="26"/>
      <c r="I437" s="27" t="str">
        <f aca="false">IF(OR($G437="",$G437=0),"",IFERROR(ROUND($F437*$G437*(1-IF($H437="",0,$H437)),2),""))</f>
        <v/>
      </c>
      <c r="J437" s="7"/>
    </row>
    <row r="438" customFormat="false" ht="21.75" hidden="false" customHeight="true" outlineLevel="0" collapsed="false">
      <c r="B438" s="15" t="n">
        <v>428</v>
      </c>
      <c r="C438" s="9" t="s">
        <v>47</v>
      </c>
      <c r="D438" s="9" t="s">
        <v>68</v>
      </c>
      <c r="E438" s="9" t="s">
        <v>978</v>
      </c>
      <c r="F438" s="19" t="n">
        <f aca="false">IF('Base de Datos'!AB432="","",'Base de Datos'!AB432)</f>
        <v>2200</v>
      </c>
      <c r="G438" s="15"/>
      <c r="H438" s="28"/>
      <c r="I438" s="29" t="str">
        <f aca="false">IF(OR($G438="",$G438=0),"",IFERROR(ROUND($F438*$G438*(1-IF($H438="",0,$H438)),2),""))</f>
        <v/>
      </c>
      <c r="J438" s="9"/>
    </row>
    <row r="439" customFormat="false" ht="21.75" hidden="false" customHeight="true" outlineLevel="0" collapsed="false">
      <c r="B439" s="14" t="n">
        <v>429</v>
      </c>
      <c r="C439" s="7" t="s">
        <v>47</v>
      </c>
      <c r="D439" s="7" t="s">
        <v>68</v>
      </c>
      <c r="E439" s="7" t="s">
        <v>980</v>
      </c>
      <c r="F439" s="18" t="n">
        <f aca="false">IF('Base de Datos'!AB433="","",'Base de Datos'!AB433)</f>
        <v>3300</v>
      </c>
      <c r="G439" s="14"/>
      <c r="H439" s="26"/>
      <c r="I439" s="27" t="str">
        <f aca="false">IF(OR($G439="",$G439=0),"",IFERROR(ROUND($F439*$G439*(1-IF($H439="",0,$H439)),2),""))</f>
        <v/>
      </c>
      <c r="J439" s="7"/>
    </row>
    <row r="440" customFormat="false" ht="21.75" hidden="false" customHeight="true" outlineLevel="0" collapsed="false">
      <c r="B440" s="15" t="n">
        <v>430</v>
      </c>
      <c r="C440" s="9" t="s">
        <v>47</v>
      </c>
      <c r="D440" s="9" t="s">
        <v>68</v>
      </c>
      <c r="E440" s="9" t="s">
        <v>981</v>
      </c>
      <c r="F440" s="19" t="n">
        <f aca="false">IF('Base de Datos'!AB434="","",'Base de Datos'!AB434)</f>
        <v>4840</v>
      </c>
      <c r="G440" s="15"/>
      <c r="H440" s="28"/>
      <c r="I440" s="29" t="str">
        <f aca="false">IF(OR($G440="",$G440=0),"",IFERROR(ROUND($F440*$G440*(1-IF($H440="",0,$H440)),2),""))</f>
        <v/>
      </c>
      <c r="J440" s="9"/>
    </row>
    <row r="441" customFormat="false" ht="21.75" hidden="false" customHeight="true" outlineLevel="0" collapsed="false">
      <c r="B441" s="14" t="n">
        <v>431</v>
      </c>
      <c r="C441" s="7" t="s">
        <v>47</v>
      </c>
      <c r="D441" s="7" t="s">
        <v>69</v>
      </c>
      <c r="E441" s="7" t="s">
        <v>321</v>
      </c>
      <c r="F441" s="18" t="str">
        <f aca="false">IF('Base de Datos'!AB435="","",'Base de Datos'!AB435)</f>
        <v/>
      </c>
      <c r="G441" s="14"/>
      <c r="H441" s="26"/>
      <c r="I441" s="27" t="str">
        <f aca="false">IF(OR($G441="",$G441=0),"",IFERROR(ROUND($F441*$G441*(1-IF($H441="",0,$H441)),2),""))</f>
        <v/>
      </c>
      <c r="J441" s="7"/>
    </row>
    <row r="442" customFormat="false" ht="21.75" hidden="false" customHeight="true" outlineLevel="0" collapsed="false">
      <c r="B442" s="15" t="n">
        <v>432</v>
      </c>
      <c r="C442" s="9" t="s">
        <v>47</v>
      </c>
      <c r="D442" s="9" t="s">
        <v>70</v>
      </c>
      <c r="E442" s="9" t="s">
        <v>983</v>
      </c>
      <c r="F442" s="19" t="n">
        <f aca="false">IF('Base de Datos'!AB436="","",'Base de Datos'!AB436)</f>
        <v>2400</v>
      </c>
      <c r="G442" s="15"/>
      <c r="H442" s="28"/>
      <c r="I442" s="29" t="str">
        <f aca="false">IF(OR($G442="",$G442=0),"",IFERROR(ROUND($F442*$G442*(1-IF($H442="",0,$H442)),2),""))</f>
        <v/>
      </c>
      <c r="J442" s="9"/>
    </row>
    <row r="443" customFormat="false" ht="21.75" hidden="false" customHeight="true" outlineLevel="0" collapsed="false">
      <c r="B443" s="14" t="n">
        <v>433</v>
      </c>
      <c r="C443" s="7" t="s">
        <v>47</v>
      </c>
      <c r="D443" s="7" t="s">
        <v>70</v>
      </c>
      <c r="E443" s="7" t="s">
        <v>987</v>
      </c>
      <c r="F443" s="18" t="n">
        <f aca="false">IF('Base de Datos'!AB437="","",'Base de Datos'!AB437)</f>
        <v>3600</v>
      </c>
      <c r="G443" s="14"/>
      <c r="H443" s="26"/>
      <c r="I443" s="27" t="str">
        <f aca="false">IF(OR($G443="",$G443=0),"",IFERROR(ROUND($F443*$G443*(1-IF($H443="",0,$H443)),2),""))</f>
        <v/>
      </c>
      <c r="J443" s="7"/>
    </row>
    <row r="444" customFormat="false" ht="21.75" hidden="false" customHeight="true" outlineLevel="0" collapsed="false">
      <c r="B444" s="15" t="n">
        <v>434</v>
      </c>
      <c r="C444" s="9" t="s">
        <v>47</v>
      </c>
      <c r="D444" s="9" t="s">
        <v>70</v>
      </c>
      <c r="E444" s="9" t="s">
        <v>988</v>
      </c>
      <c r="F444" s="19" t="n">
        <f aca="false">IF('Base de Datos'!AB438="","",'Base de Datos'!AB438)</f>
        <v>4800</v>
      </c>
      <c r="G444" s="15"/>
      <c r="H444" s="28"/>
      <c r="I444" s="29" t="str">
        <f aca="false">IF(OR($G444="",$G444=0),"",IFERROR(ROUND($F444*$G444*(1-IF($H444="",0,$H444)),2),""))</f>
        <v/>
      </c>
      <c r="J444" s="9"/>
    </row>
    <row r="445" customFormat="false" ht="21.75" hidden="false" customHeight="true" outlineLevel="0" collapsed="false">
      <c r="B445" s="14" t="n">
        <v>435</v>
      </c>
      <c r="C445" s="7" t="s">
        <v>47</v>
      </c>
      <c r="D445" s="7" t="s">
        <v>70</v>
      </c>
      <c r="E445" s="7" t="s">
        <v>990</v>
      </c>
      <c r="F445" s="18" t="n">
        <f aca="false">IF('Base de Datos'!AB439="","",'Base de Datos'!AB439)</f>
        <v>7200</v>
      </c>
      <c r="G445" s="14"/>
      <c r="H445" s="26"/>
      <c r="I445" s="27" t="str">
        <f aca="false">IF(OR($G445="",$G445=0),"",IFERROR(ROUND($F445*$G445*(1-IF($H445="",0,$H445)),2),""))</f>
        <v/>
      </c>
      <c r="J445" s="7"/>
    </row>
    <row r="446" customFormat="false" ht="21.75" hidden="false" customHeight="true" outlineLevel="0" collapsed="false">
      <c r="B446" s="15" t="n">
        <v>436</v>
      </c>
      <c r="C446" s="9" t="s">
        <v>47</v>
      </c>
      <c r="D446" s="9" t="s">
        <v>70</v>
      </c>
      <c r="E446" s="9" t="s">
        <v>991</v>
      </c>
      <c r="F446" s="19" t="n">
        <f aca="false">IF('Base de Datos'!AB440="","",'Base de Datos'!AB440)</f>
        <v>10560</v>
      </c>
      <c r="G446" s="15"/>
      <c r="H446" s="28"/>
      <c r="I446" s="29" t="str">
        <f aca="false">IF(OR($G446="",$G446=0),"",IFERROR(ROUND($F446*$G446*(1-IF($H446="",0,$H446)),2),""))</f>
        <v/>
      </c>
      <c r="J446" s="9"/>
    </row>
    <row r="447" customFormat="false" ht="21.75" hidden="false" customHeight="true" outlineLevel="0" collapsed="false">
      <c r="B447" s="14" t="n">
        <v>437</v>
      </c>
      <c r="C447" s="7" t="s">
        <v>47</v>
      </c>
      <c r="D447" s="7" t="s">
        <v>71</v>
      </c>
      <c r="E447" s="7" t="s">
        <v>992</v>
      </c>
      <c r="F447" s="18" t="n">
        <f aca="false">IF('Base de Datos'!AB441="","",'Base de Datos'!AB441)</f>
        <v>240</v>
      </c>
      <c r="G447" s="14"/>
      <c r="H447" s="26"/>
      <c r="I447" s="27" t="str">
        <f aca="false">IF(OR($G447="",$G447=0),"",IFERROR(ROUND($F447*$G447*(1-IF($H447="",0,$H447)),2),""))</f>
        <v/>
      </c>
      <c r="J447" s="7"/>
    </row>
    <row r="448" customFormat="false" ht="21.75" hidden="false" customHeight="true" outlineLevel="0" collapsed="false">
      <c r="B448" s="15" t="n">
        <v>438</v>
      </c>
      <c r="C448" s="9" t="s">
        <v>47</v>
      </c>
      <c r="D448" s="9" t="s">
        <v>71</v>
      </c>
      <c r="E448" s="9" t="s">
        <v>996</v>
      </c>
      <c r="F448" s="19" t="n">
        <f aca="false">IF('Base de Datos'!AB442="","",'Base de Datos'!AB442)</f>
        <v>360</v>
      </c>
      <c r="G448" s="15"/>
      <c r="H448" s="28"/>
      <c r="I448" s="29" t="str">
        <f aca="false">IF(OR($G448="",$G448=0),"",IFERROR(ROUND($F448*$G448*(1-IF($H448="",0,$H448)),2),""))</f>
        <v/>
      </c>
      <c r="J448" s="9"/>
    </row>
    <row r="449" customFormat="false" ht="21.75" hidden="false" customHeight="true" outlineLevel="0" collapsed="false">
      <c r="B449" s="14" t="n">
        <v>439</v>
      </c>
      <c r="C449" s="7" t="s">
        <v>47</v>
      </c>
      <c r="D449" s="7" t="s">
        <v>71</v>
      </c>
      <c r="E449" s="7" t="s">
        <v>997</v>
      </c>
      <c r="F449" s="18" t="n">
        <f aca="false">IF('Base de Datos'!AB443="","",'Base de Datos'!AB443)</f>
        <v>480</v>
      </c>
      <c r="G449" s="14"/>
      <c r="H449" s="26"/>
      <c r="I449" s="27" t="str">
        <f aca="false">IF(OR($G449="",$G449=0),"",IFERROR(ROUND($F449*$G449*(1-IF($H449="",0,$H449)),2),""))</f>
        <v/>
      </c>
      <c r="J449" s="7"/>
    </row>
    <row r="450" customFormat="false" ht="21.75" hidden="false" customHeight="true" outlineLevel="0" collapsed="false">
      <c r="B450" s="15" t="n">
        <v>440</v>
      </c>
      <c r="C450" s="9" t="s">
        <v>47</v>
      </c>
      <c r="D450" s="9" t="s">
        <v>71</v>
      </c>
      <c r="E450" s="9" t="s">
        <v>999</v>
      </c>
      <c r="F450" s="19" t="n">
        <f aca="false">IF('Base de Datos'!AB444="","",'Base de Datos'!AB444)</f>
        <v>720</v>
      </c>
      <c r="G450" s="15"/>
      <c r="H450" s="28"/>
      <c r="I450" s="29" t="str">
        <f aca="false">IF(OR($G450="",$G450=0),"",IFERROR(ROUND($F450*$G450*(1-IF($H450="",0,$H450)),2),""))</f>
        <v/>
      </c>
      <c r="J450" s="9"/>
    </row>
    <row r="451" customFormat="false" ht="21.75" hidden="false" customHeight="true" outlineLevel="0" collapsed="false">
      <c r="B451" s="14" t="n">
        <v>441</v>
      </c>
      <c r="C451" s="7" t="s">
        <v>47</v>
      </c>
      <c r="D451" s="7" t="s">
        <v>71</v>
      </c>
      <c r="E451" s="7" t="s">
        <v>1000</v>
      </c>
      <c r="F451" s="18" t="n">
        <f aca="false">IF('Base de Datos'!AB445="","",'Base de Datos'!AB445)</f>
        <v>1055</v>
      </c>
      <c r="G451" s="14"/>
      <c r="H451" s="26"/>
      <c r="I451" s="27" t="str">
        <f aca="false">IF(OR($G451="",$G451=0),"",IFERROR(ROUND($F451*$G451*(1-IF($H451="",0,$H451)),2),""))</f>
        <v/>
      </c>
      <c r="J451" s="7"/>
    </row>
    <row r="452" customFormat="false" ht="21.75" hidden="false" customHeight="true" outlineLevel="0" collapsed="false">
      <c r="B452" s="15" t="n">
        <v>442</v>
      </c>
      <c r="C452" s="9" t="s">
        <v>47</v>
      </c>
      <c r="D452" s="9" t="s">
        <v>72</v>
      </c>
      <c r="E452" s="9" t="s">
        <v>321</v>
      </c>
      <c r="F452" s="19" t="str">
        <f aca="false">IF('Base de Datos'!AB446="","",'Base de Datos'!AB446)</f>
        <v/>
      </c>
      <c r="G452" s="15"/>
      <c r="H452" s="28"/>
      <c r="I452" s="29" t="str">
        <f aca="false">IF(OR($G452="",$G452=0),"",IFERROR(ROUND($F452*$G452*(1-IF($H452="",0,$H452)),2),""))</f>
        <v/>
      </c>
      <c r="J452" s="9"/>
    </row>
    <row r="453" customFormat="false" ht="21.75" hidden="false" customHeight="true" outlineLevel="0" collapsed="false">
      <c r="B453" s="14" t="n">
        <v>443</v>
      </c>
      <c r="C453" s="7" t="s">
        <v>47</v>
      </c>
      <c r="D453" s="7" t="s">
        <v>73</v>
      </c>
      <c r="E453" s="7" t="s">
        <v>1002</v>
      </c>
      <c r="F453" s="18" t="n">
        <f aca="false">IF('Base de Datos'!AB447="","",'Base de Datos'!AB447)</f>
        <v>190</v>
      </c>
      <c r="G453" s="14"/>
      <c r="H453" s="26"/>
      <c r="I453" s="27" t="str">
        <f aca="false">IF(OR($G453="",$G453=0),"",IFERROR(ROUND($F453*$G453*(1-IF($H453="",0,$H453)),2),""))</f>
        <v/>
      </c>
      <c r="J453" s="7"/>
    </row>
    <row r="454" customFormat="false" ht="21.75" hidden="false" customHeight="true" outlineLevel="0" collapsed="false">
      <c r="B454" s="15" t="n">
        <v>444</v>
      </c>
      <c r="C454" s="9" t="s">
        <v>47</v>
      </c>
      <c r="D454" s="9" t="s">
        <v>73</v>
      </c>
      <c r="E454" s="9" t="s">
        <v>1004</v>
      </c>
      <c r="F454" s="19" t="n">
        <f aca="false">IF('Base de Datos'!AB448="","",'Base de Datos'!AB448)</f>
        <v>285</v>
      </c>
      <c r="G454" s="15"/>
      <c r="H454" s="28"/>
      <c r="I454" s="29" t="str">
        <f aca="false">IF(OR($G454="",$G454=0),"",IFERROR(ROUND($F454*$G454*(1-IF($H454="",0,$H454)),2),""))</f>
        <v/>
      </c>
      <c r="J454" s="9"/>
    </row>
    <row r="455" customFormat="false" ht="21.75" hidden="false" customHeight="true" outlineLevel="0" collapsed="false">
      <c r="B455" s="14" t="n">
        <v>445</v>
      </c>
      <c r="C455" s="7" t="s">
        <v>47</v>
      </c>
      <c r="D455" s="7" t="s">
        <v>73</v>
      </c>
      <c r="E455" s="7" t="s">
        <v>1005</v>
      </c>
      <c r="F455" s="18" t="n">
        <f aca="false">IF('Base de Datos'!AB449="","",'Base de Datos'!AB449)</f>
        <v>380</v>
      </c>
      <c r="G455" s="14"/>
      <c r="H455" s="26"/>
      <c r="I455" s="27" t="str">
        <f aca="false">IF(OR($G455="",$G455=0),"",IFERROR(ROUND($F455*$G455*(1-IF($H455="",0,$H455)),2),""))</f>
        <v/>
      </c>
      <c r="J455" s="7"/>
    </row>
    <row r="456" customFormat="false" ht="21.75" hidden="false" customHeight="true" outlineLevel="0" collapsed="false">
      <c r="B456" s="15" t="n">
        <v>446</v>
      </c>
      <c r="C456" s="9" t="s">
        <v>47</v>
      </c>
      <c r="D456" s="9" t="s">
        <v>73</v>
      </c>
      <c r="E456" s="9" t="s">
        <v>1007</v>
      </c>
      <c r="F456" s="19" t="n">
        <f aca="false">IF('Base de Datos'!AB450="","",'Base de Datos'!AB450)</f>
        <v>570</v>
      </c>
      <c r="G456" s="15"/>
      <c r="H456" s="28"/>
      <c r="I456" s="29" t="str">
        <f aca="false">IF(OR($G456="",$G456=0),"",IFERROR(ROUND($F456*$G456*(1-IF($H456="",0,$H456)),2),""))</f>
        <v/>
      </c>
      <c r="J456" s="9"/>
    </row>
    <row r="457" customFormat="false" ht="21.75" hidden="false" customHeight="true" outlineLevel="0" collapsed="false">
      <c r="B457" s="14" t="n">
        <v>447</v>
      </c>
      <c r="C457" s="7" t="s">
        <v>47</v>
      </c>
      <c r="D457" s="7" t="s">
        <v>73</v>
      </c>
      <c r="E457" s="7" t="s">
        <v>1008</v>
      </c>
      <c r="F457" s="18" t="n">
        <f aca="false">IF('Base de Datos'!AB451="","",'Base de Datos'!AB451)</f>
        <v>835</v>
      </c>
      <c r="G457" s="14"/>
      <c r="H457" s="26"/>
      <c r="I457" s="27" t="str">
        <f aca="false">IF(OR($G457="",$G457=0),"",IFERROR(ROUND($F457*$G457*(1-IF($H457="",0,$H457)),2),""))</f>
        <v/>
      </c>
      <c r="J457" s="7"/>
    </row>
    <row r="458" customFormat="false" ht="21.75" hidden="false" customHeight="true" outlineLevel="0" collapsed="false">
      <c r="B458" s="15" t="n">
        <v>448</v>
      </c>
      <c r="C458" s="9" t="s">
        <v>47</v>
      </c>
      <c r="D458" s="9" t="s">
        <v>74</v>
      </c>
      <c r="E458" s="9" t="s">
        <v>321</v>
      </c>
      <c r="F458" s="19" t="str">
        <f aca="false">IF('Base de Datos'!AB452="","",'Base de Datos'!AB452)</f>
        <v/>
      </c>
      <c r="G458" s="15"/>
      <c r="H458" s="28"/>
      <c r="I458" s="29" t="str">
        <f aca="false">IF(OR($G458="",$G458=0),"",IFERROR(ROUND($F458*$G458*(1-IF($H458="",0,$H458)),2),""))</f>
        <v/>
      </c>
      <c r="J458" s="9"/>
    </row>
    <row r="459" customFormat="false" ht="21.75" hidden="false" customHeight="true" outlineLevel="0" collapsed="false">
      <c r="B459" s="14" t="n">
        <v>449</v>
      </c>
      <c r="C459" s="7" t="s">
        <v>48</v>
      </c>
      <c r="D459" s="7" t="s">
        <v>61</v>
      </c>
      <c r="E459" s="7" t="s">
        <v>1010</v>
      </c>
      <c r="F459" s="18" t="n">
        <f aca="false">IF('Base de Datos'!AB453="","",'Base de Datos'!AB453)</f>
        <v>130</v>
      </c>
      <c r="G459" s="14"/>
      <c r="H459" s="26"/>
      <c r="I459" s="27" t="str">
        <f aca="false">IF(OR($G459="",$G459=0),"",IFERROR(ROUND($F459*$G459*(1-IF($H459="",0,$H459)),2),""))</f>
        <v/>
      </c>
      <c r="J459" s="7"/>
    </row>
    <row r="460" customFormat="false" ht="21.75" hidden="false" customHeight="true" outlineLevel="0" collapsed="false">
      <c r="B460" s="15" t="n">
        <v>450</v>
      </c>
      <c r="C460" s="9" t="s">
        <v>48</v>
      </c>
      <c r="D460" s="9" t="s">
        <v>61</v>
      </c>
      <c r="E460" s="9" t="s">
        <v>1016</v>
      </c>
      <c r="F460" s="19" t="n">
        <f aca="false">IF('Base de Datos'!AB454="","",'Base de Datos'!AB454)</f>
        <v>195</v>
      </c>
      <c r="G460" s="15"/>
      <c r="H460" s="28"/>
      <c r="I460" s="29" t="str">
        <f aca="false">IF(OR($G460="",$G460=0),"",IFERROR(ROUND($F460*$G460*(1-IF($H460="",0,$H460)),2),""))</f>
        <v/>
      </c>
      <c r="J460" s="9"/>
    </row>
    <row r="461" customFormat="false" ht="21.75" hidden="false" customHeight="true" outlineLevel="0" collapsed="false">
      <c r="B461" s="14" t="n">
        <v>451</v>
      </c>
      <c r="C461" s="7" t="s">
        <v>48</v>
      </c>
      <c r="D461" s="7" t="s">
        <v>61</v>
      </c>
      <c r="E461" s="7" t="s">
        <v>1017</v>
      </c>
      <c r="F461" s="18" t="n">
        <f aca="false">IF('Base de Datos'!AB455="","",'Base de Datos'!AB455)</f>
        <v>260</v>
      </c>
      <c r="G461" s="14"/>
      <c r="H461" s="26"/>
      <c r="I461" s="27" t="str">
        <f aca="false">IF(OR($G461="",$G461=0),"",IFERROR(ROUND($F461*$G461*(1-IF($H461="",0,$H461)),2),""))</f>
        <v/>
      </c>
      <c r="J461" s="7"/>
    </row>
    <row r="462" customFormat="false" ht="21.75" hidden="false" customHeight="true" outlineLevel="0" collapsed="false">
      <c r="B462" s="15" t="n">
        <v>452</v>
      </c>
      <c r="C462" s="9" t="s">
        <v>48</v>
      </c>
      <c r="D462" s="9" t="s">
        <v>61</v>
      </c>
      <c r="E462" s="9" t="s">
        <v>1019</v>
      </c>
      <c r="F462" s="19" t="n">
        <f aca="false">IF('Base de Datos'!AB456="","",'Base de Datos'!AB456)</f>
        <v>390</v>
      </c>
      <c r="G462" s="15"/>
      <c r="H462" s="28"/>
      <c r="I462" s="29" t="str">
        <f aca="false">IF(OR($G462="",$G462=0),"",IFERROR(ROUND($F462*$G462*(1-IF($H462="",0,$H462)),2),""))</f>
        <v/>
      </c>
      <c r="J462" s="9"/>
    </row>
    <row r="463" customFormat="false" ht="21.75" hidden="false" customHeight="true" outlineLevel="0" collapsed="false">
      <c r="B463" s="14" t="n">
        <v>453</v>
      </c>
      <c r="C463" s="7" t="s">
        <v>48</v>
      </c>
      <c r="D463" s="7" t="s">
        <v>61</v>
      </c>
      <c r="E463" s="7" t="s">
        <v>1020</v>
      </c>
      <c r="F463" s="18" t="n">
        <f aca="false">IF('Base de Datos'!AB457="","",'Base de Datos'!AB457)</f>
        <v>570</v>
      </c>
      <c r="G463" s="14"/>
      <c r="H463" s="26"/>
      <c r="I463" s="27" t="str">
        <f aca="false">IF(OR($G463="",$G463=0),"",IFERROR(ROUND($F463*$G463*(1-IF($H463="",0,$H463)),2),""))</f>
        <v/>
      </c>
      <c r="J463" s="7"/>
    </row>
    <row r="464" customFormat="false" ht="21.75" hidden="false" customHeight="true" outlineLevel="0" collapsed="false">
      <c r="B464" s="15" t="n">
        <v>454</v>
      </c>
      <c r="C464" s="9" t="s">
        <v>48</v>
      </c>
      <c r="D464" s="9" t="s">
        <v>62</v>
      </c>
      <c r="E464" s="9" t="s">
        <v>1021</v>
      </c>
      <c r="F464" s="19" t="n">
        <f aca="false">IF('Base de Datos'!AB458="","",'Base de Datos'!AB458)</f>
        <v>135</v>
      </c>
      <c r="G464" s="15"/>
      <c r="H464" s="28"/>
      <c r="I464" s="29" t="str">
        <f aca="false">IF(OR($G464="",$G464=0),"",IFERROR(ROUND($F464*$G464*(1-IF($H464="",0,$H464)),2),""))</f>
        <v/>
      </c>
      <c r="J464" s="9"/>
    </row>
    <row r="465" customFormat="false" ht="21.75" hidden="false" customHeight="true" outlineLevel="0" collapsed="false">
      <c r="B465" s="14" t="n">
        <v>455</v>
      </c>
      <c r="C465" s="7" t="s">
        <v>48</v>
      </c>
      <c r="D465" s="7" t="s">
        <v>62</v>
      </c>
      <c r="E465" s="7" t="s">
        <v>1017</v>
      </c>
      <c r="F465" s="18" t="n">
        <f aca="false">IF('Base de Datos'!AB459="","",'Base de Datos'!AB459)</f>
        <v>200</v>
      </c>
      <c r="G465" s="14"/>
      <c r="H465" s="26"/>
      <c r="I465" s="27" t="str">
        <f aca="false">IF(OR($G465="",$G465=0),"",IFERROR(ROUND($F465*$G465*(1-IF($H465="",0,$H465)),2),""))</f>
        <v/>
      </c>
      <c r="J465" s="7"/>
    </row>
    <row r="466" customFormat="false" ht="21.75" hidden="false" customHeight="true" outlineLevel="0" collapsed="false">
      <c r="B466" s="15" t="n">
        <v>456</v>
      </c>
      <c r="C466" s="9" t="s">
        <v>48</v>
      </c>
      <c r="D466" s="9" t="s">
        <v>62</v>
      </c>
      <c r="E466" s="9" t="s">
        <v>1019</v>
      </c>
      <c r="F466" s="19" t="n">
        <f aca="false">IF('Base de Datos'!AB460="","",'Base de Datos'!AB460)</f>
        <v>270</v>
      </c>
      <c r="G466" s="15"/>
      <c r="H466" s="28"/>
      <c r="I466" s="29" t="str">
        <f aca="false">IF(OR($G466="",$G466=0),"",IFERROR(ROUND($F466*$G466*(1-IF($H466="",0,$H466)),2),""))</f>
        <v/>
      </c>
      <c r="J466" s="9"/>
    </row>
    <row r="467" customFormat="false" ht="21.75" hidden="false" customHeight="true" outlineLevel="0" collapsed="false">
      <c r="B467" s="14" t="n">
        <v>457</v>
      </c>
      <c r="C467" s="7" t="s">
        <v>48</v>
      </c>
      <c r="D467" s="7" t="s">
        <v>62</v>
      </c>
      <c r="E467" s="7" t="s">
        <v>1025</v>
      </c>
      <c r="F467" s="18" t="n">
        <f aca="false">IF('Base de Datos'!AB461="","",'Base de Datos'!AB461)</f>
        <v>405</v>
      </c>
      <c r="G467" s="14"/>
      <c r="H467" s="26"/>
      <c r="I467" s="27" t="str">
        <f aca="false">IF(OR($G467="",$G467=0),"",IFERROR(ROUND($F467*$G467*(1-IF($H467="",0,$H467)),2),""))</f>
        <v/>
      </c>
      <c r="J467" s="7"/>
    </row>
    <row r="468" customFormat="false" ht="21.75" hidden="false" customHeight="true" outlineLevel="0" collapsed="false">
      <c r="B468" s="15" t="n">
        <v>458</v>
      </c>
      <c r="C468" s="9" t="s">
        <v>48</v>
      </c>
      <c r="D468" s="9" t="s">
        <v>62</v>
      </c>
      <c r="E468" s="9" t="s">
        <v>1026</v>
      </c>
      <c r="F468" s="19" t="n">
        <f aca="false">IF('Base de Datos'!AB462="","",'Base de Datos'!AB462)</f>
        <v>595</v>
      </c>
      <c r="G468" s="15"/>
      <c r="H468" s="28"/>
      <c r="I468" s="29" t="str">
        <f aca="false">IF(OR($G468="",$G468=0),"",IFERROR(ROUND($F468*$G468*(1-IF($H468="",0,$H468)),2),""))</f>
        <v/>
      </c>
      <c r="J468" s="9"/>
    </row>
    <row r="469" customFormat="false" ht="21.75" hidden="false" customHeight="true" outlineLevel="0" collapsed="false">
      <c r="B469" s="14" t="n">
        <v>459</v>
      </c>
      <c r="C469" s="7" t="s">
        <v>48</v>
      </c>
      <c r="D469" s="7" t="s">
        <v>63</v>
      </c>
      <c r="E469" s="7" t="s">
        <v>1027</v>
      </c>
      <c r="F469" s="18" t="n">
        <f aca="false">IF('Base de Datos'!AB463="","",'Base de Datos'!AB463)</f>
        <v>125</v>
      </c>
      <c r="G469" s="14"/>
      <c r="H469" s="26"/>
      <c r="I469" s="27" t="str">
        <f aca="false">IF(OR($G469="",$G469=0),"",IFERROR(ROUND($F469*$G469*(1-IF($H469="",0,$H469)),2),""))</f>
        <v/>
      </c>
      <c r="J469" s="7"/>
    </row>
    <row r="470" customFormat="false" ht="21.75" hidden="false" customHeight="true" outlineLevel="0" collapsed="false">
      <c r="B470" s="15" t="n">
        <v>460</v>
      </c>
      <c r="C470" s="9" t="s">
        <v>48</v>
      </c>
      <c r="D470" s="9" t="s">
        <v>63</v>
      </c>
      <c r="E470" s="9" t="s">
        <v>1030</v>
      </c>
      <c r="F470" s="19" t="n">
        <f aca="false">IF('Base de Datos'!AB464="","",'Base de Datos'!AB464)</f>
        <v>190</v>
      </c>
      <c r="G470" s="15"/>
      <c r="H470" s="28"/>
      <c r="I470" s="29" t="str">
        <f aca="false">IF(OR($G470="",$G470=0),"",IFERROR(ROUND($F470*$G470*(1-IF($H470="",0,$H470)),2),""))</f>
        <v/>
      </c>
      <c r="J470" s="9"/>
    </row>
    <row r="471" customFormat="false" ht="21.75" hidden="false" customHeight="true" outlineLevel="0" collapsed="false">
      <c r="B471" s="14" t="n">
        <v>461</v>
      </c>
      <c r="C471" s="7" t="s">
        <v>48</v>
      </c>
      <c r="D471" s="7" t="s">
        <v>63</v>
      </c>
      <c r="E471" s="7" t="s">
        <v>1031</v>
      </c>
      <c r="F471" s="18" t="n">
        <f aca="false">IF('Base de Datos'!AB465="","",'Base de Datos'!AB465)</f>
        <v>250</v>
      </c>
      <c r="G471" s="14"/>
      <c r="H471" s="26"/>
      <c r="I471" s="27" t="str">
        <f aca="false">IF(OR($G471="",$G471=0),"",IFERROR(ROUND($F471*$G471*(1-IF($H471="",0,$H471)),2),""))</f>
        <v/>
      </c>
      <c r="J471" s="7"/>
    </row>
    <row r="472" customFormat="false" ht="21.75" hidden="false" customHeight="true" outlineLevel="0" collapsed="false">
      <c r="B472" s="15" t="n">
        <v>462</v>
      </c>
      <c r="C472" s="9" t="s">
        <v>48</v>
      </c>
      <c r="D472" s="9" t="s">
        <v>63</v>
      </c>
      <c r="E472" s="9" t="s">
        <v>1033</v>
      </c>
      <c r="F472" s="19" t="n">
        <f aca="false">IF('Base de Datos'!AB466="","",'Base de Datos'!AB466)</f>
        <v>375</v>
      </c>
      <c r="G472" s="15"/>
      <c r="H472" s="28"/>
      <c r="I472" s="29" t="str">
        <f aca="false">IF(OR($G472="",$G472=0),"",IFERROR(ROUND($F472*$G472*(1-IF($H472="",0,$H472)),2),""))</f>
        <v/>
      </c>
      <c r="J472" s="9"/>
    </row>
    <row r="473" customFormat="false" ht="21.75" hidden="false" customHeight="true" outlineLevel="0" collapsed="false">
      <c r="B473" s="14" t="n">
        <v>463</v>
      </c>
      <c r="C473" s="7" t="s">
        <v>48</v>
      </c>
      <c r="D473" s="7" t="s">
        <v>63</v>
      </c>
      <c r="E473" s="7" t="s">
        <v>1034</v>
      </c>
      <c r="F473" s="18" t="n">
        <f aca="false">IF('Base de Datos'!AB467="","",'Base de Datos'!AB467)</f>
        <v>550</v>
      </c>
      <c r="G473" s="14"/>
      <c r="H473" s="26"/>
      <c r="I473" s="27" t="str">
        <f aca="false">IF(OR($G473="",$G473=0),"",IFERROR(ROUND($F473*$G473*(1-IF($H473="",0,$H473)),2),""))</f>
        <v/>
      </c>
      <c r="J473" s="7"/>
    </row>
    <row r="474" customFormat="false" ht="21.75" hidden="false" customHeight="true" outlineLevel="0" collapsed="false">
      <c r="B474" s="15" t="n">
        <v>464</v>
      </c>
      <c r="C474" s="9" t="s">
        <v>48</v>
      </c>
      <c r="D474" s="9" t="s">
        <v>64</v>
      </c>
      <c r="E474" s="9" t="s">
        <v>1035</v>
      </c>
      <c r="F474" s="19" t="n">
        <f aca="false">IF('Base de Datos'!AB468="","",'Base de Datos'!AB468)</f>
        <v>575</v>
      </c>
      <c r="G474" s="15"/>
      <c r="H474" s="28"/>
      <c r="I474" s="29" t="str">
        <f aca="false">IF(OR($G474="",$G474=0),"",IFERROR(ROUND($F474*$G474*(1-IF($H474="",0,$H474)),2),""))</f>
        <v/>
      </c>
      <c r="J474" s="9"/>
    </row>
    <row r="475" customFormat="false" ht="21.75" hidden="false" customHeight="true" outlineLevel="0" collapsed="false">
      <c r="B475" s="14" t="n">
        <v>465</v>
      </c>
      <c r="C475" s="7" t="s">
        <v>48</v>
      </c>
      <c r="D475" s="7" t="s">
        <v>64</v>
      </c>
      <c r="E475" s="7" t="s">
        <v>1037</v>
      </c>
      <c r="F475" s="18" t="n">
        <f aca="false">IF('Base de Datos'!AB469="","",'Base de Datos'!AB469)</f>
        <v>860</v>
      </c>
      <c r="G475" s="14"/>
      <c r="H475" s="26"/>
      <c r="I475" s="27" t="str">
        <f aca="false">IF(OR($G475="",$G475=0),"",IFERROR(ROUND($F475*$G475*(1-IF($H475="",0,$H475)),2),""))</f>
        <v/>
      </c>
      <c r="J475" s="7"/>
    </row>
    <row r="476" customFormat="false" ht="21.75" hidden="false" customHeight="true" outlineLevel="0" collapsed="false">
      <c r="B476" s="15" t="n">
        <v>466</v>
      </c>
      <c r="C476" s="9" t="s">
        <v>48</v>
      </c>
      <c r="D476" s="9" t="s">
        <v>64</v>
      </c>
      <c r="E476" s="9" t="s">
        <v>1038</v>
      </c>
      <c r="F476" s="19" t="n">
        <f aca="false">IF('Base de Datos'!AB470="","",'Base de Datos'!AB470)</f>
        <v>1150</v>
      </c>
      <c r="G476" s="15"/>
      <c r="H476" s="28"/>
      <c r="I476" s="29" t="str">
        <f aca="false">IF(OR($G476="",$G476=0),"",IFERROR(ROUND($F476*$G476*(1-IF($H476="",0,$H476)),2),""))</f>
        <v/>
      </c>
      <c r="J476" s="9"/>
    </row>
    <row r="477" customFormat="false" ht="21.75" hidden="false" customHeight="true" outlineLevel="0" collapsed="false">
      <c r="B477" s="14" t="n">
        <v>467</v>
      </c>
      <c r="C477" s="7" t="s">
        <v>48</v>
      </c>
      <c r="D477" s="7" t="s">
        <v>64</v>
      </c>
      <c r="E477" s="7" t="s">
        <v>1040</v>
      </c>
      <c r="F477" s="18" t="n">
        <f aca="false">IF('Base de Datos'!AB471="","",'Base de Datos'!AB471)</f>
        <v>1725</v>
      </c>
      <c r="G477" s="14"/>
      <c r="H477" s="26"/>
      <c r="I477" s="27" t="str">
        <f aca="false">IF(OR($G477="",$G477=0),"",IFERROR(ROUND($F477*$G477*(1-IF($H477="",0,$H477)),2),""))</f>
        <v/>
      </c>
      <c r="J477" s="7"/>
    </row>
    <row r="478" customFormat="false" ht="21.75" hidden="false" customHeight="true" outlineLevel="0" collapsed="false">
      <c r="B478" s="15" t="n">
        <v>468</v>
      </c>
      <c r="C478" s="9" t="s">
        <v>48</v>
      </c>
      <c r="D478" s="9" t="s">
        <v>64</v>
      </c>
      <c r="E478" s="9" t="s">
        <v>1041</v>
      </c>
      <c r="F478" s="19" t="n">
        <f aca="false">IF('Base de Datos'!AB472="","",'Base de Datos'!AB472)</f>
        <v>2530</v>
      </c>
      <c r="G478" s="15"/>
      <c r="H478" s="28"/>
      <c r="I478" s="29" t="str">
        <f aca="false">IF(OR($G478="",$G478=0),"",IFERROR(ROUND($F478*$G478*(1-IF($H478="",0,$H478)),2),""))</f>
        <v/>
      </c>
      <c r="J478" s="9"/>
    </row>
    <row r="479" customFormat="false" ht="21.75" hidden="false" customHeight="true" outlineLevel="0" collapsed="false">
      <c r="B479" s="14" t="n">
        <v>469</v>
      </c>
      <c r="C479" s="7" t="s">
        <v>48</v>
      </c>
      <c r="D479" s="7" t="s">
        <v>65</v>
      </c>
      <c r="E479" s="7" t="s">
        <v>321</v>
      </c>
      <c r="F479" s="18" t="str">
        <f aca="false">IF('Base de Datos'!AB473="","",'Base de Datos'!AB473)</f>
        <v/>
      </c>
      <c r="G479" s="14"/>
      <c r="H479" s="26"/>
      <c r="I479" s="27" t="str">
        <f aca="false">IF(OR($G479="",$G479=0),"",IFERROR(ROUND($F479*$G479*(1-IF($H479="",0,$H479)),2),""))</f>
        <v/>
      </c>
      <c r="J479" s="7"/>
    </row>
    <row r="480" customFormat="false" ht="21.75" hidden="false" customHeight="true" outlineLevel="0" collapsed="false">
      <c r="B480" s="15" t="n">
        <v>470</v>
      </c>
      <c r="C480" s="9" t="s">
        <v>48</v>
      </c>
      <c r="D480" s="9" t="s">
        <v>66</v>
      </c>
      <c r="E480" s="9" t="s">
        <v>321</v>
      </c>
      <c r="F480" s="19" t="str">
        <f aca="false">IF('Base de Datos'!AB474="","",'Base de Datos'!AB474)</f>
        <v/>
      </c>
      <c r="G480" s="15"/>
      <c r="H480" s="28"/>
      <c r="I480" s="29" t="str">
        <f aca="false">IF(OR($G480="",$G480=0),"",IFERROR(ROUND($F480*$G480*(1-IF($H480="",0,$H480)),2),""))</f>
        <v/>
      </c>
      <c r="J480" s="9"/>
    </row>
    <row r="481" customFormat="false" ht="21.75" hidden="false" customHeight="true" outlineLevel="0" collapsed="false">
      <c r="B481" s="14" t="n">
        <v>471</v>
      </c>
      <c r="C481" s="7" t="s">
        <v>48</v>
      </c>
      <c r="D481" s="7" t="s">
        <v>67</v>
      </c>
      <c r="E481" s="7" t="s">
        <v>1044</v>
      </c>
      <c r="F481" s="18" t="n">
        <f aca="false">IF('Base de Datos'!AB475="","",'Base de Datos'!AB475)</f>
        <v>150</v>
      </c>
      <c r="G481" s="14"/>
      <c r="H481" s="26"/>
      <c r="I481" s="27" t="str">
        <f aca="false">IF(OR($G481="",$G481=0),"",IFERROR(ROUND($F481*$G481*(1-IF($H481="",0,$H481)),2),""))</f>
        <v/>
      </c>
      <c r="J481" s="7"/>
    </row>
    <row r="482" customFormat="false" ht="21.75" hidden="false" customHeight="true" outlineLevel="0" collapsed="false">
      <c r="B482" s="15" t="n">
        <v>472</v>
      </c>
      <c r="C482" s="9" t="s">
        <v>48</v>
      </c>
      <c r="D482" s="9" t="s">
        <v>67</v>
      </c>
      <c r="E482" s="9" t="s">
        <v>1047</v>
      </c>
      <c r="F482" s="19" t="n">
        <f aca="false">IF('Base de Datos'!AB476="","",'Base de Datos'!AB476)</f>
        <v>225</v>
      </c>
      <c r="G482" s="15"/>
      <c r="H482" s="28"/>
      <c r="I482" s="29" t="str">
        <f aca="false">IF(OR($G482="",$G482=0),"",IFERROR(ROUND($F482*$G482*(1-IF($H482="",0,$H482)),2),""))</f>
        <v/>
      </c>
      <c r="J482" s="9"/>
    </row>
    <row r="483" customFormat="false" ht="21.75" hidden="false" customHeight="true" outlineLevel="0" collapsed="false">
      <c r="B483" s="14" t="n">
        <v>473</v>
      </c>
      <c r="C483" s="7" t="s">
        <v>48</v>
      </c>
      <c r="D483" s="7" t="s">
        <v>67</v>
      </c>
      <c r="E483" s="7" t="s">
        <v>1048</v>
      </c>
      <c r="F483" s="18" t="n">
        <f aca="false">IF('Base de Datos'!AB477="","",'Base de Datos'!AB477)</f>
        <v>300</v>
      </c>
      <c r="G483" s="14"/>
      <c r="H483" s="26"/>
      <c r="I483" s="27" t="str">
        <f aca="false">IF(OR($G483="",$G483=0),"",IFERROR(ROUND($F483*$G483*(1-IF($H483="",0,$H483)),2),""))</f>
        <v/>
      </c>
      <c r="J483" s="7"/>
    </row>
    <row r="484" customFormat="false" ht="21.75" hidden="false" customHeight="true" outlineLevel="0" collapsed="false">
      <c r="B484" s="15" t="n">
        <v>474</v>
      </c>
      <c r="C484" s="9" t="s">
        <v>48</v>
      </c>
      <c r="D484" s="9" t="s">
        <v>67</v>
      </c>
      <c r="E484" s="9" t="s">
        <v>1050</v>
      </c>
      <c r="F484" s="19" t="n">
        <f aca="false">IF('Base de Datos'!AB478="","",'Base de Datos'!AB478)</f>
        <v>450</v>
      </c>
      <c r="G484" s="15"/>
      <c r="H484" s="28"/>
      <c r="I484" s="29" t="str">
        <f aca="false">IF(OR($G484="",$G484=0),"",IFERROR(ROUND($F484*$G484*(1-IF($H484="",0,$H484)),2),""))</f>
        <v/>
      </c>
      <c r="J484" s="9"/>
    </row>
    <row r="485" customFormat="false" ht="21.75" hidden="false" customHeight="true" outlineLevel="0" collapsed="false">
      <c r="B485" s="14" t="n">
        <v>475</v>
      </c>
      <c r="C485" s="7" t="s">
        <v>48</v>
      </c>
      <c r="D485" s="7" t="s">
        <v>67</v>
      </c>
      <c r="E485" s="7" t="s">
        <v>1051</v>
      </c>
      <c r="F485" s="18" t="n">
        <f aca="false">IF('Base de Datos'!AB479="","",'Base de Datos'!AB479)</f>
        <v>660</v>
      </c>
      <c r="G485" s="14"/>
      <c r="H485" s="26"/>
      <c r="I485" s="27" t="str">
        <f aca="false">IF(OR($G485="",$G485=0),"",IFERROR(ROUND($F485*$G485*(1-IF($H485="",0,$H485)),2),""))</f>
        <v/>
      </c>
      <c r="J485" s="7"/>
    </row>
    <row r="486" customFormat="false" ht="21.75" hidden="false" customHeight="true" outlineLevel="0" collapsed="false">
      <c r="B486" s="15" t="n">
        <v>476</v>
      </c>
      <c r="C486" s="9" t="s">
        <v>48</v>
      </c>
      <c r="D486" s="9" t="s">
        <v>68</v>
      </c>
      <c r="E486" s="9" t="s">
        <v>321</v>
      </c>
      <c r="F486" s="19" t="str">
        <f aca="false">IF('Base de Datos'!AB480="","",'Base de Datos'!AB480)</f>
        <v/>
      </c>
      <c r="G486" s="15"/>
      <c r="H486" s="28"/>
      <c r="I486" s="29" t="str">
        <f aca="false">IF(OR($G486="",$G486=0),"",IFERROR(ROUND($F486*$G486*(1-IF($H486="",0,$H486)),2),""))</f>
        <v/>
      </c>
      <c r="J486" s="9"/>
    </row>
    <row r="487" customFormat="false" ht="21.75" hidden="false" customHeight="true" outlineLevel="0" collapsed="false">
      <c r="B487" s="14" t="n">
        <v>477</v>
      </c>
      <c r="C487" s="7" t="s">
        <v>48</v>
      </c>
      <c r="D487" s="7" t="s">
        <v>69</v>
      </c>
      <c r="E487" s="7" t="s">
        <v>321</v>
      </c>
      <c r="F487" s="18" t="str">
        <f aca="false">IF('Base de Datos'!AB481="","",'Base de Datos'!AB481)</f>
        <v/>
      </c>
      <c r="G487" s="14"/>
      <c r="H487" s="26"/>
      <c r="I487" s="27" t="str">
        <f aca="false">IF(OR($G487="",$G487=0),"",IFERROR(ROUND($F487*$G487*(1-IF($H487="",0,$H487)),2),""))</f>
        <v/>
      </c>
      <c r="J487" s="7"/>
    </row>
    <row r="488" customFormat="false" ht="21.75" hidden="false" customHeight="true" outlineLevel="0" collapsed="false">
      <c r="B488" s="15" t="n">
        <v>478</v>
      </c>
      <c r="C488" s="9" t="s">
        <v>48</v>
      </c>
      <c r="D488" s="9" t="s">
        <v>70</v>
      </c>
      <c r="E488" s="9" t="s">
        <v>321</v>
      </c>
      <c r="F488" s="19" t="str">
        <f aca="false">IF('Base de Datos'!AB482="","",'Base de Datos'!AB482)</f>
        <v/>
      </c>
      <c r="G488" s="15"/>
      <c r="H488" s="28"/>
      <c r="I488" s="29" t="str">
        <f aca="false">IF(OR($G488="",$G488=0),"",IFERROR(ROUND($F488*$G488*(1-IF($H488="",0,$H488)),2),""))</f>
        <v/>
      </c>
      <c r="J488" s="9"/>
    </row>
    <row r="489" customFormat="false" ht="21.75" hidden="false" customHeight="true" outlineLevel="0" collapsed="false">
      <c r="B489" s="14" t="n">
        <v>479</v>
      </c>
      <c r="C489" s="7" t="s">
        <v>48</v>
      </c>
      <c r="D489" s="7" t="s">
        <v>71</v>
      </c>
      <c r="E489" s="7" t="s">
        <v>1055</v>
      </c>
      <c r="F489" s="18" t="n">
        <f aca="false">IF('Base de Datos'!AB483="","",'Base de Datos'!AB483)</f>
        <v>160</v>
      </c>
      <c r="G489" s="14"/>
      <c r="H489" s="26"/>
      <c r="I489" s="27" t="str">
        <f aca="false">IF(OR($G489="",$G489=0),"",IFERROR(ROUND($F489*$G489*(1-IF($H489="",0,$H489)),2),""))</f>
        <v/>
      </c>
      <c r="J489" s="7"/>
    </row>
    <row r="490" customFormat="false" ht="21.75" hidden="false" customHeight="true" outlineLevel="0" collapsed="false">
      <c r="B490" s="15" t="n">
        <v>480</v>
      </c>
      <c r="C490" s="9" t="s">
        <v>48</v>
      </c>
      <c r="D490" s="9" t="s">
        <v>71</v>
      </c>
      <c r="E490" s="9" t="s">
        <v>1057</v>
      </c>
      <c r="F490" s="19" t="n">
        <f aca="false">IF('Base de Datos'!AB484="","",'Base de Datos'!AB484)</f>
        <v>240</v>
      </c>
      <c r="G490" s="15"/>
      <c r="H490" s="28"/>
      <c r="I490" s="29" t="str">
        <f aca="false">IF(OR($G490="",$G490=0),"",IFERROR(ROUND($F490*$G490*(1-IF($H490="",0,$H490)),2),""))</f>
        <v/>
      </c>
      <c r="J490" s="9"/>
    </row>
    <row r="491" customFormat="false" ht="21.75" hidden="false" customHeight="true" outlineLevel="0" collapsed="false">
      <c r="B491" s="14" t="n">
        <v>481</v>
      </c>
      <c r="C491" s="7" t="s">
        <v>48</v>
      </c>
      <c r="D491" s="7" t="s">
        <v>71</v>
      </c>
      <c r="E491" s="7" t="s">
        <v>1058</v>
      </c>
      <c r="F491" s="18" t="n">
        <f aca="false">IF('Base de Datos'!AB485="","",'Base de Datos'!AB485)</f>
        <v>320</v>
      </c>
      <c r="G491" s="14"/>
      <c r="H491" s="26"/>
      <c r="I491" s="27" t="str">
        <f aca="false">IF(OR($G491="",$G491=0),"",IFERROR(ROUND($F491*$G491*(1-IF($H491="",0,$H491)),2),""))</f>
        <v/>
      </c>
      <c r="J491" s="7"/>
    </row>
    <row r="492" customFormat="false" ht="21.75" hidden="false" customHeight="true" outlineLevel="0" collapsed="false">
      <c r="B492" s="15" t="n">
        <v>482</v>
      </c>
      <c r="C492" s="9" t="s">
        <v>48</v>
      </c>
      <c r="D492" s="9" t="s">
        <v>71</v>
      </c>
      <c r="E492" s="9" t="s">
        <v>1060</v>
      </c>
      <c r="F492" s="19" t="n">
        <f aca="false">IF('Base de Datos'!AB486="","",'Base de Datos'!AB486)</f>
        <v>480</v>
      </c>
      <c r="G492" s="15"/>
      <c r="H492" s="28"/>
      <c r="I492" s="29" t="str">
        <f aca="false">IF(OR($G492="",$G492=0),"",IFERROR(ROUND($F492*$G492*(1-IF($H492="",0,$H492)),2),""))</f>
        <v/>
      </c>
      <c r="J492" s="9"/>
    </row>
    <row r="493" customFormat="false" ht="21.75" hidden="false" customHeight="true" outlineLevel="0" collapsed="false">
      <c r="B493" s="14" t="n">
        <v>483</v>
      </c>
      <c r="C493" s="7" t="s">
        <v>48</v>
      </c>
      <c r="D493" s="7" t="s">
        <v>71</v>
      </c>
      <c r="E493" s="7" t="s">
        <v>1061</v>
      </c>
      <c r="F493" s="18" t="n">
        <f aca="false">IF('Base de Datos'!AB487="","",'Base de Datos'!AB487)</f>
        <v>705</v>
      </c>
      <c r="G493" s="14"/>
      <c r="H493" s="26"/>
      <c r="I493" s="27" t="str">
        <f aca="false">IF(OR($G493="",$G493=0),"",IFERROR(ROUND($F493*$G493*(1-IF($H493="",0,$H493)),2),""))</f>
        <v/>
      </c>
      <c r="J493" s="7"/>
    </row>
    <row r="494" customFormat="false" ht="21.75" hidden="false" customHeight="true" outlineLevel="0" collapsed="false">
      <c r="B494" s="15" t="n">
        <v>484</v>
      </c>
      <c r="C494" s="9" t="s">
        <v>48</v>
      </c>
      <c r="D494" s="9" t="s">
        <v>72</v>
      </c>
      <c r="E494" s="9" t="s">
        <v>321</v>
      </c>
      <c r="F494" s="19" t="str">
        <f aca="false">IF('Base de Datos'!AB488="","",'Base de Datos'!AB488)</f>
        <v/>
      </c>
      <c r="G494" s="15"/>
      <c r="H494" s="28"/>
      <c r="I494" s="29" t="str">
        <f aca="false">IF(OR($G494="",$G494=0),"",IFERROR(ROUND($F494*$G494*(1-IF($H494="",0,$H494)),2),""))</f>
        <v/>
      </c>
      <c r="J494" s="9"/>
    </row>
    <row r="495" customFormat="false" ht="21.75" hidden="false" customHeight="true" outlineLevel="0" collapsed="false">
      <c r="B495" s="14" t="n">
        <v>485</v>
      </c>
      <c r="C495" s="7" t="s">
        <v>48</v>
      </c>
      <c r="D495" s="7" t="s">
        <v>73</v>
      </c>
      <c r="E495" s="7" t="s">
        <v>1062</v>
      </c>
      <c r="F495" s="18" t="n">
        <f aca="false">IF('Base de Datos'!AB489="","",'Base de Datos'!AB489)</f>
        <v>225</v>
      </c>
      <c r="G495" s="14"/>
      <c r="H495" s="26"/>
      <c r="I495" s="27" t="str">
        <f aca="false">IF(OR($G495="",$G495=0),"",IFERROR(ROUND($F495*$G495*(1-IF($H495="",0,$H495)),2),""))</f>
        <v/>
      </c>
      <c r="J495" s="7"/>
    </row>
    <row r="496" customFormat="false" ht="21.75" hidden="false" customHeight="true" outlineLevel="0" collapsed="false">
      <c r="B496" s="15" t="n">
        <v>486</v>
      </c>
      <c r="C496" s="9" t="s">
        <v>48</v>
      </c>
      <c r="D496" s="9" t="s">
        <v>73</v>
      </c>
      <c r="E496" s="9" t="s">
        <v>1064</v>
      </c>
      <c r="F496" s="19" t="n">
        <f aca="false">IF('Base de Datos'!AB490="","",'Base de Datos'!AB490)</f>
        <v>340</v>
      </c>
      <c r="G496" s="15"/>
      <c r="H496" s="28"/>
      <c r="I496" s="29" t="str">
        <f aca="false">IF(OR($G496="",$G496=0),"",IFERROR(ROUND($F496*$G496*(1-IF($H496="",0,$H496)),2),""))</f>
        <v/>
      </c>
      <c r="J496" s="9"/>
    </row>
    <row r="497" customFormat="false" ht="21.75" hidden="false" customHeight="true" outlineLevel="0" collapsed="false">
      <c r="B497" s="14" t="n">
        <v>487</v>
      </c>
      <c r="C497" s="7" t="s">
        <v>48</v>
      </c>
      <c r="D497" s="7" t="s">
        <v>73</v>
      </c>
      <c r="E497" s="7" t="s">
        <v>1065</v>
      </c>
      <c r="F497" s="18" t="n">
        <f aca="false">IF('Base de Datos'!AB491="","",'Base de Datos'!AB491)</f>
        <v>450</v>
      </c>
      <c r="G497" s="14"/>
      <c r="H497" s="26"/>
      <c r="I497" s="27" t="str">
        <f aca="false">IF(OR($G497="",$G497=0),"",IFERROR(ROUND($F497*$G497*(1-IF($H497="",0,$H497)),2),""))</f>
        <v/>
      </c>
      <c r="J497" s="7"/>
    </row>
    <row r="498" customFormat="false" ht="21.75" hidden="false" customHeight="true" outlineLevel="0" collapsed="false">
      <c r="B498" s="15" t="n">
        <v>488</v>
      </c>
      <c r="C498" s="9" t="s">
        <v>48</v>
      </c>
      <c r="D498" s="9" t="s">
        <v>73</v>
      </c>
      <c r="E498" s="9" t="s">
        <v>1067</v>
      </c>
      <c r="F498" s="19" t="n">
        <f aca="false">IF('Base de Datos'!AB492="","",'Base de Datos'!AB492)</f>
        <v>675</v>
      </c>
      <c r="G498" s="15"/>
      <c r="H498" s="28"/>
      <c r="I498" s="29" t="str">
        <f aca="false">IF(OR($G498="",$G498=0),"",IFERROR(ROUND($F498*$G498*(1-IF($H498="",0,$H498)),2),""))</f>
        <v/>
      </c>
      <c r="J498" s="9"/>
    </row>
    <row r="499" customFormat="false" ht="21.75" hidden="false" customHeight="true" outlineLevel="0" collapsed="false">
      <c r="B499" s="14" t="n">
        <v>489</v>
      </c>
      <c r="C499" s="7" t="s">
        <v>48</v>
      </c>
      <c r="D499" s="7" t="s">
        <v>73</v>
      </c>
      <c r="E499" s="7" t="s">
        <v>1068</v>
      </c>
      <c r="F499" s="18" t="n">
        <f aca="false">IF('Base de Datos'!AB493="","",'Base de Datos'!AB493)</f>
        <v>990</v>
      </c>
      <c r="G499" s="14"/>
      <c r="H499" s="26"/>
      <c r="I499" s="27" t="str">
        <f aca="false">IF(OR($G499="",$G499=0),"",IFERROR(ROUND($F499*$G499*(1-IF($H499="",0,$H499)),2),""))</f>
        <v/>
      </c>
      <c r="J499" s="7"/>
    </row>
    <row r="500" customFormat="false" ht="21.75" hidden="false" customHeight="true" outlineLevel="0" collapsed="false">
      <c r="B500" s="15" t="n">
        <v>490</v>
      </c>
      <c r="C500" s="9" t="s">
        <v>48</v>
      </c>
      <c r="D500" s="9" t="s">
        <v>74</v>
      </c>
      <c r="E500" s="9" t="s">
        <v>321</v>
      </c>
      <c r="F500" s="19" t="str">
        <f aca="false">IF('Base de Datos'!AB494="","",'Base de Datos'!AB494)</f>
        <v/>
      </c>
      <c r="G500" s="15"/>
      <c r="H500" s="28"/>
      <c r="I500" s="29" t="str">
        <f aca="false">IF(OR($G500="",$G500=0),"",IFERROR(ROUND($F500*$G500*(1-IF($H500="",0,$H500)),2),""))</f>
        <v/>
      </c>
      <c r="J500" s="9"/>
    </row>
    <row r="501" customFormat="false" ht="21.75" hidden="false" customHeight="true" outlineLevel="0" collapsed="false">
      <c r="B501" s="14" t="n">
        <v>491</v>
      </c>
      <c r="C501" s="7" t="s">
        <v>49</v>
      </c>
      <c r="D501" s="7" t="s">
        <v>61</v>
      </c>
      <c r="E501" s="7" t="s">
        <v>1070</v>
      </c>
      <c r="F501" s="18" t="n">
        <f aca="false">IF('Base de Datos'!AB495="","",'Base de Datos'!AB495)</f>
        <v>325</v>
      </c>
      <c r="G501" s="14"/>
      <c r="H501" s="26"/>
      <c r="I501" s="27" t="str">
        <f aca="false">IF(OR($G501="",$G501=0),"",IFERROR(ROUND($F501*$G501*(1-IF($H501="",0,$H501)),2),""))</f>
        <v/>
      </c>
      <c r="J501" s="7"/>
    </row>
    <row r="502" customFormat="false" ht="21.75" hidden="false" customHeight="true" outlineLevel="0" collapsed="false">
      <c r="B502" s="15" t="n">
        <v>492</v>
      </c>
      <c r="C502" s="9" t="s">
        <v>49</v>
      </c>
      <c r="D502" s="9" t="s">
        <v>61</v>
      </c>
      <c r="E502" s="9" t="s">
        <v>1079</v>
      </c>
      <c r="F502" s="19" t="n">
        <f aca="false">IF('Base de Datos'!AB496="","",'Base de Datos'!AB496)</f>
        <v>485</v>
      </c>
      <c r="G502" s="15"/>
      <c r="H502" s="28"/>
      <c r="I502" s="29" t="str">
        <f aca="false">IF(OR($G502="",$G502=0),"",IFERROR(ROUND($F502*$G502*(1-IF($H502="",0,$H502)),2),""))</f>
        <v/>
      </c>
      <c r="J502" s="9"/>
    </row>
    <row r="503" customFormat="false" ht="21.75" hidden="false" customHeight="true" outlineLevel="0" collapsed="false">
      <c r="B503" s="14" t="n">
        <v>493</v>
      </c>
      <c r="C503" s="7" t="s">
        <v>49</v>
      </c>
      <c r="D503" s="7" t="s">
        <v>61</v>
      </c>
      <c r="E503" s="7" t="s">
        <v>1080</v>
      </c>
      <c r="F503" s="18" t="n">
        <f aca="false">IF('Base de Datos'!AB497="","",'Base de Datos'!AB497)</f>
        <v>650</v>
      </c>
      <c r="G503" s="14"/>
      <c r="H503" s="26"/>
      <c r="I503" s="27" t="str">
        <f aca="false">IF(OR($G503="",$G503=0),"",IFERROR(ROUND($F503*$G503*(1-IF($H503="",0,$H503)),2),""))</f>
        <v/>
      </c>
      <c r="J503" s="7"/>
    </row>
    <row r="504" customFormat="false" ht="21.75" hidden="false" customHeight="true" outlineLevel="0" collapsed="false">
      <c r="B504" s="15" t="n">
        <v>494</v>
      </c>
      <c r="C504" s="9" t="s">
        <v>49</v>
      </c>
      <c r="D504" s="9" t="s">
        <v>61</v>
      </c>
      <c r="E504" s="9" t="s">
        <v>1082</v>
      </c>
      <c r="F504" s="19" t="n">
        <f aca="false">IF('Base de Datos'!AB498="","",'Base de Datos'!AB498)</f>
        <v>975</v>
      </c>
      <c r="G504" s="15"/>
      <c r="H504" s="28"/>
      <c r="I504" s="29" t="str">
        <f aca="false">IF(OR($G504="",$G504=0),"",IFERROR(ROUND($F504*$G504*(1-IF($H504="",0,$H504)),2),""))</f>
        <v/>
      </c>
      <c r="J504" s="9"/>
    </row>
    <row r="505" customFormat="false" ht="21.75" hidden="false" customHeight="true" outlineLevel="0" collapsed="false">
      <c r="B505" s="14" t="n">
        <v>495</v>
      </c>
      <c r="C505" s="7" t="s">
        <v>49</v>
      </c>
      <c r="D505" s="7" t="s">
        <v>61</v>
      </c>
      <c r="E505" s="7" t="s">
        <v>1083</v>
      </c>
      <c r="F505" s="18" t="n">
        <f aca="false">IF('Base de Datos'!AB499="","",'Base de Datos'!AB499)</f>
        <v>1430</v>
      </c>
      <c r="G505" s="14"/>
      <c r="H505" s="26"/>
      <c r="I505" s="27" t="str">
        <f aca="false">IF(OR($G505="",$G505=0),"",IFERROR(ROUND($F505*$G505*(1-IF($H505="",0,$H505)),2),""))</f>
        <v/>
      </c>
      <c r="J505" s="7"/>
    </row>
    <row r="506" customFormat="false" ht="21.75" hidden="false" customHeight="true" outlineLevel="0" collapsed="false">
      <c r="B506" s="15" t="n">
        <v>496</v>
      </c>
      <c r="C506" s="9" t="s">
        <v>49</v>
      </c>
      <c r="D506" s="9" t="s">
        <v>62</v>
      </c>
      <c r="E506" s="9" t="s">
        <v>1084</v>
      </c>
      <c r="F506" s="19" t="n">
        <f aca="false">IF('Base de Datos'!AB500="","",'Base de Datos'!AB500)</f>
        <v>400</v>
      </c>
      <c r="G506" s="15"/>
      <c r="H506" s="28"/>
      <c r="I506" s="29" t="str">
        <f aca="false">IF(OR($G506="",$G506=0),"",IFERROR(ROUND($F506*$G506*(1-IF($H506="",0,$H506)),2),""))</f>
        <v/>
      </c>
      <c r="J506" s="9"/>
    </row>
    <row r="507" customFormat="false" ht="21.75" hidden="false" customHeight="true" outlineLevel="0" collapsed="false">
      <c r="B507" s="14" t="n">
        <v>497</v>
      </c>
      <c r="C507" s="7" t="s">
        <v>49</v>
      </c>
      <c r="D507" s="7" t="s">
        <v>62</v>
      </c>
      <c r="E507" s="7" t="s">
        <v>1087</v>
      </c>
      <c r="F507" s="18" t="n">
        <f aca="false">IF('Base de Datos'!AB501="","",'Base de Datos'!AB501)</f>
        <v>600</v>
      </c>
      <c r="G507" s="14"/>
      <c r="H507" s="26"/>
      <c r="I507" s="27" t="str">
        <f aca="false">IF(OR($G507="",$G507=0),"",IFERROR(ROUND($F507*$G507*(1-IF($H507="",0,$H507)),2),""))</f>
        <v/>
      </c>
      <c r="J507" s="7"/>
    </row>
    <row r="508" customFormat="false" ht="21.75" hidden="false" customHeight="true" outlineLevel="0" collapsed="false">
      <c r="B508" s="15" t="n">
        <v>498</v>
      </c>
      <c r="C508" s="9" t="s">
        <v>49</v>
      </c>
      <c r="D508" s="9" t="s">
        <v>62</v>
      </c>
      <c r="E508" s="9" t="s">
        <v>1088</v>
      </c>
      <c r="F508" s="19" t="n">
        <f aca="false">IF('Base de Datos'!AB502="","",'Base de Datos'!AB502)</f>
        <v>800</v>
      </c>
      <c r="G508" s="15"/>
      <c r="H508" s="28"/>
      <c r="I508" s="29" t="str">
        <f aca="false">IF(OR($G508="",$G508=0),"",IFERROR(ROUND($F508*$G508*(1-IF($H508="",0,$H508)),2),""))</f>
        <v/>
      </c>
      <c r="J508" s="9"/>
    </row>
    <row r="509" customFormat="false" ht="21.75" hidden="false" customHeight="true" outlineLevel="0" collapsed="false">
      <c r="B509" s="14" t="n">
        <v>499</v>
      </c>
      <c r="C509" s="7" t="s">
        <v>49</v>
      </c>
      <c r="D509" s="7" t="s">
        <v>62</v>
      </c>
      <c r="E509" s="7" t="s">
        <v>1090</v>
      </c>
      <c r="F509" s="18" t="n">
        <f aca="false">IF('Base de Datos'!AB503="","",'Base de Datos'!AB503)</f>
        <v>1200</v>
      </c>
      <c r="G509" s="14"/>
      <c r="H509" s="26"/>
      <c r="I509" s="27" t="str">
        <f aca="false">IF(OR($G509="",$G509=0),"",IFERROR(ROUND($F509*$G509*(1-IF($H509="",0,$H509)),2),""))</f>
        <v/>
      </c>
      <c r="J509" s="7"/>
    </row>
    <row r="510" customFormat="false" ht="21.75" hidden="false" customHeight="true" outlineLevel="0" collapsed="false">
      <c r="B510" s="15" t="n">
        <v>500</v>
      </c>
      <c r="C510" s="9" t="s">
        <v>49</v>
      </c>
      <c r="D510" s="9" t="s">
        <v>62</v>
      </c>
      <c r="E510" s="9" t="s">
        <v>1091</v>
      </c>
      <c r="F510" s="19" t="n">
        <f aca="false">IF('Base de Datos'!AB504="","",'Base de Datos'!AB504)</f>
        <v>1760</v>
      </c>
      <c r="G510" s="15"/>
      <c r="H510" s="28"/>
      <c r="I510" s="29" t="str">
        <f aca="false">IF(OR($G510="",$G510=0),"",IFERROR(ROUND($F510*$G510*(1-IF($H510="",0,$H510)),2),""))</f>
        <v/>
      </c>
      <c r="J510" s="9"/>
    </row>
    <row r="511" customFormat="false" ht="21.75" hidden="false" customHeight="true" outlineLevel="0" collapsed="false">
      <c r="B511" s="14" t="n">
        <v>501</v>
      </c>
      <c r="C511" s="7" t="s">
        <v>49</v>
      </c>
      <c r="D511" s="7" t="s">
        <v>63</v>
      </c>
      <c r="E511" s="7" t="s">
        <v>1092</v>
      </c>
      <c r="F511" s="18" t="n">
        <f aca="false">IF('Base de Datos'!AB505="","",'Base de Datos'!AB505)</f>
        <v>350</v>
      </c>
      <c r="G511" s="14"/>
      <c r="H511" s="26"/>
      <c r="I511" s="27" t="str">
        <f aca="false">IF(OR($G511="",$G511=0),"",IFERROR(ROUND($F511*$G511*(1-IF($H511="",0,$H511)),2),""))</f>
        <v/>
      </c>
      <c r="J511" s="7"/>
    </row>
    <row r="512" customFormat="false" ht="21.75" hidden="false" customHeight="true" outlineLevel="0" collapsed="false">
      <c r="B512" s="15" t="n">
        <v>502</v>
      </c>
      <c r="C512" s="9" t="s">
        <v>49</v>
      </c>
      <c r="D512" s="9" t="s">
        <v>63</v>
      </c>
      <c r="E512" s="9" t="s">
        <v>1096</v>
      </c>
      <c r="F512" s="19" t="n">
        <f aca="false">IF('Base de Datos'!AB506="","",'Base de Datos'!AB506)</f>
        <v>525</v>
      </c>
      <c r="G512" s="15"/>
      <c r="H512" s="28"/>
      <c r="I512" s="29" t="str">
        <f aca="false">IF(OR($G512="",$G512=0),"",IFERROR(ROUND($F512*$G512*(1-IF($H512="",0,$H512)),2),""))</f>
        <v/>
      </c>
      <c r="J512" s="9"/>
    </row>
    <row r="513" customFormat="false" ht="21.75" hidden="false" customHeight="true" outlineLevel="0" collapsed="false">
      <c r="B513" s="14" t="n">
        <v>503</v>
      </c>
      <c r="C513" s="7" t="s">
        <v>49</v>
      </c>
      <c r="D513" s="7" t="s">
        <v>63</v>
      </c>
      <c r="E513" s="7" t="s">
        <v>1097</v>
      </c>
      <c r="F513" s="18" t="n">
        <f aca="false">IF('Base de Datos'!AB507="","",'Base de Datos'!AB507)</f>
        <v>700</v>
      </c>
      <c r="G513" s="14"/>
      <c r="H513" s="26"/>
      <c r="I513" s="27" t="str">
        <f aca="false">IF(OR($G513="",$G513=0),"",IFERROR(ROUND($F513*$G513*(1-IF($H513="",0,$H513)),2),""))</f>
        <v/>
      </c>
      <c r="J513" s="7"/>
    </row>
    <row r="514" customFormat="false" ht="21.75" hidden="false" customHeight="true" outlineLevel="0" collapsed="false">
      <c r="B514" s="15" t="n">
        <v>504</v>
      </c>
      <c r="C514" s="9" t="s">
        <v>49</v>
      </c>
      <c r="D514" s="9" t="s">
        <v>63</v>
      </c>
      <c r="E514" s="9" t="s">
        <v>1099</v>
      </c>
      <c r="F514" s="19" t="n">
        <f aca="false">IF('Base de Datos'!AB508="","",'Base de Datos'!AB508)</f>
        <v>1050</v>
      </c>
      <c r="G514" s="15"/>
      <c r="H514" s="28"/>
      <c r="I514" s="29" t="str">
        <f aca="false">IF(OR($G514="",$G514=0),"",IFERROR(ROUND($F514*$G514*(1-IF($H514="",0,$H514)),2),""))</f>
        <v/>
      </c>
      <c r="J514" s="9"/>
    </row>
    <row r="515" customFormat="false" ht="21.75" hidden="false" customHeight="true" outlineLevel="0" collapsed="false">
      <c r="B515" s="14" t="n">
        <v>505</v>
      </c>
      <c r="C515" s="7" t="s">
        <v>49</v>
      </c>
      <c r="D515" s="7" t="s">
        <v>63</v>
      </c>
      <c r="E515" s="7" t="s">
        <v>1100</v>
      </c>
      <c r="F515" s="18" t="n">
        <f aca="false">IF('Base de Datos'!AB509="","",'Base de Datos'!AB509)</f>
        <v>1540</v>
      </c>
      <c r="G515" s="14"/>
      <c r="H515" s="26"/>
      <c r="I515" s="27" t="str">
        <f aca="false">IF(OR($G515="",$G515=0),"",IFERROR(ROUND($F515*$G515*(1-IF($H515="",0,$H515)),2),""))</f>
        <v/>
      </c>
      <c r="J515" s="7"/>
    </row>
    <row r="516" customFormat="false" ht="21.75" hidden="false" customHeight="true" outlineLevel="0" collapsed="false">
      <c r="B516" s="15" t="n">
        <v>506</v>
      </c>
      <c r="C516" s="9" t="s">
        <v>49</v>
      </c>
      <c r="D516" s="9" t="s">
        <v>64</v>
      </c>
      <c r="E516" s="9" t="s">
        <v>321</v>
      </c>
      <c r="F516" s="19" t="str">
        <f aca="false">IF('Base de Datos'!AB510="","",'Base de Datos'!AB510)</f>
        <v/>
      </c>
      <c r="G516" s="15"/>
      <c r="H516" s="28"/>
      <c r="I516" s="29" t="str">
        <f aca="false">IF(OR($G516="",$G516=0),"",IFERROR(ROUND($F516*$G516*(1-IF($H516="",0,$H516)),2),""))</f>
        <v/>
      </c>
      <c r="J516" s="9"/>
    </row>
    <row r="517" customFormat="false" ht="21.75" hidden="false" customHeight="true" outlineLevel="0" collapsed="false">
      <c r="B517" s="14" t="n">
        <v>507</v>
      </c>
      <c r="C517" s="7" t="s">
        <v>49</v>
      </c>
      <c r="D517" s="7" t="s">
        <v>65</v>
      </c>
      <c r="E517" s="7" t="s">
        <v>321</v>
      </c>
      <c r="F517" s="18" t="str">
        <f aca="false">IF('Base de Datos'!AB511="","",'Base de Datos'!AB511)</f>
        <v/>
      </c>
      <c r="G517" s="14"/>
      <c r="H517" s="26"/>
      <c r="I517" s="27" t="str">
        <f aca="false">IF(OR($G517="",$G517=0),"",IFERROR(ROUND($F517*$G517*(1-IF($H517="",0,$H517)),2),""))</f>
        <v/>
      </c>
      <c r="J517" s="7"/>
    </row>
    <row r="518" customFormat="false" ht="21.75" hidden="false" customHeight="true" outlineLevel="0" collapsed="false">
      <c r="B518" s="15" t="n">
        <v>508</v>
      </c>
      <c r="C518" s="9" t="s">
        <v>49</v>
      </c>
      <c r="D518" s="9" t="s">
        <v>66</v>
      </c>
      <c r="E518" s="9" t="s">
        <v>321</v>
      </c>
      <c r="F518" s="19" t="str">
        <f aca="false">IF('Base de Datos'!AB512="","",'Base de Datos'!AB512)</f>
        <v/>
      </c>
      <c r="G518" s="15"/>
      <c r="H518" s="28"/>
      <c r="I518" s="29" t="str">
        <f aca="false">IF(OR($G518="",$G518=0),"",IFERROR(ROUND($F518*$G518*(1-IF($H518="",0,$H518)),2),""))</f>
        <v/>
      </c>
      <c r="J518" s="9"/>
    </row>
    <row r="519" customFormat="false" ht="21.75" hidden="false" customHeight="true" outlineLevel="0" collapsed="false">
      <c r="B519" s="14" t="n">
        <v>509</v>
      </c>
      <c r="C519" s="7" t="s">
        <v>49</v>
      </c>
      <c r="D519" s="7" t="s">
        <v>67</v>
      </c>
      <c r="E519" s="7" t="s">
        <v>1104</v>
      </c>
      <c r="F519" s="18" t="n">
        <f aca="false">IF('Base de Datos'!AB513="","",'Base de Datos'!AB513)</f>
        <v>425</v>
      </c>
      <c r="G519" s="14"/>
      <c r="H519" s="26"/>
      <c r="I519" s="27" t="str">
        <f aca="false">IF(OR($G519="",$G519=0),"",IFERROR(ROUND($F519*$G519*(1-IF($H519="",0,$H519)),2),""))</f>
        <v/>
      </c>
      <c r="J519" s="7"/>
    </row>
    <row r="520" customFormat="false" ht="21.75" hidden="false" customHeight="true" outlineLevel="0" collapsed="false">
      <c r="B520" s="15" t="n">
        <v>510</v>
      </c>
      <c r="C520" s="9" t="s">
        <v>49</v>
      </c>
      <c r="D520" s="9" t="s">
        <v>67</v>
      </c>
      <c r="E520" s="9" t="s">
        <v>1107</v>
      </c>
      <c r="F520" s="19" t="n">
        <f aca="false">IF('Base de Datos'!AB514="","",'Base de Datos'!AB514)</f>
        <v>635</v>
      </c>
      <c r="G520" s="15"/>
      <c r="H520" s="28"/>
      <c r="I520" s="29" t="str">
        <f aca="false">IF(OR($G520="",$G520=0),"",IFERROR(ROUND($F520*$G520*(1-IF($H520="",0,$H520)),2),""))</f>
        <v/>
      </c>
      <c r="J520" s="9"/>
    </row>
    <row r="521" customFormat="false" ht="21.75" hidden="false" customHeight="true" outlineLevel="0" collapsed="false">
      <c r="B521" s="14" t="n">
        <v>511</v>
      </c>
      <c r="C521" s="7" t="s">
        <v>49</v>
      </c>
      <c r="D521" s="7" t="s">
        <v>67</v>
      </c>
      <c r="E521" s="7" t="s">
        <v>1108</v>
      </c>
      <c r="F521" s="18" t="n">
        <f aca="false">IF('Base de Datos'!AB515="","",'Base de Datos'!AB515)</f>
        <v>850</v>
      </c>
      <c r="G521" s="14"/>
      <c r="H521" s="26"/>
      <c r="I521" s="27" t="str">
        <f aca="false">IF(OR($G521="",$G521=0),"",IFERROR(ROUND($F521*$G521*(1-IF($H521="",0,$H521)),2),""))</f>
        <v/>
      </c>
      <c r="J521" s="7"/>
    </row>
    <row r="522" customFormat="false" ht="21.75" hidden="false" customHeight="true" outlineLevel="0" collapsed="false">
      <c r="B522" s="15" t="n">
        <v>512</v>
      </c>
      <c r="C522" s="9" t="s">
        <v>49</v>
      </c>
      <c r="D522" s="9" t="s">
        <v>67</v>
      </c>
      <c r="E522" s="9" t="s">
        <v>1110</v>
      </c>
      <c r="F522" s="19" t="n">
        <f aca="false">IF('Base de Datos'!AB516="","",'Base de Datos'!AB516)</f>
        <v>1275</v>
      </c>
      <c r="G522" s="15"/>
      <c r="H522" s="28"/>
      <c r="I522" s="29" t="str">
        <f aca="false">IF(OR($G522="",$G522=0),"",IFERROR(ROUND($F522*$G522*(1-IF($H522="",0,$H522)),2),""))</f>
        <v/>
      </c>
      <c r="J522" s="9"/>
    </row>
    <row r="523" customFormat="false" ht="21.75" hidden="false" customHeight="true" outlineLevel="0" collapsed="false">
      <c r="B523" s="14" t="n">
        <v>513</v>
      </c>
      <c r="C523" s="7" t="s">
        <v>49</v>
      </c>
      <c r="D523" s="7" t="s">
        <v>67</v>
      </c>
      <c r="E523" s="7" t="s">
        <v>1111</v>
      </c>
      <c r="F523" s="18" t="n">
        <f aca="false">IF('Base de Datos'!AB517="","",'Base de Datos'!AB517)</f>
        <v>1870</v>
      </c>
      <c r="G523" s="14"/>
      <c r="H523" s="26"/>
      <c r="I523" s="27" t="str">
        <f aca="false">IF(OR($G523="",$G523=0),"",IFERROR(ROUND($F523*$G523*(1-IF($H523="",0,$H523)),2),""))</f>
        <v/>
      </c>
      <c r="J523" s="7"/>
    </row>
    <row r="524" customFormat="false" ht="21.75" hidden="false" customHeight="true" outlineLevel="0" collapsed="false">
      <c r="B524" s="15" t="n">
        <v>514</v>
      </c>
      <c r="C524" s="9" t="s">
        <v>49</v>
      </c>
      <c r="D524" s="9" t="s">
        <v>68</v>
      </c>
      <c r="E524" s="9" t="s">
        <v>321</v>
      </c>
      <c r="F524" s="19" t="str">
        <f aca="false">IF('Base de Datos'!AB518="","",'Base de Datos'!AB518)</f>
        <v/>
      </c>
      <c r="G524" s="15"/>
      <c r="H524" s="28"/>
      <c r="I524" s="29" t="str">
        <f aca="false">IF(OR($G524="",$G524=0),"",IFERROR(ROUND($F524*$G524*(1-IF($H524="",0,$H524)),2),""))</f>
        <v/>
      </c>
      <c r="J524" s="9"/>
    </row>
    <row r="525" customFormat="false" ht="21.75" hidden="false" customHeight="true" outlineLevel="0" collapsed="false">
      <c r="B525" s="14" t="n">
        <v>515</v>
      </c>
      <c r="C525" s="7" t="s">
        <v>49</v>
      </c>
      <c r="D525" s="7" t="s">
        <v>69</v>
      </c>
      <c r="E525" s="7" t="s">
        <v>321</v>
      </c>
      <c r="F525" s="18" t="str">
        <f aca="false">IF('Base de Datos'!AB519="","",'Base de Datos'!AB519)</f>
        <v/>
      </c>
      <c r="G525" s="14"/>
      <c r="H525" s="26"/>
      <c r="I525" s="27" t="str">
        <f aca="false">IF(OR($G525="",$G525=0),"",IFERROR(ROUND($F525*$G525*(1-IF($H525="",0,$H525)),2),""))</f>
        <v/>
      </c>
      <c r="J525" s="7"/>
    </row>
    <row r="526" customFormat="false" ht="21.75" hidden="false" customHeight="true" outlineLevel="0" collapsed="false">
      <c r="B526" s="15" t="n">
        <v>516</v>
      </c>
      <c r="C526" s="9" t="s">
        <v>49</v>
      </c>
      <c r="D526" s="9" t="s">
        <v>70</v>
      </c>
      <c r="E526" s="9" t="s">
        <v>321</v>
      </c>
      <c r="F526" s="19" t="str">
        <f aca="false">IF('Base de Datos'!AB520="","",'Base de Datos'!AB520)</f>
        <v/>
      </c>
      <c r="G526" s="15"/>
      <c r="H526" s="28"/>
      <c r="I526" s="29" t="str">
        <f aca="false">IF(OR($G526="",$G526=0),"",IFERROR(ROUND($F526*$G526*(1-IF($H526="",0,$H526)),2),""))</f>
        <v/>
      </c>
      <c r="J526" s="9"/>
    </row>
    <row r="527" customFormat="false" ht="21.75" hidden="false" customHeight="true" outlineLevel="0" collapsed="false">
      <c r="B527" s="14" t="n">
        <v>517</v>
      </c>
      <c r="C527" s="7" t="s">
        <v>49</v>
      </c>
      <c r="D527" s="7" t="s">
        <v>71</v>
      </c>
      <c r="E527" s="7" t="s">
        <v>1115</v>
      </c>
      <c r="F527" s="18" t="n">
        <f aca="false">IF('Base de Datos'!AB521="","",'Base de Datos'!AB521)</f>
        <v>350</v>
      </c>
      <c r="G527" s="14"/>
      <c r="H527" s="26"/>
      <c r="I527" s="27" t="str">
        <f aca="false">IF(OR($G527="",$G527=0),"",IFERROR(ROUND($F527*$G527*(1-IF($H527="",0,$H527)),2),""))</f>
        <v/>
      </c>
      <c r="J527" s="7"/>
    </row>
    <row r="528" customFormat="false" ht="21.75" hidden="false" customHeight="true" outlineLevel="0" collapsed="false">
      <c r="B528" s="15" t="n">
        <v>518</v>
      </c>
      <c r="C528" s="9" t="s">
        <v>49</v>
      </c>
      <c r="D528" s="9" t="s">
        <v>71</v>
      </c>
      <c r="E528" s="9" t="s">
        <v>1117</v>
      </c>
      <c r="F528" s="19" t="n">
        <f aca="false">IF('Base de Datos'!AB522="","",'Base de Datos'!AB522)</f>
        <v>525</v>
      </c>
      <c r="G528" s="15"/>
      <c r="H528" s="28"/>
      <c r="I528" s="29" t="str">
        <f aca="false">IF(OR($G528="",$G528=0),"",IFERROR(ROUND($F528*$G528*(1-IF($H528="",0,$H528)),2),""))</f>
        <v/>
      </c>
      <c r="J528" s="9"/>
    </row>
    <row r="529" customFormat="false" ht="21.75" hidden="false" customHeight="true" outlineLevel="0" collapsed="false">
      <c r="B529" s="14" t="n">
        <v>519</v>
      </c>
      <c r="C529" s="7" t="s">
        <v>49</v>
      </c>
      <c r="D529" s="7" t="s">
        <v>71</v>
      </c>
      <c r="E529" s="7" t="s">
        <v>1118</v>
      </c>
      <c r="F529" s="18" t="n">
        <f aca="false">IF('Base de Datos'!AB523="","",'Base de Datos'!AB523)</f>
        <v>700</v>
      </c>
      <c r="G529" s="14"/>
      <c r="H529" s="26"/>
      <c r="I529" s="27" t="str">
        <f aca="false">IF(OR($G529="",$G529=0),"",IFERROR(ROUND($F529*$G529*(1-IF($H529="",0,$H529)),2),""))</f>
        <v/>
      </c>
      <c r="J529" s="7"/>
    </row>
    <row r="530" customFormat="false" ht="21.75" hidden="false" customHeight="true" outlineLevel="0" collapsed="false">
      <c r="B530" s="15" t="n">
        <v>520</v>
      </c>
      <c r="C530" s="9" t="s">
        <v>49</v>
      </c>
      <c r="D530" s="9" t="s">
        <v>71</v>
      </c>
      <c r="E530" s="9" t="s">
        <v>1120</v>
      </c>
      <c r="F530" s="19" t="n">
        <f aca="false">IF('Base de Datos'!AB524="","",'Base de Datos'!AB524)</f>
        <v>1050</v>
      </c>
      <c r="G530" s="15"/>
      <c r="H530" s="28"/>
      <c r="I530" s="29" t="str">
        <f aca="false">IF(OR($G530="",$G530=0),"",IFERROR(ROUND($F530*$G530*(1-IF($H530="",0,$H530)),2),""))</f>
        <v/>
      </c>
      <c r="J530" s="9"/>
    </row>
    <row r="531" customFormat="false" ht="21.75" hidden="false" customHeight="true" outlineLevel="0" collapsed="false">
      <c r="B531" s="14" t="n">
        <v>521</v>
      </c>
      <c r="C531" s="7" t="s">
        <v>49</v>
      </c>
      <c r="D531" s="7" t="s">
        <v>71</v>
      </c>
      <c r="E531" s="7" t="s">
        <v>1121</v>
      </c>
      <c r="F531" s="18" t="n">
        <f aca="false">IF('Base de Datos'!AB525="","",'Base de Datos'!AB525)</f>
        <v>1540</v>
      </c>
      <c r="G531" s="14"/>
      <c r="H531" s="26"/>
      <c r="I531" s="27" t="str">
        <f aca="false">IF(OR($G531="",$G531=0),"",IFERROR(ROUND($F531*$G531*(1-IF($H531="",0,$H531)),2),""))</f>
        <v/>
      </c>
      <c r="J531" s="7"/>
    </row>
    <row r="532" customFormat="false" ht="21.75" hidden="false" customHeight="true" outlineLevel="0" collapsed="false">
      <c r="B532" s="15" t="n">
        <v>522</v>
      </c>
      <c r="C532" s="9" t="s">
        <v>49</v>
      </c>
      <c r="D532" s="9" t="s">
        <v>72</v>
      </c>
      <c r="E532" s="9" t="s">
        <v>321</v>
      </c>
      <c r="F532" s="19" t="str">
        <f aca="false">IF('Base de Datos'!AB526="","",'Base de Datos'!AB526)</f>
        <v/>
      </c>
      <c r="G532" s="15"/>
      <c r="H532" s="28"/>
      <c r="I532" s="29" t="str">
        <f aca="false">IF(OR($G532="",$G532=0),"",IFERROR(ROUND($F532*$G532*(1-IF($H532="",0,$H532)),2),""))</f>
        <v/>
      </c>
      <c r="J532" s="9"/>
    </row>
    <row r="533" customFormat="false" ht="21.75" hidden="false" customHeight="true" outlineLevel="0" collapsed="false">
      <c r="B533" s="14" t="n">
        <v>523</v>
      </c>
      <c r="C533" s="7" t="s">
        <v>49</v>
      </c>
      <c r="D533" s="7" t="s">
        <v>73</v>
      </c>
      <c r="E533" s="7" t="s">
        <v>1083</v>
      </c>
      <c r="F533" s="18" t="n">
        <f aca="false">IF('Base de Datos'!AB527="","",'Base de Datos'!AB527)</f>
        <v>300</v>
      </c>
      <c r="G533" s="14"/>
      <c r="H533" s="26"/>
      <c r="I533" s="27" t="str">
        <f aca="false">IF(OR($G533="",$G533=0),"",IFERROR(ROUND($F533*$G533*(1-IF($H533="",0,$H533)),2),""))</f>
        <v/>
      </c>
      <c r="J533" s="7"/>
    </row>
    <row r="534" customFormat="false" ht="21.75" hidden="false" customHeight="true" outlineLevel="0" collapsed="false">
      <c r="B534" s="15" t="n">
        <v>524</v>
      </c>
      <c r="C534" s="9" t="s">
        <v>49</v>
      </c>
      <c r="D534" s="9" t="s">
        <v>73</v>
      </c>
      <c r="E534" s="9" t="s">
        <v>1125</v>
      </c>
      <c r="F534" s="19" t="n">
        <f aca="false">IF('Base de Datos'!AB528="","",'Base de Datos'!AB528)</f>
        <v>450</v>
      </c>
      <c r="G534" s="15"/>
      <c r="H534" s="28"/>
      <c r="I534" s="29" t="str">
        <f aca="false">IF(OR($G534="",$G534=0),"",IFERROR(ROUND($F534*$G534*(1-IF($H534="",0,$H534)),2),""))</f>
        <v/>
      </c>
      <c r="J534" s="9"/>
    </row>
    <row r="535" customFormat="false" ht="21.75" hidden="false" customHeight="true" outlineLevel="0" collapsed="false">
      <c r="B535" s="14" t="n">
        <v>525</v>
      </c>
      <c r="C535" s="7" t="s">
        <v>49</v>
      </c>
      <c r="D535" s="7" t="s">
        <v>73</v>
      </c>
      <c r="E535" s="7" t="s">
        <v>1100</v>
      </c>
      <c r="F535" s="18" t="n">
        <f aca="false">IF('Base de Datos'!AB529="","",'Base de Datos'!AB529)</f>
        <v>600</v>
      </c>
      <c r="G535" s="14"/>
      <c r="H535" s="26"/>
      <c r="I535" s="27" t="str">
        <f aca="false">IF(OR($G535="",$G535=0),"",IFERROR(ROUND($F535*$G535*(1-IF($H535="",0,$H535)),2),""))</f>
        <v/>
      </c>
      <c r="J535" s="7"/>
    </row>
    <row r="536" customFormat="false" ht="21.75" hidden="false" customHeight="true" outlineLevel="0" collapsed="false">
      <c r="B536" s="15" t="n">
        <v>526</v>
      </c>
      <c r="C536" s="9" t="s">
        <v>49</v>
      </c>
      <c r="D536" s="9" t="s">
        <v>73</v>
      </c>
      <c r="E536" s="9" t="s">
        <v>1127</v>
      </c>
      <c r="F536" s="19" t="n">
        <f aca="false">IF('Base de Datos'!AB530="","",'Base de Datos'!AB530)</f>
        <v>900</v>
      </c>
      <c r="G536" s="15"/>
      <c r="H536" s="28"/>
      <c r="I536" s="29" t="str">
        <f aca="false">IF(OR($G536="",$G536=0),"",IFERROR(ROUND($F536*$G536*(1-IF($H536="",0,$H536)),2),""))</f>
        <v/>
      </c>
      <c r="J536" s="9"/>
    </row>
    <row r="537" customFormat="false" ht="21.75" hidden="false" customHeight="true" outlineLevel="0" collapsed="false">
      <c r="B537" s="14" t="n">
        <v>527</v>
      </c>
      <c r="C537" s="7" t="s">
        <v>49</v>
      </c>
      <c r="D537" s="7" t="s">
        <v>73</v>
      </c>
      <c r="E537" s="7" t="s">
        <v>1111</v>
      </c>
      <c r="F537" s="18" t="n">
        <f aca="false">IF('Base de Datos'!AB531="","",'Base de Datos'!AB531)</f>
        <v>1320</v>
      </c>
      <c r="G537" s="14"/>
      <c r="H537" s="26"/>
      <c r="I537" s="27" t="str">
        <f aca="false">IF(OR($G537="",$G537=0),"",IFERROR(ROUND($F537*$G537*(1-IF($H537="",0,$H537)),2),""))</f>
        <v/>
      </c>
      <c r="J537" s="7"/>
    </row>
    <row r="538" customFormat="false" ht="21.75" hidden="false" customHeight="true" outlineLevel="0" collapsed="false">
      <c r="B538" s="15" t="n">
        <v>528</v>
      </c>
      <c r="C538" s="9" t="s">
        <v>49</v>
      </c>
      <c r="D538" s="9" t="s">
        <v>74</v>
      </c>
      <c r="E538" s="9" t="s">
        <v>321</v>
      </c>
      <c r="F538" s="19" t="str">
        <f aca="false">IF('Base de Datos'!AB532="","",'Base de Datos'!AB532)</f>
        <v/>
      </c>
      <c r="G538" s="15"/>
      <c r="H538" s="28"/>
      <c r="I538" s="29" t="str">
        <f aca="false">IF(OR($G538="",$G538=0),"",IFERROR(ROUND($F538*$G538*(1-IF($H538="",0,$H538)),2),""))</f>
        <v/>
      </c>
      <c r="J538" s="9"/>
    </row>
    <row r="539" customFormat="false" ht="21.75" hidden="false" customHeight="true" outlineLevel="0" collapsed="false">
      <c r="B539" s="14" t="n">
        <v>529</v>
      </c>
      <c r="C539" s="7" t="s">
        <v>50</v>
      </c>
      <c r="D539" s="7" t="s">
        <v>61</v>
      </c>
      <c r="E539" s="7" t="s">
        <v>1129</v>
      </c>
      <c r="F539" s="18" t="n">
        <f aca="false">IF('Base de Datos'!AB533="","",'Base de Datos'!AB533)</f>
        <v>100</v>
      </c>
      <c r="G539" s="14"/>
      <c r="H539" s="26"/>
      <c r="I539" s="27" t="str">
        <f aca="false">IF(OR($G539="",$G539=0),"",IFERROR(ROUND($F539*$G539*(1-IF($H539="",0,$H539)),2),""))</f>
        <v/>
      </c>
      <c r="J539" s="7"/>
    </row>
    <row r="540" customFormat="false" ht="21.75" hidden="false" customHeight="true" outlineLevel="0" collapsed="false">
      <c r="B540" s="15" t="n">
        <v>530</v>
      </c>
      <c r="C540" s="9" t="s">
        <v>50</v>
      </c>
      <c r="D540" s="9" t="s">
        <v>61</v>
      </c>
      <c r="E540" s="9" t="s">
        <v>1140</v>
      </c>
      <c r="F540" s="19" t="n">
        <f aca="false">IF('Base de Datos'!AB534="","",'Base de Datos'!AB534)</f>
        <v>150</v>
      </c>
      <c r="G540" s="15"/>
      <c r="H540" s="28"/>
      <c r="I540" s="29" t="str">
        <f aca="false">IF(OR($G540="",$G540=0),"",IFERROR(ROUND($F540*$G540*(1-IF($H540="",0,$H540)),2),""))</f>
        <v/>
      </c>
      <c r="J540" s="9"/>
    </row>
    <row r="541" customFormat="false" ht="21.75" hidden="false" customHeight="true" outlineLevel="0" collapsed="false">
      <c r="B541" s="14" t="n">
        <v>531</v>
      </c>
      <c r="C541" s="7" t="s">
        <v>50</v>
      </c>
      <c r="D541" s="7" t="s">
        <v>61</v>
      </c>
      <c r="E541" s="7" t="s">
        <v>1141</v>
      </c>
      <c r="F541" s="18" t="n">
        <f aca="false">IF('Base de Datos'!AB535="","",'Base de Datos'!AB535)</f>
        <v>200</v>
      </c>
      <c r="G541" s="14"/>
      <c r="H541" s="26"/>
      <c r="I541" s="27" t="str">
        <f aca="false">IF(OR($G541="",$G541=0),"",IFERROR(ROUND($F541*$G541*(1-IF($H541="",0,$H541)),2),""))</f>
        <v/>
      </c>
      <c r="J541" s="7"/>
    </row>
    <row r="542" customFormat="false" ht="21.75" hidden="false" customHeight="true" outlineLevel="0" collapsed="false">
      <c r="B542" s="15" t="n">
        <v>532</v>
      </c>
      <c r="C542" s="9" t="s">
        <v>50</v>
      </c>
      <c r="D542" s="9" t="s">
        <v>61</v>
      </c>
      <c r="E542" s="9" t="s">
        <v>1143</v>
      </c>
      <c r="F542" s="19" t="n">
        <f aca="false">IF('Base de Datos'!AB536="","",'Base de Datos'!AB536)</f>
        <v>300</v>
      </c>
      <c r="G542" s="15"/>
      <c r="H542" s="28"/>
      <c r="I542" s="29" t="str">
        <f aca="false">IF(OR($G542="",$G542=0),"",IFERROR(ROUND($F542*$G542*(1-IF($H542="",0,$H542)),2),""))</f>
        <v/>
      </c>
      <c r="J542" s="9"/>
    </row>
    <row r="543" customFormat="false" ht="21.75" hidden="false" customHeight="true" outlineLevel="0" collapsed="false">
      <c r="B543" s="14" t="n">
        <v>533</v>
      </c>
      <c r="C543" s="7" t="s">
        <v>50</v>
      </c>
      <c r="D543" s="7" t="s">
        <v>61</v>
      </c>
      <c r="E543" s="7" t="s">
        <v>1144</v>
      </c>
      <c r="F543" s="18" t="n">
        <f aca="false">IF('Base de Datos'!AB537="","",'Base de Datos'!AB537)</f>
        <v>440</v>
      </c>
      <c r="G543" s="14"/>
      <c r="H543" s="26"/>
      <c r="I543" s="27" t="str">
        <f aca="false">IF(OR($G543="",$G543=0),"",IFERROR(ROUND($F543*$G543*(1-IF($H543="",0,$H543)),2),""))</f>
        <v/>
      </c>
      <c r="J543" s="7"/>
    </row>
    <row r="544" customFormat="false" ht="21.75" hidden="false" customHeight="true" outlineLevel="0" collapsed="false">
      <c r="B544" s="15" t="n">
        <v>534</v>
      </c>
      <c r="C544" s="9" t="s">
        <v>50</v>
      </c>
      <c r="D544" s="9" t="s">
        <v>62</v>
      </c>
      <c r="E544" s="9" t="s">
        <v>1140</v>
      </c>
      <c r="F544" s="19" t="n">
        <f aca="false">IF('Base de Datos'!AB538="","",'Base de Datos'!AB538)</f>
        <v>100</v>
      </c>
      <c r="G544" s="15"/>
      <c r="H544" s="28"/>
      <c r="I544" s="29" t="str">
        <f aca="false">IF(OR($G544="",$G544=0),"",IFERROR(ROUND($F544*$G544*(1-IF($H544="",0,$H544)),2),""))</f>
        <v/>
      </c>
      <c r="J544" s="9"/>
    </row>
    <row r="545" customFormat="false" ht="21.75" hidden="false" customHeight="true" outlineLevel="0" collapsed="false">
      <c r="B545" s="14" t="n">
        <v>535</v>
      </c>
      <c r="C545" s="7" t="s">
        <v>50</v>
      </c>
      <c r="D545" s="7" t="s">
        <v>62</v>
      </c>
      <c r="E545" s="7" t="s">
        <v>1145</v>
      </c>
      <c r="F545" s="18" t="n">
        <f aca="false">IF('Base de Datos'!AB539="","",'Base de Datos'!AB539)</f>
        <v>150</v>
      </c>
      <c r="G545" s="14"/>
      <c r="H545" s="26"/>
      <c r="I545" s="27" t="str">
        <f aca="false">IF(OR($G545="",$G545=0),"",IFERROR(ROUND($F545*$G545*(1-IF($H545="",0,$H545)),2),""))</f>
        <v/>
      </c>
      <c r="J545" s="7"/>
    </row>
    <row r="546" customFormat="false" ht="21.75" hidden="false" customHeight="true" outlineLevel="0" collapsed="false">
      <c r="B546" s="15" t="n">
        <v>536</v>
      </c>
      <c r="C546" s="9" t="s">
        <v>50</v>
      </c>
      <c r="D546" s="9" t="s">
        <v>62</v>
      </c>
      <c r="E546" s="9" t="s">
        <v>1141</v>
      </c>
      <c r="F546" s="19" t="n">
        <f aca="false">IF('Base de Datos'!AB540="","",'Base de Datos'!AB540)</f>
        <v>200</v>
      </c>
      <c r="G546" s="15"/>
      <c r="H546" s="28"/>
      <c r="I546" s="29" t="str">
        <f aca="false">IF(OR($G546="",$G546=0),"",IFERROR(ROUND($F546*$G546*(1-IF($H546="",0,$H546)),2),""))</f>
        <v/>
      </c>
      <c r="J546" s="9"/>
    </row>
    <row r="547" customFormat="false" ht="21.75" hidden="false" customHeight="true" outlineLevel="0" collapsed="false">
      <c r="B547" s="14" t="n">
        <v>537</v>
      </c>
      <c r="C547" s="7" t="s">
        <v>50</v>
      </c>
      <c r="D547" s="7" t="s">
        <v>62</v>
      </c>
      <c r="E547" s="7" t="s">
        <v>1143</v>
      </c>
      <c r="F547" s="18" t="n">
        <f aca="false">IF('Base de Datos'!AB541="","",'Base de Datos'!AB541)</f>
        <v>300</v>
      </c>
      <c r="G547" s="14"/>
      <c r="H547" s="26"/>
      <c r="I547" s="27" t="str">
        <f aca="false">IF(OR($G547="",$G547=0),"",IFERROR(ROUND($F547*$G547*(1-IF($H547="",0,$H547)),2),""))</f>
        <v/>
      </c>
      <c r="J547" s="7"/>
    </row>
    <row r="548" customFormat="false" ht="21.75" hidden="false" customHeight="true" outlineLevel="0" collapsed="false">
      <c r="B548" s="15" t="n">
        <v>538</v>
      </c>
      <c r="C548" s="9" t="s">
        <v>50</v>
      </c>
      <c r="D548" s="9" t="s">
        <v>62</v>
      </c>
      <c r="E548" s="9" t="s">
        <v>1144</v>
      </c>
      <c r="F548" s="19" t="n">
        <f aca="false">IF('Base de Datos'!AB542="","",'Base de Datos'!AB542)</f>
        <v>440</v>
      </c>
      <c r="G548" s="15"/>
      <c r="H548" s="28"/>
      <c r="I548" s="29" t="str">
        <f aca="false">IF(OR($G548="",$G548=0),"",IFERROR(ROUND($F548*$G548*(1-IF($H548="",0,$H548)),2),""))</f>
        <v/>
      </c>
      <c r="J548" s="9"/>
    </row>
    <row r="549" customFormat="false" ht="21.75" hidden="false" customHeight="true" outlineLevel="0" collapsed="false">
      <c r="B549" s="14" t="n">
        <v>539</v>
      </c>
      <c r="C549" s="7" t="s">
        <v>50</v>
      </c>
      <c r="D549" s="7" t="s">
        <v>63</v>
      </c>
      <c r="E549" s="7" t="s">
        <v>1147</v>
      </c>
      <c r="F549" s="18" t="n">
        <f aca="false">IF('Base de Datos'!AB543="","",'Base de Datos'!AB543)</f>
        <v>100</v>
      </c>
      <c r="G549" s="14"/>
      <c r="H549" s="26"/>
      <c r="I549" s="27" t="str">
        <f aca="false">IF(OR($G549="",$G549=0),"",IFERROR(ROUND($F549*$G549*(1-IF($H549="",0,$H549)),2),""))</f>
        <v/>
      </c>
      <c r="J549" s="7"/>
    </row>
    <row r="550" customFormat="false" ht="21.75" hidden="false" customHeight="true" outlineLevel="0" collapsed="false">
      <c r="B550" s="15" t="n">
        <v>540</v>
      </c>
      <c r="C550" s="9" t="s">
        <v>50</v>
      </c>
      <c r="D550" s="9" t="s">
        <v>63</v>
      </c>
      <c r="E550" s="9" t="s">
        <v>1151</v>
      </c>
      <c r="F550" s="19" t="n">
        <f aca="false">IF('Base de Datos'!AB544="","",'Base de Datos'!AB544)</f>
        <v>150</v>
      </c>
      <c r="G550" s="15"/>
      <c r="H550" s="28"/>
      <c r="I550" s="29" t="str">
        <f aca="false">IF(OR($G550="",$G550=0),"",IFERROR(ROUND($F550*$G550*(1-IF($H550="",0,$H550)),2),""))</f>
        <v/>
      </c>
      <c r="J550" s="9"/>
    </row>
    <row r="551" customFormat="false" ht="21.75" hidden="false" customHeight="true" outlineLevel="0" collapsed="false">
      <c r="B551" s="14" t="n">
        <v>541</v>
      </c>
      <c r="C551" s="7" t="s">
        <v>50</v>
      </c>
      <c r="D551" s="7" t="s">
        <v>63</v>
      </c>
      <c r="E551" s="7" t="s">
        <v>1152</v>
      </c>
      <c r="F551" s="18" t="n">
        <f aca="false">IF('Base de Datos'!AB545="","",'Base de Datos'!AB545)</f>
        <v>200</v>
      </c>
      <c r="G551" s="14"/>
      <c r="H551" s="26"/>
      <c r="I551" s="27" t="str">
        <f aca="false">IF(OR($G551="",$G551=0),"",IFERROR(ROUND($F551*$G551*(1-IF($H551="",0,$H551)),2),""))</f>
        <v/>
      </c>
      <c r="J551" s="7"/>
    </row>
    <row r="552" customFormat="false" ht="21.75" hidden="false" customHeight="true" outlineLevel="0" collapsed="false">
      <c r="B552" s="15" t="n">
        <v>542</v>
      </c>
      <c r="C552" s="9" t="s">
        <v>50</v>
      </c>
      <c r="D552" s="9" t="s">
        <v>63</v>
      </c>
      <c r="E552" s="9" t="s">
        <v>1154</v>
      </c>
      <c r="F552" s="19" t="n">
        <f aca="false">IF('Base de Datos'!AB546="","",'Base de Datos'!AB546)</f>
        <v>300</v>
      </c>
      <c r="G552" s="15"/>
      <c r="H552" s="28"/>
      <c r="I552" s="29" t="str">
        <f aca="false">IF(OR($G552="",$G552=0),"",IFERROR(ROUND($F552*$G552*(1-IF($H552="",0,$H552)),2),""))</f>
        <v/>
      </c>
      <c r="J552" s="9"/>
    </row>
    <row r="553" customFormat="false" ht="21.75" hidden="false" customHeight="true" outlineLevel="0" collapsed="false">
      <c r="B553" s="14" t="n">
        <v>543</v>
      </c>
      <c r="C553" s="7" t="s">
        <v>50</v>
      </c>
      <c r="D553" s="7" t="s">
        <v>63</v>
      </c>
      <c r="E553" s="7" t="s">
        <v>1155</v>
      </c>
      <c r="F553" s="18" t="n">
        <f aca="false">IF('Base de Datos'!AB547="","",'Base de Datos'!AB547)</f>
        <v>440</v>
      </c>
      <c r="G553" s="14"/>
      <c r="H553" s="26"/>
      <c r="I553" s="27" t="str">
        <f aca="false">IF(OR($G553="",$G553=0),"",IFERROR(ROUND($F553*$G553*(1-IF($H553="",0,$H553)),2),""))</f>
        <v/>
      </c>
      <c r="J553" s="7"/>
    </row>
    <row r="554" customFormat="false" ht="21.75" hidden="false" customHeight="true" outlineLevel="0" collapsed="false">
      <c r="B554" s="15" t="n">
        <v>544</v>
      </c>
      <c r="C554" s="9" t="s">
        <v>50</v>
      </c>
      <c r="D554" s="9" t="s">
        <v>64</v>
      </c>
      <c r="E554" s="9" t="s">
        <v>1156</v>
      </c>
      <c r="F554" s="19" t="n">
        <f aca="false">IF('Base de Datos'!AB548="","",'Base de Datos'!AB548)</f>
        <v>350</v>
      </c>
      <c r="G554" s="15"/>
      <c r="H554" s="28"/>
      <c r="I554" s="29" t="str">
        <f aca="false">IF(OR($G554="",$G554=0),"",IFERROR(ROUND($F554*$G554*(1-IF($H554="",0,$H554)),2),""))</f>
        <v/>
      </c>
      <c r="J554" s="9"/>
    </row>
    <row r="555" customFormat="false" ht="21.75" hidden="false" customHeight="true" outlineLevel="0" collapsed="false">
      <c r="B555" s="14" t="n">
        <v>545</v>
      </c>
      <c r="C555" s="7" t="s">
        <v>50</v>
      </c>
      <c r="D555" s="7" t="s">
        <v>64</v>
      </c>
      <c r="E555" s="7" t="s">
        <v>1159</v>
      </c>
      <c r="F555" s="18" t="n">
        <f aca="false">IF('Base de Datos'!AB549="","",'Base de Datos'!AB549)</f>
        <v>525</v>
      </c>
      <c r="G555" s="14"/>
      <c r="H555" s="26"/>
      <c r="I555" s="27" t="str">
        <f aca="false">IF(OR($G555="",$G555=0),"",IFERROR(ROUND($F555*$G555*(1-IF($H555="",0,$H555)),2),""))</f>
        <v/>
      </c>
      <c r="J555" s="7"/>
    </row>
    <row r="556" customFormat="false" ht="21.75" hidden="false" customHeight="true" outlineLevel="0" collapsed="false">
      <c r="B556" s="15" t="n">
        <v>546</v>
      </c>
      <c r="C556" s="9" t="s">
        <v>50</v>
      </c>
      <c r="D556" s="9" t="s">
        <v>64</v>
      </c>
      <c r="E556" s="9" t="s">
        <v>1160</v>
      </c>
      <c r="F556" s="19" t="n">
        <f aca="false">IF('Base de Datos'!AB550="","",'Base de Datos'!AB550)</f>
        <v>700</v>
      </c>
      <c r="G556" s="15"/>
      <c r="H556" s="28"/>
      <c r="I556" s="29" t="str">
        <f aca="false">IF(OR($G556="",$G556=0),"",IFERROR(ROUND($F556*$G556*(1-IF($H556="",0,$H556)),2),""))</f>
        <v/>
      </c>
      <c r="J556" s="9"/>
    </row>
    <row r="557" customFormat="false" ht="21.75" hidden="false" customHeight="true" outlineLevel="0" collapsed="false">
      <c r="B557" s="14" t="n">
        <v>547</v>
      </c>
      <c r="C557" s="7" t="s">
        <v>50</v>
      </c>
      <c r="D557" s="7" t="s">
        <v>64</v>
      </c>
      <c r="E557" s="7" t="s">
        <v>1162</v>
      </c>
      <c r="F557" s="18" t="n">
        <f aca="false">IF('Base de Datos'!AB551="","",'Base de Datos'!AB551)</f>
        <v>1050</v>
      </c>
      <c r="G557" s="14"/>
      <c r="H557" s="26"/>
      <c r="I557" s="27" t="str">
        <f aca="false">IF(OR($G557="",$G557=0),"",IFERROR(ROUND($F557*$G557*(1-IF($H557="",0,$H557)),2),""))</f>
        <v/>
      </c>
      <c r="J557" s="7"/>
    </row>
    <row r="558" customFormat="false" ht="21.75" hidden="false" customHeight="true" outlineLevel="0" collapsed="false">
      <c r="B558" s="15" t="n">
        <v>548</v>
      </c>
      <c r="C558" s="9" t="s">
        <v>50</v>
      </c>
      <c r="D558" s="9" t="s">
        <v>64</v>
      </c>
      <c r="E558" s="9" t="s">
        <v>1163</v>
      </c>
      <c r="F558" s="19" t="n">
        <f aca="false">IF('Base de Datos'!AB552="","",'Base de Datos'!AB552)</f>
        <v>1540</v>
      </c>
      <c r="G558" s="15"/>
      <c r="H558" s="28"/>
      <c r="I558" s="29" t="str">
        <f aca="false">IF(OR($G558="",$G558=0),"",IFERROR(ROUND($F558*$G558*(1-IF($H558="",0,$H558)),2),""))</f>
        <v/>
      </c>
      <c r="J558" s="9"/>
    </row>
    <row r="559" customFormat="false" ht="21.75" hidden="false" customHeight="true" outlineLevel="0" collapsed="false">
      <c r="B559" s="14" t="n">
        <v>549</v>
      </c>
      <c r="C559" s="7" t="s">
        <v>50</v>
      </c>
      <c r="D559" s="7" t="s">
        <v>65</v>
      </c>
      <c r="E559" s="7" t="s">
        <v>321</v>
      </c>
      <c r="F559" s="18" t="str">
        <f aca="false">IF('Base de Datos'!AB553="","",'Base de Datos'!AB553)</f>
        <v/>
      </c>
      <c r="G559" s="14"/>
      <c r="H559" s="26"/>
      <c r="I559" s="27" t="str">
        <f aca="false">IF(OR($G559="",$G559=0),"",IFERROR(ROUND($F559*$G559*(1-IF($H559="",0,$H559)),2),""))</f>
        <v/>
      </c>
      <c r="J559" s="7"/>
    </row>
    <row r="560" customFormat="false" ht="21.75" hidden="false" customHeight="true" outlineLevel="0" collapsed="false">
      <c r="B560" s="15" t="n">
        <v>550</v>
      </c>
      <c r="C560" s="9" t="s">
        <v>50</v>
      </c>
      <c r="D560" s="9" t="s">
        <v>66</v>
      </c>
      <c r="E560" s="9" t="s">
        <v>321</v>
      </c>
      <c r="F560" s="19" t="str">
        <f aca="false">IF('Base de Datos'!AB554="","",'Base de Datos'!AB554)</f>
        <v/>
      </c>
      <c r="G560" s="15"/>
      <c r="H560" s="28"/>
      <c r="I560" s="29" t="str">
        <f aca="false">IF(OR($G560="",$G560=0),"",IFERROR(ROUND($F560*$G560*(1-IF($H560="",0,$H560)),2),""))</f>
        <v/>
      </c>
      <c r="J560" s="9"/>
    </row>
    <row r="561" customFormat="false" ht="21.75" hidden="false" customHeight="true" outlineLevel="0" collapsed="false">
      <c r="B561" s="14" t="n">
        <v>551</v>
      </c>
      <c r="C561" s="7" t="s">
        <v>50</v>
      </c>
      <c r="D561" s="7" t="s">
        <v>67</v>
      </c>
      <c r="E561" s="7" t="s">
        <v>1165</v>
      </c>
      <c r="F561" s="18" t="n">
        <f aca="false">IF('Base de Datos'!AB555="","",'Base de Datos'!AB555)</f>
        <v>125</v>
      </c>
      <c r="G561" s="14"/>
      <c r="H561" s="26"/>
      <c r="I561" s="27" t="str">
        <f aca="false">IF(OR($G561="",$G561=0),"",IFERROR(ROUND($F561*$G561*(1-IF($H561="",0,$H561)),2),""))</f>
        <v/>
      </c>
      <c r="J561" s="7"/>
    </row>
    <row r="562" customFormat="false" ht="21.75" hidden="false" customHeight="true" outlineLevel="0" collapsed="false">
      <c r="B562" s="15" t="n">
        <v>552</v>
      </c>
      <c r="C562" s="9" t="s">
        <v>50</v>
      </c>
      <c r="D562" s="9" t="s">
        <v>67</v>
      </c>
      <c r="E562" s="9" t="s">
        <v>1168</v>
      </c>
      <c r="F562" s="19" t="n">
        <f aca="false">IF('Base de Datos'!AB556="","",'Base de Datos'!AB556)</f>
        <v>185</v>
      </c>
      <c r="G562" s="15"/>
      <c r="H562" s="28"/>
      <c r="I562" s="29" t="str">
        <f aca="false">IF(OR($G562="",$G562=0),"",IFERROR(ROUND($F562*$G562*(1-IF($H562="",0,$H562)),2),""))</f>
        <v/>
      </c>
      <c r="J562" s="9"/>
    </row>
    <row r="563" customFormat="false" ht="21.75" hidden="false" customHeight="true" outlineLevel="0" collapsed="false">
      <c r="B563" s="14" t="n">
        <v>553</v>
      </c>
      <c r="C563" s="7" t="s">
        <v>50</v>
      </c>
      <c r="D563" s="7" t="s">
        <v>67</v>
      </c>
      <c r="E563" s="7" t="s">
        <v>1169</v>
      </c>
      <c r="F563" s="18" t="n">
        <f aca="false">IF('Base de Datos'!AB557="","",'Base de Datos'!AB557)</f>
        <v>250</v>
      </c>
      <c r="G563" s="14"/>
      <c r="H563" s="26"/>
      <c r="I563" s="27" t="str">
        <f aca="false">IF(OR($G563="",$G563=0),"",IFERROR(ROUND($F563*$G563*(1-IF($H563="",0,$H563)),2),""))</f>
        <v/>
      </c>
      <c r="J563" s="7"/>
    </row>
    <row r="564" customFormat="false" ht="21.75" hidden="false" customHeight="true" outlineLevel="0" collapsed="false">
      <c r="B564" s="15" t="n">
        <v>554</v>
      </c>
      <c r="C564" s="9" t="s">
        <v>50</v>
      </c>
      <c r="D564" s="9" t="s">
        <v>67</v>
      </c>
      <c r="E564" s="9" t="s">
        <v>1171</v>
      </c>
      <c r="F564" s="19" t="n">
        <f aca="false">IF('Base de Datos'!AB558="","",'Base de Datos'!AB558)</f>
        <v>375</v>
      </c>
      <c r="G564" s="15"/>
      <c r="H564" s="28"/>
      <c r="I564" s="29" t="str">
        <f aca="false">IF(OR($G564="",$G564=0),"",IFERROR(ROUND($F564*$G564*(1-IF($H564="",0,$H564)),2),""))</f>
        <v/>
      </c>
      <c r="J564" s="9"/>
    </row>
    <row r="565" customFormat="false" ht="21.75" hidden="false" customHeight="true" outlineLevel="0" collapsed="false">
      <c r="B565" s="14" t="n">
        <v>555</v>
      </c>
      <c r="C565" s="7" t="s">
        <v>50</v>
      </c>
      <c r="D565" s="7" t="s">
        <v>67</v>
      </c>
      <c r="E565" s="7" t="s">
        <v>1172</v>
      </c>
      <c r="F565" s="18" t="n">
        <f aca="false">IF('Base de Datos'!AB559="","",'Base de Datos'!AB559)</f>
        <v>550</v>
      </c>
      <c r="G565" s="14"/>
      <c r="H565" s="26"/>
      <c r="I565" s="27" t="str">
        <f aca="false">IF(OR($G565="",$G565=0),"",IFERROR(ROUND($F565*$G565*(1-IF($H565="",0,$H565)),2),""))</f>
        <v/>
      </c>
      <c r="J565" s="7"/>
    </row>
    <row r="566" customFormat="false" ht="21.75" hidden="false" customHeight="true" outlineLevel="0" collapsed="false">
      <c r="B566" s="15" t="n">
        <v>556</v>
      </c>
      <c r="C566" s="9" t="s">
        <v>50</v>
      </c>
      <c r="D566" s="9" t="s">
        <v>68</v>
      </c>
      <c r="E566" s="9" t="s">
        <v>321</v>
      </c>
      <c r="F566" s="19" t="str">
        <f aca="false">IF('Base de Datos'!AB560="","",'Base de Datos'!AB560)</f>
        <v/>
      </c>
      <c r="G566" s="15"/>
      <c r="H566" s="28"/>
      <c r="I566" s="29" t="str">
        <f aca="false">IF(OR($G566="",$G566=0),"",IFERROR(ROUND($F566*$G566*(1-IF($H566="",0,$H566)),2),""))</f>
        <v/>
      </c>
      <c r="J566" s="9"/>
    </row>
    <row r="567" customFormat="false" ht="21.75" hidden="false" customHeight="true" outlineLevel="0" collapsed="false">
      <c r="B567" s="14" t="n">
        <v>557</v>
      </c>
      <c r="C567" s="7" t="s">
        <v>50</v>
      </c>
      <c r="D567" s="7" t="s">
        <v>69</v>
      </c>
      <c r="E567" s="7" t="s">
        <v>321</v>
      </c>
      <c r="F567" s="18" t="str">
        <f aca="false">IF('Base de Datos'!AB561="","",'Base de Datos'!AB561)</f>
        <v/>
      </c>
      <c r="G567" s="14"/>
      <c r="H567" s="26"/>
      <c r="I567" s="27" t="str">
        <f aca="false">IF(OR($G567="",$G567=0),"",IFERROR(ROUND($F567*$G567*(1-IF($H567="",0,$H567)),2),""))</f>
        <v/>
      </c>
      <c r="J567" s="7"/>
    </row>
    <row r="568" customFormat="false" ht="21.75" hidden="false" customHeight="true" outlineLevel="0" collapsed="false">
      <c r="B568" s="15" t="n">
        <v>558</v>
      </c>
      <c r="C568" s="9" t="s">
        <v>50</v>
      </c>
      <c r="D568" s="9" t="s">
        <v>70</v>
      </c>
      <c r="E568" s="9" t="s">
        <v>321</v>
      </c>
      <c r="F568" s="19" t="str">
        <f aca="false">IF('Base de Datos'!AB562="","",'Base de Datos'!AB562)</f>
        <v/>
      </c>
      <c r="G568" s="15"/>
      <c r="H568" s="28"/>
      <c r="I568" s="29" t="str">
        <f aca="false">IF(OR($G568="",$G568=0),"",IFERROR(ROUND($F568*$G568*(1-IF($H568="",0,$H568)),2),""))</f>
        <v/>
      </c>
      <c r="J568" s="9"/>
    </row>
    <row r="569" customFormat="false" ht="21.75" hidden="false" customHeight="true" outlineLevel="0" collapsed="false">
      <c r="B569" s="14" t="n">
        <v>559</v>
      </c>
      <c r="C569" s="7" t="s">
        <v>50</v>
      </c>
      <c r="D569" s="7" t="s">
        <v>71</v>
      </c>
      <c r="E569" s="7" t="s">
        <v>321</v>
      </c>
      <c r="F569" s="18" t="str">
        <f aca="false">IF('Base de Datos'!AB563="","",'Base de Datos'!AB563)</f>
        <v/>
      </c>
      <c r="G569" s="14"/>
      <c r="H569" s="26"/>
      <c r="I569" s="27" t="str">
        <f aca="false">IF(OR($G569="",$G569=0),"",IFERROR(ROUND($F569*$G569*(1-IF($H569="",0,$H569)),2),""))</f>
        <v/>
      </c>
      <c r="J569" s="7"/>
    </row>
    <row r="570" customFormat="false" ht="21.75" hidden="false" customHeight="true" outlineLevel="0" collapsed="false">
      <c r="B570" s="15" t="n">
        <v>560</v>
      </c>
      <c r="C570" s="9" t="s">
        <v>50</v>
      </c>
      <c r="D570" s="9" t="s">
        <v>72</v>
      </c>
      <c r="E570" s="9" t="s">
        <v>321</v>
      </c>
      <c r="F570" s="19" t="str">
        <f aca="false">IF('Base de Datos'!AB564="","",'Base de Datos'!AB564)</f>
        <v/>
      </c>
      <c r="G570" s="15"/>
      <c r="H570" s="28"/>
      <c r="I570" s="29" t="str">
        <f aca="false">IF(OR($G570="",$G570=0),"",IFERROR(ROUND($F570*$G570*(1-IF($H570="",0,$H570)),2),""))</f>
        <v/>
      </c>
      <c r="J570" s="9"/>
    </row>
    <row r="571" customFormat="false" ht="21.75" hidden="false" customHeight="true" outlineLevel="0" collapsed="false">
      <c r="B571" s="14" t="n">
        <v>561</v>
      </c>
      <c r="C571" s="7" t="s">
        <v>50</v>
      </c>
      <c r="D571" s="7" t="s">
        <v>73</v>
      </c>
      <c r="E571" s="7" t="s">
        <v>1175</v>
      </c>
      <c r="F571" s="18" t="n">
        <f aca="false">IF('Base de Datos'!AB565="","",'Base de Datos'!AB565)</f>
        <v>200</v>
      </c>
      <c r="G571" s="14"/>
      <c r="H571" s="26"/>
      <c r="I571" s="27" t="str">
        <f aca="false">IF(OR($G571="",$G571=0),"",IFERROR(ROUND($F571*$G571*(1-IF($H571="",0,$H571)),2),""))</f>
        <v/>
      </c>
      <c r="J571" s="7"/>
    </row>
    <row r="572" customFormat="false" ht="21.75" hidden="false" customHeight="true" outlineLevel="0" collapsed="false">
      <c r="B572" s="15" t="n">
        <v>562</v>
      </c>
      <c r="C572" s="9" t="s">
        <v>50</v>
      </c>
      <c r="D572" s="9" t="s">
        <v>73</v>
      </c>
      <c r="E572" s="9" t="s">
        <v>1178</v>
      </c>
      <c r="F572" s="19" t="n">
        <f aca="false">IF('Base de Datos'!AB566="","",'Base de Datos'!AB566)</f>
        <v>300</v>
      </c>
      <c r="G572" s="15"/>
      <c r="H572" s="28"/>
      <c r="I572" s="29" t="str">
        <f aca="false">IF(OR($G572="",$G572=0),"",IFERROR(ROUND($F572*$G572*(1-IF($H572="",0,$H572)),2),""))</f>
        <v/>
      </c>
      <c r="J572" s="9"/>
    </row>
    <row r="573" customFormat="false" ht="21.75" hidden="false" customHeight="true" outlineLevel="0" collapsed="false">
      <c r="B573" s="14" t="n">
        <v>563</v>
      </c>
      <c r="C573" s="7" t="s">
        <v>50</v>
      </c>
      <c r="D573" s="7" t="s">
        <v>73</v>
      </c>
      <c r="E573" s="7" t="s">
        <v>1179</v>
      </c>
      <c r="F573" s="18" t="n">
        <f aca="false">IF('Base de Datos'!AB567="","",'Base de Datos'!AB567)</f>
        <v>400</v>
      </c>
      <c r="G573" s="14"/>
      <c r="H573" s="26"/>
      <c r="I573" s="27" t="str">
        <f aca="false">IF(OR($G573="",$G573=0),"",IFERROR(ROUND($F573*$G573*(1-IF($H573="",0,$H573)),2),""))</f>
        <v/>
      </c>
      <c r="J573" s="7"/>
    </row>
    <row r="574" customFormat="false" ht="21.75" hidden="false" customHeight="true" outlineLevel="0" collapsed="false">
      <c r="B574" s="15" t="n">
        <v>564</v>
      </c>
      <c r="C574" s="9" t="s">
        <v>50</v>
      </c>
      <c r="D574" s="9" t="s">
        <v>73</v>
      </c>
      <c r="E574" s="9" t="s">
        <v>1168</v>
      </c>
      <c r="F574" s="19" t="n">
        <f aca="false">IF('Base de Datos'!AB568="","",'Base de Datos'!AB568)</f>
        <v>600</v>
      </c>
      <c r="G574" s="15"/>
      <c r="H574" s="28"/>
      <c r="I574" s="29" t="str">
        <f aca="false">IF(OR($G574="",$G574=0),"",IFERROR(ROUND($F574*$G574*(1-IF($H574="",0,$H574)),2),""))</f>
        <v/>
      </c>
      <c r="J574" s="9"/>
    </row>
    <row r="575" customFormat="false" ht="21.75" hidden="false" customHeight="true" outlineLevel="0" collapsed="false">
      <c r="B575" s="14" t="n">
        <v>565</v>
      </c>
      <c r="C575" s="7" t="s">
        <v>50</v>
      </c>
      <c r="D575" s="7" t="s">
        <v>73</v>
      </c>
      <c r="E575" s="7" t="s">
        <v>1181</v>
      </c>
      <c r="F575" s="18" t="n">
        <f aca="false">IF('Base de Datos'!AB569="","",'Base de Datos'!AB569)</f>
        <v>880</v>
      </c>
      <c r="G575" s="14"/>
      <c r="H575" s="26"/>
      <c r="I575" s="27" t="str">
        <f aca="false">IF(OR($G575="",$G575=0),"",IFERROR(ROUND($F575*$G575*(1-IF($H575="",0,$H575)),2),""))</f>
        <v/>
      </c>
      <c r="J575" s="7"/>
    </row>
    <row r="576" customFormat="false" ht="21.75" hidden="false" customHeight="true" outlineLevel="0" collapsed="false">
      <c r="B576" s="15" t="n">
        <v>566</v>
      </c>
      <c r="C576" s="9" t="s">
        <v>50</v>
      </c>
      <c r="D576" s="9" t="s">
        <v>74</v>
      </c>
      <c r="E576" s="9" t="s">
        <v>321</v>
      </c>
      <c r="F576" s="19" t="str">
        <f aca="false">IF('Base de Datos'!AB570="","",'Base de Datos'!AB570)</f>
        <v/>
      </c>
      <c r="G576" s="15"/>
      <c r="H576" s="28"/>
      <c r="I576" s="29" t="str">
        <f aca="false">IF(OR($G576="",$G576=0),"",IFERROR(ROUND($F576*$G576*(1-IF($H576="",0,$H576)),2),""))</f>
        <v/>
      </c>
      <c r="J576" s="9"/>
    </row>
    <row r="577" customFormat="false" ht="21.75" hidden="false" customHeight="true" outlineLevel="0" collapsed="false">
      <c r="B577" s="14" t="n">
        <v>567</v>
      </c>
      <c r="C577" s="7" t="s">
        <v>51</v>
      </c>
      <c r="D577" s="7" t="s">
        <v>61</v>
      </c>
      <c r="E577" s="7" t="s">
        <v>1183</v>
      </c>
      <c r="F577" s="18" t="n">
        <f aca="false">IF('Base de Datos'!AB571="","",'Base de Datos'!AB571)</f>
        <v>50</v>
      </c>
      <c r="G577" s="14"/>
      <c r="H577" s="26"/>
      <c r="I577" s="27" t="str">
        <f aca="false">IF(OR($G577="",$G577=0),"",IFERROR(ROUND($F577*$G577*(1-IF($H577="",0,$H577)),2),""))</f>
        <v/>
      </c>
      <c r="J577" s="7"/>
    </row>
    <row r="578" customFormat="false" ht="21.75" hidden="false" customHeight="true" outlineLevel="0" collapsed="false">
      <c r="B578" s="15" t="n">
        <v>568</v>
      </c>
      <c r="C578" s="9" t="s">
        <v>51</v>
      </c>
      <c r="D578" s="9" t="s">
        <v>61</v>
      </c>
      <c r="E578" s="9" t="s">
        <v>1189</v>
      </c>
      <c r="F578" s="19" t="n">
        <f aca="false">IF('Base de Datos'!AB572="","",'Base de Datos'!AB572)</f>
        <v>70</v>
      </c>
      <c r="G578" s="15"/>
      <c r="H578" s="28"/>
      <c r="I578" s="29" t="str">
        <f aca="false">IF(OR($G578="",$G578=0),"",IFERROR(ROUND($F578*$G578*(1-IF($H578="",0,$H578)),2),""))</f>
        <v/>
      </c>
      <c r="J578" s="9"/>
    </row>
    <row r="579" customFormat="false" ht="21.75" hidden="false" customHeight="true" outlineLevel="0" collapsed="false">
      <c r="B579" s="14" t="n">
        <v>569</v>
      </c>
      <c r="C579" s="7" t="s">
        <v>51</v>
      </c>
      <c r="D579" s="7" t="s">
        <v>61</v>
      </c>
      <c r="E579" s="7" t="s">
        <v>1190</v>
      </c>
      <c r="F579" s="18" t="n">
        <f aca="false">IF('Base de Datos'!AB573="","",'Base de Datos'!AB573)</f>
        <v>95</v>
      </c>
      <c r="G579" s="14"/>
      <c r="H579" s="26"/>
      <c r="I579" s="27" t="str">
        <f aca="false">IF(OR($G579="",$G579=0),"",IFERROR(ROUND($F579*$G579*(1-IF($H579="",0,$H579)),2),""))</f>
        <v/>
      </c>
      <c r="J579" s="7"/>
    </row>
    <row r="580" customFormat="false" ht="21.75" hidden="false" customHeight="true" outlineLevel="0" collapsed="false">
      <c r="B580" s="15" t="n">
        <v>570</v>
      </c>
      <c r="C580" s="9" t="s">
        <v>51</v>
      </c>
      <c r="D580" s="9" t="s">
        <v>61</v>
      </c>
      <c r="E580" s="9" t="s">
        <v>1192</v>
      </c>
      <c r="F580" s="19" t="n">
        <f aca="false">IF('Base de Datos'!AB574="","",'Base de Datos'!AB574)</f>
        <v>140</v>
      </c>
      <c r="G580" s="15"/>
      <c r="H580" s="28"/>
      <c r="I580" s="29" t="str">
        <f aca="false">IF(OR($G580="",$G580=0),"",IFERROR(ROUND($F580*$G580*(1-IF($H580="",0,$H580)),2),""))</f>
        <v/>
      </c>
      <c r="J580" s="9"/>
    </row>
    <row r="581" customFormat="false" ht="21.75" hidden="false" customHeight="true" outlineLevel="0" collapsed="false">
      <c r="B581" s="14" t="n">
        <v>571</v>
      </c>
      <c r="C581" s="7" t="s">
        <v>51</v>
      </c>
      <c r="D581" s="7" t="s">
        <v>61</v>
      </c>
      <c r="E581" s="7" t="s">
        <v>1193</v>
      </c>
      <c r="F581" s="18" t="n">
        <f aca="false">IF('Base de Datos'!AB575="","",'Base de Datos'!AB575)</f>
        <v>210</v>
      </c>
      <c r="G581" s="14"/>
      <c r="H581" s="26"/>
      <c r="I581" s="27" t="str">
        <f aca="false">IF(OR($G581="",$G581=0),"",IFERROR(ROUND($F581*$G581*(1-IF($H581="",0,$H581)),2),""))</f>
        <v/>
      </c>
      <c r="J581" s="7"/>
    </row>
    <row r="582" customFormat="false" ht="21.75" hidden="false" customHeight="true" outlineLevel="0" collapsed="false">
      <c r="B582" s="15" t="n">
        <v>572</v>
      </c>
      <c r="C582" s="9" t="s">
        <v>51</v>
      </c>
      <c r="D582" s="9" t="s">
        <v>62</v>
      </c>
      <c r="E582" s="9" t="s">
        <v>1194</v>
      </c>
      <c r="F582" s="19" t="n">
        <f aca="false">IF('Base de Datos'!AB576="","",'Base de Datos'!AB576)</f>
        <v>80</v>
      </c>
      <c r="G582" s="15"/>
      <c r="H582" s="28"/>
      <c r="I582" s="29" t="str">
        <f aca="false">IF(OR($G582="",$G582=0),"",IFERROR(ROUND($F582*$G582*(1-IF($H582="",0,$H582)),2),""))</f>
        <v/>
      </c>
      <c r="J582" s="9"/>
    </row>
    <row r="583" customFormat="false" ht="21.75" hidden="false" customHeight="true" outlineLevel="0" collapsed="false">
      <c r="B583" s="14" t="n">
        <v>573</v>
      </c>
      <c r="C583" s="7" t="s">
        <v>51</v>
      </c>
      <c r="D583" s="7" t="s">
        <v>62</v>
      </c>
      <c r="E583" s="7" t="s">
        <v>1196</v>
      </c>
      <c r="F583" s="18" t="n">
        <f aca="false">IF('Base de Datos'!AB577="","",'Base de Datos'!AB577)</f>
        <v>125</v>
      </c>
      <c r="G583" s="14"/>
      <c r="H583" s="26"/>
      <c r="I583" s="27" t="str">
        <f aca="false">IF(OR($G583="",$G583=0),"",IFERROR(ROUND($F583*$G583*(1-IF($H583="",0,$H583)),2),""))</f>
        <v/>
      </c>
      <c r="J583" s="7"/>
    </row>
    <row r="584" customFormat="false" ht="21.75" hidden="false" customHeight="true" outlineLevel="0" collapsed="false">
      <c r="B584" s="15" t="n">
        <v>574</v>
      </c>
      <c r="C584" s="9" t="s">
        <v>51</v>
      </c>
      <c r="D584" s="9" t="s">
        <v>62</v>
      </c>
      <c r="E584" s="9" t="s">
        <v>1197</v>
      </c>
      <c r="F584" s="19" t="n">
        <f aca="false">IF('Base de Datos'!AB578="","",'Base de Datos'!AB578)</f>
        <v>165</v>
      </c>
      <c r="G584" s="15"/>
      <c r="H584" s="28"/>
      <c r="I584" s="29" t="str">
        <f aca="false">IF(OR($G584="",$G584=0),"",IFERROR(ROUND($F584*$G584*(1-IF($H584="",0,$H584)),2),""))</f>
        <v/>
      </c>
      <c r="J584" s="9"/>
    </row>
    <row r="585" customFormat="false" ht="21.75" hidden="false" customHeight="true" outlineLevel="0" collapsed="false">
      <c r="B585" s="14" t="n">
        <v>575</v>
      </c>
      <c r="C585" s="7" t="s">
        <v>51</v>
      </c>
      <c r="D585" s="7" t="s">
        <v>62</v>
      </c>
      <c r="E585" s="7" t="s">
        <v>1199</v>
      </c>
      <c r="F585" s="18" t="n">
        <f aca="false">IF('Base de Datos'!AB579="","",'Base de Datos'!AB579)</f>
        <v>250</v>
      </c>
      <c r="G585" s="14"/>
      <c r="H585" s="26"/>
      <c r="I585" s="27" t="str">
        <f aca="false">IF(OR($G585="",$G585=0),"",IFERROR(ROUND($F585*$G585*(1-IF($H585="",0,$H585)),2),""))</f>
        <v/>
      </c>
      <c r="J585" s="7"/>
    </row>
    <row r="586" customFormat="false" ht="21.75" hidden="false" customHeight="true" outlineLevel="0" collapsed="false">
      <c r="B586" s="15" t="n">
        <v>576</v>
      </c>
      <c r="C586" s="9" t="s">
        <v>51</v>
      </c>
      <c r="D586" s="9" t="s">
        <v>62</v>
      </c>
      <c r="E586" s="9" t="s">
        <v>1200</v>
      </c>
      <c r="F586" s="19" t="n">
        <f aca="false">IF('Base de Datos'!AB580="","",'Base de Datos'!AB580)</f>
        <v>365</v>
      </c>
      <c r="G586" s="15"/>
      <c r="H586" s="28"/>
      <c r="I586" s="29" t="str">
        <f aca="false">IF(OR($G586="",$G586=0),"",IFERROR(ROUND($F586*$G586*(1-IF($H586="",0,$H586)),2),""))</f>
        <v/>
      </c>
      <c r="J586" s="9"/>
    </row>
    <row r="587" customFormat="false" ht="21.75" hidden="false" customHeight="true" outlineLevel="0" collapsed="false">
      <c r="B587" s="14" t="n">
        <v>577</v>
      </c>
      <c r="C587" s="7" t="s">
        <v>51</v>
      </c>
      <c r="D587" s="7" t="s">
        <v>63</v>
      </c>
      <c r="E587" s="7" t="s">
        <v>1201</v>
      </c>
      <c r="F587" s="18" t="n">
        <f aca="false">IF('Base de Datos'!AB581="","",'Base de Datos'!AB581)</f>
        <v>65</v>
      </c>
      <c r="G587" s="14"/>
      <c r="H587" s="26"/>
      <c r="I587" s="27" t="str">
        <f aca="false">IF(OR($G587="",$G587=0),"",IFERROR(ROUND($F587*$G587*(1-IF($H587="",0,$H587)),2),""))</f>
        <v/>
      </c>
      <c r="J587" s="7"/>
    </row>
    <row r="588" customFormat="false" ht="21.75" hidden="false" customHeight="true" outlineLevel="0" collapsed="false">
      <c r="B588" s="15" t="n">
        <v>578</v>
      </c>
      <c r="C588" s="9" t="s">
        <v>51</v>
      </c>
      <c r="D588" s="9" t="s">
        <v>63</v>
      </c>
      <c r="E588" s="9" t="s">
        <v>1207</v>
      </c>
      <c r="F588" s="19" t="n">
        <f aca="false">IF('Base de Datos'!AB582="","",'Base de Datos'!AB582)</f>
        <v>100</v>
      </c>
      <c r="G588" s="15"/>
      <c r="H588" s="28"/>
      <c r="I588" s="29" t="str">
        <f aca="false">IF(OR($G588="",$G588=0),"",IFERROR(ROUND($F588*$G588*(1-IF($H588="",0,$H588)),2),""))</f>
        <v/>
      </c>
      <c r="J588" s="9"/>
    </row>
    <row r="589" customFormat="false" ht="21.75" hidden="false" customHeight="true" outlineLevel="0" collapsed="false">
      <c r="B589" s="14" t="n">
        <v>579</v>
      </c>
      <c r="C589" s="7" t="s">
        <v>51</v>
      </c>
      <c r="D589" s="7" t="s">
        <v>63</v>
      </c>
      <c r="E589" s="7" t="s">
        <v>1208</v>
      </c>
      <c r="F589" s="18" t="n">
        <f aca="false">IF('Base de Datos'!AB583="","",'Base de Datos'!AB583)</f>
        <v>130</v>
      </c>
      <c r="G589" s="14"/>
      <c r="H589" s="26"/>
      <c r="I589" s="27" t="str">
        <f aca="false">IF(OR($G589="",$G589=0),"",IFERROR(ROUND($F589*$G589*(1-IF($H589="",0,$H589)),2),""))</f>
        <v/>
      </c>
      <c r="J589" s="7"/>
    </row>
    <row r="590" customFormat="false" ht="21.75" hidden="false" customHeight="true" outlineLevel="0" collapsed="false">
      <c r="B590" s="15" t="n">
        <v>580</v>
      </c>
      <c r="C590" s="9" t="s">
        <v>51</v>
      </c>
      <c r="D590" s="9" t="s">
        <v>63</v>
      </c>
      <c r="E590" s="9" t="s">
        <v>1210</v>
      </c>
      <c r="F590" s="19" t="n">
        <f aca="false">IF('Base de Datos'!AB584="","",'Base de Datos'!AB584)</f>
        <v>195</v>
      </c>
      <c r="G590" s="15"/>
      <c r="H590" s="28"/>
      <c r="I590" s="29" t="str">
        <f aca="false">IF(OR($G590="",$G590=0),"",IFERROR(ROUND($F590*$G590*(1-IF($H590="",0,$H590)),2),""))</f>
        <v/>
      </c>
      <c r="J590" s="9"/>
    </row>
    <row r="591" customFormat="false" ht="21.75" hidden="false" customHeight="true" outlineLevel="0" collapsed="false">
      <c r="B591" s="14" t="n">
        <v>581</v>
      </c>
      <c r="C591" s="7" t="s">
        <v>51</v>
      </c>
      <c r="D591" s="7" t="s">
        <v>63</v>
      </c>
      <c r="E591" s="7" t="s">
        <v>1211</v>
      </c>
      <c r="F591" s="18" t="n">
        <f aca="false">IF('Base de Datos'!AB585="","",'Base de Datos'!AB585)</f>
        <v>285</v>
      </c>
      <c r="G591" s="14"/>
      <c r="H591" s="26"/>
      <c r="I591" s="27" t="str">
        <f aca="false">IF(OR($G591="",$G591=0),"",IFERROR(ROUND($F591*$G591*(1-IF($H591="",0,$H591)),2),""))</f>
        <v/>
      </c>
      <c r="J591" s="7"/>
    </row>
    <row r="592" customFormat="false" ht="21.75" hidden="false" customHeight="true" outlineLevel="0" collapsed="false">
      <c r="B592" s="15" t="n">
        <v>582</v>
      </c>
      <c r="C592" s="9" t="s">
        <v>51</v>
      </c>
      <c r="D592" s="9" t="s">
        <v>64</v>
      </c>
      <c r="E592" s="9" t="s">
        <v>1212</v>
      </c>
      <c r="F592" s="19" t="n">
        <f aca="false">IF('Base de Datos'!AB586="","",'Base de Datos'!AB586)</f>
        <v>210</v>
      </c>
      <c r="G592" s="15"/>
      <c r="H592" s="28"/>
      <c r="I592" s="29" t="str">
        <f aca="false">IF(OR($G592="",$G592=0),"",IFERROR(ROUND($F592*$G592*(1-IF($H592="",0,$H592)),2),""))</f>
        <v/>
      </c>
      <c r="J592" s="9"/>
    </row>
    <row r="593" customFormat="false" ht="21.75" hidden="false" customHeight="true" outlineLevel="0" collapsed="false">
      <c r="B593" s="14" t="n">
        <v>583</v>
      </c>
      <c r="C593" s="7" t="s">
        <v>51</v>
      </c>
      <c r="D593" s="7" t="s">
        <v>64</v>
      </c>
      <c r="E593" s="7" t="s">
        <v>1216</v>
      </c>
      <c r="F593" s="18" t="n">
        <f aca="false">IF('Base de Datos'!AB587="","",'Base de Datos'!AB587)</f>
        <v>315</v>
      </c>
      <c r="G593" s="14"/>
      <c r="H593" s="26"/>
      <c r="I593" s="27" t="str">
        <f aca="false">IF(OR($G593="",$G593=0),"",IFERROR(ROUND($F593*$G593*(1-IF($H593="",0,$H593)),2),""))</f>
        <v/>
      </c>
      <c r="J593" s="7"/>
    </row>
    <row r="594" customFormat="false" ht="21.75" hidden="false" customHeight="true" outlineLevel="0" collapsed="false">
      <c r="B594" s="15" t="n">
        <v>584</v>
      </c>
      <c r="C594" s="9" t="s">
        <v>51</v>
      </c>
      <c r="D594" s="9" t="s">
        <v>64</v>
      </c>
      <c r="E594" s="9" t="s">
        <v>1217</v>
      </c>
      <c r="F594" s="19" t="n">
        <f aca="false">IF('Base de Datos'!AB588="","",'Base de Datos'!AB588)</f>
        <v>420</v>
      </c>
      <c r="G594" s="15"/>
      <c r="H594" s="28"/>
      <c r="I594" s="29" t="str">
        <f aca="false">IF(OR($G594="",$G594=0),"",IFERROR(ROUND($F594*$G594*(1-IF($H594="",0,$H594)),2),""))</f>
        <v/>
      </c>
      <c r="J594" s="9"/>
    </row>
    <row r="595" customFormat="false" ht="21.75" hidden="false" customHeight="true" outlineLevel="0" collapsed="false">
      <c r="B595" s="14" t="n">
        <v>585</v>
      </c>
      <c r="C595" s="7" t="s">
        <v>51</v>
      </c>
      <c r="D595" s="7" t="s">
        <v>64</v>
      </c>
      <c r="E595" s="7" t="s">
        <v>1219</v>
      </c>
      <c r="F595" s="18" t="n">
        <f aca="false">IF('Base de Datos'!AB589="","",'Base de Datos'!AB589)</f>
        <v>630</v>
      </c>
      <c r="G595" s="14"/>
      <c r="H595" s="26"/>
      <c r="I595" s="27" t="str">
        <f aca="false">IF(OR($G595="",$G595=0),"",IFERROR(ROUND($F595*$G595*(1-IF($H595="",0,$H595)),2),""))</f>
        <v/>
      </c>
      <c r="J595" s="7"/>
    </row>
    <row r="596" customFormat="false" ht="21.75" hidden="false" customHeight="true" outlineLevel="0" collapsed="false">
      <c r="B596" s="15" t="n">
        <v>586</v>
      </c>
      <c r="C596" s="9" t="s">
        <v>51</v>
      </c>
      <c r="D596" s="9" t="s">
        <v>64</v>
      </c>
      <c r="E596" s="9" t="s">
        <v>1220</v>
      </c>
      <c r="F596" s="19" t="n">
        <f aca="false">IF('Base de Datos'!AB590="","",'Base de Datos'!AB590)</f>
        <v>925</v>
      </c>
      <c r="G596" s="15"/>
      <c r="H596" s="28"/>
      <c r="I596" s="29" t="str">
        <f aca="false">IF(OR($G596="",$G596=0),"",IFERROR(ROUND($F596*$G596*(1-IF($H596="",0,$H596)),2),""))</f>
        <v/>
      </c>
      <c r="J596" s="9"/>
    </row>
    <row r="597" customFormat="false" ht="21.75" hidden="false" customHeight="true" outlineLevel="0" collapsed="false">
      <c r="B597" s="14" t="n">
        <v>587</v>
      </c>
      <c r="C597" s="7" t="s">
        <v>51</v>
      </c>
      <c r="D597" s="7" t="s">
        <v>65</v>
      </c>
      <c r="E597" s="7" t="s">
        <v>1221</v>
      </c>
      <c r="F597" s="18" t="n">
        <f aca="false">IF('Base de Datos'!AB591="","",'Base de Datos'!AB591)</f>
        <v>105</v>
      </c>
      <c r="G597" s="14"/>
      <c r="H597" s="26"/>
      <c r="I597" s="27" t="str">
        <f aca="false">IF(OR($G597="",$G597=0),"",IFERROR(ROUND($F597*$G597*(1-IF($H597="",0,$H597)),2),""))</f>
        <v/>
      </c>
      <c r="J597" s="7"/>
    </row>
    <row r="598" customFormat="false" ht="21.75" hidden="false" customHeight="true" outlineLevel="0" collapsed="false">
      <c r="B598" s="15" t="n">
        <v>588</v>
      </c>
      <c r="C598" s="9" t="s">
        <v>51</v>
      </c>
      <c r="D598" s="9" t="s">
        <v>65</v>
      </c>
      <c r="E598" s="9" t="s">
        <v>1224</v>
      </c>
      <c r="F598" s="19" t="n">
        <f aca="false">IF('Base de Datos'!AB592="","",'Base de Datos'!AB592)</f>
        <v>160</v>
      </c>
      <c r="G598" s="15"/>
      <c r="H598" s="28"/>
      <c r="I598" s="29" t="str">
        <f aca="false">IF(OR($G598="",$G598=0),"",IFERROR(ROUND($F598*$G598*(1-IF($H598="",0,$H598)),2),""))</f>
        <v/>
      </c>
      <c r="J598" s="9"/>
    </row>
    <row r="599" customFormat="false" ht="21.75" hidden="false" customHeight="true" outlineLevel="0" collapsed="false">
      <c r="B599" s="14" t="n">
        <v>589</v>
      </c>
      <c r="C599" s="7" t="s">
        <v>51</v>
      </c>
      <c r="D599" s="7" t="s">
        <v>65</v>
      </c>
      <c r="E599" s="7" t="s">
        <v>1212</v>
      </c>
      <c r="F599" s="18" t="n">
        <f aca="false">IF('Base de Datos'!AB593="","",'Base de Datos'!AB593)</f>
        <v>210</v>
      </c>
      <c r="G599" s="14"/>
      <c r="H599" s="26"/>
      <c r="I599" s="27" t="str">
        <f aca="false">IF(OR($G599="",$G599=0),"",IFERROR(ROUND($F599*$G599*(1-IF($H599="",0,$H599)),2),""))</f>
        <v/>
      </c>
      <c r="J599" s="7"/>
    </row>
    <row r="600" customFormat="false" ht="21.75" hidden="false" customHeight="true" outlineLevel="0" collapsed="false">
      <c r="B600" s="15" t="n">
        <v>590</v>
      </c>
      <c r="C600" s="9" t="s">
        <v>51</v>
      </c>
      <c r="D600" s="9" t="s">
        <v>65</v>
      </c>
      <c r="E600" s="9" t="s">
        <v>1226</v>
      </c>
      <c r="F600" s="19" t="n">
        <f aca="false">IF('Base de Datos'!AB594="","",'Base de Datos'!AB594)</f>
        <v>315</v>
      </c>
      <c r="G600" s="15"/>
      <c r="H600" s="28"/>
      <c r="I600" s="29" t="str">
        <f aca="false">IF(OR($G600="",$G600=0),"",IFERROR(ROUND($F600*$G600*(1-IF($H600="",0,$H600)),2),""))</f>
        <v/>
      </c>
      <c r="J600" s="9"/>
    </row>
    <row r="601" customFormat="false" ht="21.75" hidden="false" customHeight="true" outlineLevel="0" collapsed="false">
      <c r="B601" s="14" t="n">
        <v>591</v>
      </c>
      <c r="C601" s="7" t="s">
        <v>51</v>
      </c>
      <c r="D601" s="7" t="s">
        <v>65</v>
      </c>
      <c r="E601" s="7" t="s">
        <v>1216</v>
      </c>
      <c r="F601" s="18" t="n">
        <f aca="false">IF('Base de Datos'!AB595="","",'Base de Datos'!AB595)</f>
        <v>460</v>
      </c>
      <c r="G601" s="14"/>
      <c r="H601" s="26"/>
      <c r="I601" s="27" t="str">
        <f aca="false">IF(OR($G601="",$G601=0),"",IFERROR(ROUND($F601*$G601*(1-IF($H601="",0,$H601)),2),""))</f>
        <v/>
      </c>
      <c r="J601" s="7"/>
    </row>
    <row r="602" customFormat="false" ht="21.75" hidden="false" customHeight="true" outlineLevel="0" collapsed="false">
      <c r="B602" s="15" t="n">
        <v>592</v>
      </c>
      <c r="C602" s="9" t="s">
        <v>51</v>
      </c>
      <c r="D602" s="9" t="s">
        <v>66</v>
      </c>
      <c r="E602" s="9" t="s">
        <v>1227</v>
      </c>
      <c r="F602" s="19" t="n">
        <f aca="false">IF('Base de Datos'!AB596="","",'Base de Datos'!AB596)</f>
        <v>90</v>
      </c>
      <c r="G602" s="15"/>
      <c r="H602" s="28"/>
      <c r="I602" s="29" t="str">
        <f aca="false">IF(OR($G602="",$G602=0),"",IFERROR(ROUND($F602*$G602*(1-IF($H602="",0,$H602)),2),""))</f>
        <v/>
      </c>
      <c r="J602" s="9"/>
    </row>
    <row r="603" customFormat="false" ht="21.75" hidden="false" customHeight="true" outlineLevel="0" collapsed="false">
      <c r="B603" s="14" t="n">
        <v>593</v>
      </c>
      <c r="C603" s="7" t="s">
        <v>51</v>
      </c>
      <c r="D603" s="7" t="s">
        <v>66</v>
      </c>
      <c r="E603" s="7" t="s">
        <v>1229</v>
      </c>
      <c r="F603" s="18" t="n">
        <f aca="false">IF('Base de Datos'!AB597="","",'Base de Datos'!AB597)</f>
        <v>140</v>
      </c>
      <c r="G603" s="14"/>
      <c r="H603" s="26"/>
      <c r="I603" s="27" t="str">
        <f aca="false">IF(OR($G603="",$G603=0),"",IFERROR(ROUND($F603*$G603*(1-IF($H603="",0,$H603)),2),""))</f>
        <v/>
      </c>
      <c r="J603" s="7"/>
    </row>
    <row r="604" customFormat="false" ht="21.75" hidden="false" customHeight="true" outlineLevel="0" collapsed="false">
      <c r="B604" s="15" t="n">
        <v>594</v>
      </c>
      <c r="C604" s="9" t="s">
        <v>51</v>
      </c>
      <c r="D604" s="9" t="s">
        <v>66</v>
      </c>
      <c r="E604" s="9" t="s">
        <v>1230</v>
      </c>
      <c r="F604" s="19" t="n">
        <f aca="false">IF('Base de Datos'!AB598="","",'Base de Datos'!AB598)</f>
        <v>185</v>
      </c>
      <c r="G604" s="15"/>
      <c r="H604" s="28"/>
      <c r="I604" s="29" t="str">
        <f aca="false">IF(OR($G604="",$G604=0),"",IFERROR(ROUND($F604*$G604*(1-IF($H604="",0,$H604)),2),""))</f>
        <v/>
      </c>
      <c r="J604" s="9"/>
    </row>
    <row r="605" customFormat="false" ht="21.75" hidden="false" customHeight="true" outlineLevel="0" collapsed="false">
      <c r="B605" s="14" t="n">
        <v>595</v>
      </c>
      <c r="C605" s="7" t="s">
        <v>51</v>
      </c>
      <c r="D605" s="7" t="s">
        <v>66</v>
      </c>
      <c r="E605" s="7" t="s">
        <v>1232</v>
      </c>
      <c r="F605" s="18" t="n">
        <f aca="false">IF('Base de Datos'!AB599="","",'Base de Datos'!AB599)</f>
        <v>280</v>
      </c>
      <c r="G605" s="14"/>
      <c r="H605" s="26"/>
      <c r="I605" s="27" t="str">
        <f aca="false">IF(OR($G605="",$G605=0),"",IFERROR(ROUND($F605*$G605*(1-IF($H605="",0,$H605)),2),""))</f>
        <v/>
      </c>
      <c r="J605" s="7"/>
    </row>
    <row r="606" customFormat="false" ht="21.75" hidden="false" customHeight="true" outlineLevel="0" collapsed="false">
      <c r="B606" s="15" t="n">
        <v>596</v>
      </c>
      <c r="C606" s="9" t="s">
        <v>51</v>
      </c>
      <c r="D606" s="9" t="s">
        <v>66</v>
      </c>
      <c r="E606" s="9" t="s">
        <v>1233</v>
      </c>
      <c r="F606" s="19" t="n">
        <f aca="false">IF('Base de Datos'!AB600="","",'Base de Datos'!AB600)</f>
        <v>405</v>
      </c>
      <c r="G606" s="15"/>
      <c r="H606" s="28"/>
      <c r="I606" s="29" t="str">
        <f aca="false">IF(OR($G606="",$G606=0),"",IFERROR(ROUND($F606*$G606*(1-IF($H606="",0,$H606)),2),""))</f>
        <v/>
      </c>
      <c r="J606" s="9"/>
    </row>
    <row r="607" customFormat="false" ht="21.75" hidden="false" customHeight="true" outlineLevel="0" collapsed="false">
      <c r="B607" s="14" t="n">
        <v>597</v>
      </c>
      <c r="C607" s="7" t="s">
        <v>51</v>
      </c>
      <c r="D607" s="7" t="s">
        <v>67</v>
      </c>
      <c r="E607" s="7" t="s">
        <v>1234</v>
      </c>
      <c r="F607" s="18" t="n">
        <f aca="false">IF('Base de Datos'!AB601="","",'Base de Datos'!AB601)</f>
        <v>140</v>
      </c>
      <c r="G607" s="14"/>
      <c r="H607" s="26"/>
      <c r="I607" s="27" t="str">
        <f aca="false">IF(OR($G607="",$G607=0),"",IFERROR(ROUND($F607*$G607*(1-IF($H607="",0,$H607)),2),""))</f>
        <v/>
      </c>
      <c r="J607" s="7"/>
    </row>
    <row r="608" customFormat="false" ht="21.75" hidden="false" customHeight="true" outlineLevel="0" collapsed="false">
      <c r="B608" s="15" t="n">
        <v>598</v>
      </c>
      <c r="C608" s="9" t="s">
        <v>51</v>
      </c>
      <c r="D608" s="9" t="s">
        <v>67</v>
      </c>
      <c r="E608" s="9" t="s">
        <v>1236</v>
      </c>
      <c r="F608" s="19" t="n">
        <f aca="false">IF('Base de Datos'!AB602="","",'Base de Datos'!AB602)</f>
        <v>210</v>
      </c>
      <c r="G608" s="15"/>
      <c r="H608" s="28"/>
      <c r="I608" s="29" t="str">
        <f aca="false">IF(OR($G608="",$G608=0),"",IFERROR(ROUND($F608*$G608*(1-IF($H608="",0,$H608)),2),""))</f>
        <v/>
      </c>
      <c r="J608" s="9"/>
    </row>
    <row r="609" customFormat="false" ht="21.75" hidden="false" customHeight="true" outlineLevel="0" collapsed="false">
      <c r="B609" s="14" t="n">
        <v>599</v>
      </c>
      <c r="C609" s="7" t="s">
        <v>51</v>
      </c>
      <c r="D609" s="7" t="s">
        <v>67</v>
      </c>
      <c r="E609" s="7" t="s">
        <v>1237</v>
      </c>
      <c r="F609" s="18" t="n">
        <f aca="false">IF('Base de Datos'!AB603="","",'Base de Datos'!AB603)</f>
        <v>280</v>
      </c>
      <c r="G609" s="14"/>
      <c r="H609" s="26"/>
      <c r="I609" s="27" t="str">
        <f aca="false">IF(OR($G609="",$G609=0),"",IFERROR(ROUND($F609*$G609*(1-IF($H609="",0,$H609)),2),""))</f>
        <v/>
      </c>
      <c r="J609" s="7"/>
    </row>
    <row r="610" customFormat="false" ht="21.75" hidden="false" customHeight="true" outlineLevel="0" collapsed="false">
      <c r="B610" s="15" t="n">
        <v>600</v>
      </c>
      <c r="C610" s="9" t="s">
        <v>51</v>
      </c>
      <c r="D610" s="9" t="s">
        <v>67</v>
      </c>
      <c r="E610" s="9" t="s">
        <v>1238</v>
      </c>
      <c r="F610" s="19" t="n">
        <f aca="false">IF('Base de Datos'!AB604="","",'Base de Datos'!AB604)</f>
        <v>420</v>
      </c>
      <c r="G610" s="15"/>
      <c r="H610" s="28"/>
      <c r="I610" s="29" t="str">
        <f aca="false">IF(OR($G610="",$G610=0),"",IFERROR(ROUND($F610*$G610*(1-IF($H610="",0,$H610)),2),""))</f>
        <v/>
      </c>
      <c r="J610" s="9"/>
    </row>
    <row r="611" customFormat="false" ht="21.75" hidden="false" customHeight="true" outlineLevel="0" collapsed="false">
      <c r="B611" s="14" t="n">
        <v>601</v>
      </c>
      <c r="C611" s="7" t="s">
        <v>51</v>
      </c>
      <c r="D611" s="7" t="s">
        <v>67</v>
      </c>
      <c r="E611" s="7" t="s">
        <v>1239</v>
      </c>
      <c r="F611" s="18" t="n">
        <f aca="false">IF('Base de Datos'!AB605="","",'Base de Datos'!AB605)</f>
        <v>615</v>
      </c>
      <c r="G611" s="14"/>
      <c r="H611" s="26"/>
      <c r="I611" s="27" t="str">
        <f aca="false">IF(OR($G611="",$G611=0),"",IFERROR(ROUND($F611*$G611*(1-IF($H611="",0,$H611)),2),""))</f>
        <v/>
      </c>
      <c r="J611" s="7"/>
    </row>
    <row r="612" customFormat="false" ht="21.75" hidden="false" customHeight="true" outlineLevel="0" collapsed="false">
      <c r="B612" s="15" t="n">
        <v>602</v>
      </c>
      <c r="C612" s="9" t="s">
        <v>51</v>
      </c>
      <c r="D612" s="9" t="s">
        <v>68</v>
      </c>
      <c r="E612" s="9" t="s">
        <v>1240</v>
      </c>
      <c r="F612" s="19" t="n">
        <f aca="false">IF('Base de Datos'!AB606="","",'Base de Datos'!AB606)</f>
        <v>950</v>
      </c>
      <c r="G612" s="15"/>
      <c r="H612" s="28"/>
      <c r="I612" s="29" t="str">
        <f aca="false">IF(OR($G612="",$G612=0),"",IFERROR(ROUND($F612*$G612*(1-IF($H612="",0,$H612)),2),""))</f>
        <v/>
      </c>
      <c r="J612" s="9"/>
    </row>
    <row r="613" customFormat="false" ht="21.75" hidden="false" customHeight="true" outlineLevel="0" collapsed="false">
      <c r="B613" s="14" t="n">
        <v>603</v>
      </c>
      <c r="C613" s="7" t="s">
        <v>51</v>
      </c>
      <c r="D613" s="7" t="s">
        <v>68</v>
      </c>
      <c r="E613" s="7" t="s">
        <v>1246</v>
      </c>
      <c r="F613" s="18" t="n">
        <f aca="false">IF('Base de Datos'!AB607="","",'Base de Datos'!AB607)</f>
        <v>1425</v>
      </c>
      <c r="G613" s="14"/>
      <c r="H613" s="26"/>
      <c r="I613" s="27" t="str">
        <f aca="false">IF(OR($G613="",$G613=0),"",IFERROR(ROUND($F613*$G613*(1-IF($H613="",0,$H613)),2),""))</f>
        <v/>
      </c>
      <c r="J613" s="7"/>
    </row>
    <row r="614" customFormat="false" ht="21.75" hidden="false" customHeight="true" outlineLevel="0" collapsed="false">
      <c r="B614" s="15" t="n">
        <v>604</v>
      </c>
      <c r="C614" s="9" t="s">
        <v>51</v>
      </c>
      <c r="D614" s="9" t="s">
        <v>68</v>
      </c>
      <c r="E614" s="9" t="s">
        <v>1247</v>
      </c>
      <c r="F614" s="19" t="n">
        <f aca="false">IF('Base de Datos'!AB608="","",'Base de Datos'!AB608)</f>
        <v>1900</v>
      </c>
      <c r="G614" s="15"/>
      <c r="H614" s="28"/>
      <c r="I614" s="29" t="str">
        <f aca="false">IF(OR($G614="",$G614=0),"",IFERROR(ROUND($F614*$G614*(1-IF($H614="",0,$H614)),2),""))</f>
        <v/>
      </c>
      <c r="J614" s="9"/>
    </row>
    <row r="615" customFormat="false" ht="21.75" hidden="false" customHeight="true" outlineLevel="0" collapsed="false">
      <c r="B615" s="14" t="n">
        <v>605</v>
      </c>
      <c r="C615" s="7" t="s">
        <v>51</v>
      </c>
      <c r="D615" s="7" t="s">
        <v>68</v>
      </c>
      <c r="E615" s="7" t="s">
        <v>1249</v>
      </c>
      <c r="F615" s="18" t="n">
        <f aca="false">IF('Base de Datos'!AB609="","",'Base de Datos'!AB609)</f>
        <v>2850</v>
      </c>
      <c r="G615" s="14"/>
      <c r="H615" s="26"/>
      <c r="I615" s="27" t="str">
        <f aca="false">IF(OR($G615="",$G615=0),"",IFERROR(ROUND($F615*$G615*(1-IF($H615="",0,$H615)),2),""))</f>
        <v/>
      </c>
      <c r="J615" s="7"/>
    </row>
    <row r="616" customFormat="false" ht="21.75" hidden="false" customHeight="true" outlineLevel="0" collapsed="false">
      <c r="B616" s="15" t="n">
        <v>606</v>
      </c>
      <c r="C616" s="9" t="s">
        <v>51</v>
      </c>
      <c r="D616" s="9" t="s">
        <v>68</v>
      </c>
      <c r="E616" s="9" t="s">
        <v>1250</v>
      </c>
      <c r="F616" s="19" t="n">
        <f aca="false">IF('Base de Datos'!AB610="","",'Base de Datos'!AB610)</f>
        <v>4180</v>
      </c>
      <c r="G616" s="15"/>
      <c r="H616" s="28"/>
      <c r="I616" s="29" t="str">
        <f aca="false">IF(OR($G616="",$G616=0),"",IFERROR(ROUND($F616*$G616*(1-IF($H616="",0,$H616)),2),""))</f>
        <v/>
      </c>
      <c r="J616" s="9"/>
    </row>
    <row r="617" customFormat="false" ht="21.75" hidden="false" customHeight="true" outlineLevel="0" collapsed="false">
      <c r="B617" s="14" t="n">
        <v>607</v>
      </c>
      <c r="C617" s="7" t="s">
        <v>51</v>
      </c>
      <c r="D617" s="7" t="s">
        <v>69</v>
      </c>
      <c r="E617" s="7" t="s">
        <v>1251</v>
      </c>
      <c r="F617" s="18" t="n">
        <f aca="false">IF('Base de Datos'!AB611="","",'Base de Datos'!AB611)</f>
        <v>75</v>
      </c>
      <c r="G617" s="14"/>
      <c r="H617" s="26"/>
      <c r="I617" s="27" t="str">
        <f aca="false">IF(OR($G617="",$G617=0),"",IFERROR(ROUND($F617*$G617*(1-IF($H617="",0,$H617)),2),""))</f>
        <v/>
      </c>
      <c r="J617" s="7"/>
    </row>
    <row r="618" customFormat="false" ht="21.75" hidden="false" customHeight="true" outlineLevel="0" collapsed="false">
      <c r="B618" s="15" t="n">
        <v>608</v>
      </c>
      <c r="C618" s="9" t="s">
        <v>51</v>
      </c>
      <c r="D618" s="9" t="s">
        <v>69</v>
      </c>
      <c r="E618" s="9" t="s">
        <v>1256</v>
      </c>
      <c r="F618" s="19" t="n">
        <f aca="false">IF('Base de Datos'!AB612="","",'Base de Datos'!AB612)</f>
        <v>110</v>
      </c>
      <c r="G618" s="15"/>
      <c r="H618" s="28"/>
      <c r="I618" s="29" t="str">
        <f aca="false">IF(OR($G618="",$G618=0),"",IFERROR(ROUND($F618*$G618*(1-IF($H618="",0,$H618)),2),""))</f>
        <v/>
      </c>
      <c r="J618" s="9"/>
    </row>
    <row r="619" customFormat="false" ht="21.75" hidden="false" customHeight="true" outlineLevel="0" collapsed="false">
      <c r="B619" s="14" t="n">
        <v>609</v>
      </c>
      <c r="C619" s="7" t="s">
        <v>51</v>
      </c>
      <c r="D619" s="7" t="s">
        <v>69</v>
      </c>
      <c r="E619" s="7" t="s">
        <v>1257</v>
      </c>
      <c r="F619" s="18" t="n">
        <f aca="false">IF('Base de Datos'!AB613="","",'Base de Datos'!AB613)</f>
        <v>150</v>
      </c>
      <c r="G619" s="14"/>
      <c r="H619" s="26"/>
      <c r="I619" s="27" t="str">
        <f aca="false">IF(OR($G619="",$G619=0),"",IFERROR(ROUND($F619*$G619*(1-IF($H619="",0,$H619)),2),""))</f>
        <v/>
      </c>
      <c r="J619" s="7"/>
    </row>
    <row r="620" customFormat="false" ht="21.75" hidden="false" customHeight="true" outlineLevel="0" collapsed="false">
      <c r="B620" s="15" t="n">
        <v>610</v>
      </c>
      <c r="C620" s="9" t="s">
        <v>51</v>
      </c>
      <c r="D620" s="9" t="s">
        <v>69</v>
      </c>
      <c r="E620" s="9" t="s">
        <v>1259</v>
      </c>
      <c r="F620" s="19" t="n">
        <f aca="false">IF('Base de Datos'!AB614="","",'Base de Datos'!AB614)</f>
        <v>225</v>
      </c>
      <c r="G620" s="15"/>
      <c r="H620" s="28"/>
      <c r="I620" s="29" t="str">
        <f aca="false">IF(OR($G620="",$G620=0),"",IFERROR(ROUND($F620*$G620*(1-IF($H620="",0,$H620)),2),""))</f>
        <v/>
      </c>
      <c r="J620" s="9"/>
    </row>
    <row r="621" customFormat="false" ht="21.75" hidden="false" customHeight="true" outlineLevel="0" collapsed="false">
      <c r="B621" s="14" t="n">
        <v>611</v>
      </c>
      <c r="C621" s="7" t="s">
        <v>51</v>
      </c>
      <c r="D621" s="7" t="s">
        <v>69</v>
      </c>
      <c r="E621" s="7" t="s">
        <v>1260</v>
      </c>
      <c r="F621" s="18" t="n">
        <f aca="false">IF('Base de Datos'!AB615="","",'Base de Datos'!AB615)</f>
        <v>330</v>
      </c>
      <c r="G621" s="14"/>
      <c r="H621" s="26"/>
      <c r="I621" s="27" t="str">
        <f aca="false">IF(OR($G621="",$G621=0),"",IFERROR(ROUND($F621*$G621*(1-IF($H621="",0,$H621)),2),""))</f>
        <v/>
      </c>
      <c r="J621" s="7"/>
    </row>
    <row r="622" customFormat="false" ht="21.75" hidden="false" customHeight="true" outlineLevel="0" collapsed="false">
      <c r="B622" s="15" t="n">
        <v>612</v>
      </c>
      <c r="C622" s="9" t="s">
        <v>51</v>
      </c>
      <c r="D622" s="9" t="s">
        <v>70</v>
      </c>
      <c r="E622" s="9" t="s">
        <v>1261</v>
      </c>
      <c r="F622" s="19" t="n">
        <f aca="false">IF('Base de Datos'!AB616="","",'Base de Datos'!AB616)</f>
        <v>725</v>
      </c>
      <c r="G622" s="15"/>
      <c r="H622" s="28"/>
      <c r="I622" s="29" t="str">
        <f aca="false">IF(OR($G622="",$G622=0),"",IFERROR(ROUND($F622*$G622*(1-IF($H622="",0,$H622)),2),""))</f>
        <v/>
      </c>
      <c r="J622" s="9"/>
    </row>
    <row r="623" customFormat="false" ht="21.75" hidden="false" customHeight="true" outlineLevel="0" collapsed="false">
      <c r="B623" s="14" t="n">
        <v>613</v>
      </c>
      <c r="C623" s="7" t="s">
        <v>51</v>
      </c>
      <c r="D623" s="7" t="s">
        <v>70</v>
      </c>
      <c r="E623" s="7" t="s">
        <v>1265</v>
      </c>
      <c r="F623" s="18" t="n">
        <f aca="false">IF('Base de Datos'!AB617="","",'Base de Datos'!AB617)</f>
        <v>1090</v>
      </c>
      <c r="G623" s="14"/>
      <c r="H623" s="26"/>
      <c r="I623" s="27" t="str">
        <f aca="false">IF(OR($G623="",$G623=0),"",IFERROR(ROUND($F623*$G623*(1-IF($H623="",0,$H623)),2),""))</f>
        <v/>
      </c>
      <c r="J623" s="7"/>
    </row>
    <row r="624" customFormat="false" ht="21.75" hidden="false" customHeight="true" outlineLevel="0" collapsed="false">
      <c r="B624" s="15" t="n">
        <v>614</v>
      </c>
      <c r="C624" s="9" t="s">
        <v>51</v>
      </c>
      <c r="D624" s="9" t="s">
        <v>70</v>
      </c>
      <c r="E624" s="9" t="s">
        <v>1266</v>
      </c>
      <c r="F624" s="19" t="n">
        <f aca="false">IF('Base de Datos'!AB618="","",'Base de Datos'!AB618)</f>
        <v>1450</v>
      </c>
      <c r="G624" s="15"/>
      <c r="H624" s="28"/>
      <c r="I624" s="29" t="str">
        <f aca="false">IF(OR($G624="",$G624=0),"",IFERROR(ROUND($F624*$G624*(1-IF($H624="",0,$H624)),2),""))</f>
        <v/>
      </c>
      <c r="J624" s="9"/>
    </row>
    <row r="625" customFormat="false" ht="21.75" hidden="false" customHeight="true" outlineLevel="0" collapsed="false">
      <c r="B625" s="14" t="n">
        <v>615</v>
      </c>
      <c r="C625" s="7" t="s">
        <v>51</v>
      </c>
      <c r="D625" s="7" t="s">
        <v>70</v>
      </c>
      <c r="E625" s="7" t="s">
        <v>1268</v>
      </c>
      <c r="F625" s="18" t="n">
        <f aca="false">IF('Base de Datos'!AB619="","",'Base de Datos'!AB619)</f>
        <v>2175</v>
      </c>
      <c r="G625" s="14"/>
      <c r="H625" s="26"/>
      <c r="I625" s="27" t="str">
        <f aca="false">IF(OR($G625="",$G625=0),"",IFERROR(ROUND($F625*$G625*(1-IF($H625="",0,$H625)),2),""))</f>
        <v/>
      </c>
      <c r="J625" s="7"/>
    </row>
    <row r="626" customFormat="false" ht="21.75" hidden="false" customHeight="true" outlineLevel="0" collapsed="false">
      <c r="B626" s="15" t="n">
        <v>616</v>
      </c>
      <c r="C626" s="9" t="s">
        <v>51</v>
      </c>
      <c r="D626" s="9" t="s">
        <v>70</v>
      </c>
      <c r="E626" s="9" t="s">
        <v>1269</v>
      </c>
      <c r="F626" s="19" t="n">
        <f aca="false">IF('Base de Datos'!AB620="","",'Base de Datos'!AB620)</f>
        <v>3190</v>
      </c>
      <c r="G626" s="15"/>
      <c r="H626" s="28"/>
      <c r="I626" s="29" t="str">
        <f aca="false">IF(OR($G626="",$G626=0),"",IFERROR(ROUND($F626*$G626*(1-IF($H626="",0,$H626)),2),""))</f>
        <v/>
      </c>
      <c r="J626" s="9"/>
    </row>
    <row r="627" customFormat="false" ht="21.75" hidden="false" customHeight="true" outlineLevel="0" collapsed="false">
      <c r="B627" s="14" t="n">
        <v>617</v>
      </c>
      <c r="C627" s="7" t="s">
        <v>51</v>
      </c>
      <c r="D627" s="7" t="s">
        <v>71</v>
      </c>
      <c r="E627" s="7" t="s">
        <v>1270</v>
      </c>
      <c r="F627" s="18" t="n">
        <f aca="false">IF('Base de Datos'!AB621="","",'Base de Datos'!AB621)</f>
        <v>275</v>
      </c>
      <c r="G627" s="14"/>
      <c r="H627" s="26"/>
      <c r="I627" s="27" t="str">
        <f aca="false">IF(OR($G627="",$G627=0),"",IFERROR(ROUND($F627*$G627*(1-IF($H627="",0,$H627)),2),""))</f>
        <v/>
      </c>
      <c r="J627" s="7"/>
    </row>
    <row r="628" customFormat="false" ht="21.75" hidden="false" customHeight="true" outlineLevel="0" collapsed="false">
      <c r="B628" s="15" t="n">
        <v>618</v>
      </c>
      <c r="C628" s="9" t="s">
        <v>51</v>
      </c>
      <c r="D628" s="9" t="s">
        <v>71</v>
      </c>
      <c r="E628" s="9" t="s">
        <v>1274</v>
      </c>
      <c r="F628" s="19" t="n">
        <f aca="false">IF('Base de Datos'!AB622="","",'Base de Datos'!AB622)</f>
        <v>410</v>
      </c>
      <c r="G628" s="15"/>
      <c r="H628" s="28"/>
      <c r="I628" s="29" t="str">
        <f aca="false">IF(OR($G628="",$G628=0),"",IFERROR(ROUND($F628*$G628*(1-IF($H628="",0,$H628)),2),""))</f>
        <v/>
      </c>
      <c r="J628" s="9"/>
    </row>
    <row r="629" customFormat="false" ht="21.75" hidden="false" customHeight="true" outlineLevel="0" collapsed="false">
      <c r="B629" s="14" t="n">
        <v>619</v>
      </c>
      <c r="C629" s="7" t="s">
        <v>51</v>
      </c>
      <c r="D629" s="7" t="s">
        <v>71</v>
      </c>
      <c r="E629" s="7" t="s">
        <v>1275</v>
      </c>
      <c r="F629" s="18" t="n">
        <f aca="false">IF('Base de Datos'!AB623="","",'Base de Datos'!AB623)</f>
        <v>550</v>
      </c>
      <c r="G629" s="14"/>
      <c r="H629" s="26"/>
      <c r="I629" s="27" t="str">
        <f aca="false">IF(OR($G629="",$G629=0),"",IFERROR(ROUND($F629*$G629*(1-IF($H629="",0,$H629)),2),""))</f>
        <v/>
      </c>
      <c r="J629" s="7"/>
    </row>
    <row r="630" customFormat="false" ht="21.75" hidden="false" customHeight="true" outlineLevel="0" collapsed="false">
      <c r="B630" s="15" t="n">
        <v>620</v>
      </c>
      <c r="C630" s="9" t="s">
        <v>51</v>
      </c>
      <c r="D630" s="9" t="s">
        <v>71</v>
      </c>
      <c r="E630" s="9" t="s">
        <v>1277</v>
      </c>
      <c r="F630" s="19" t="n">
        <f aca="false">IF('Base de Datos'!AB624="","",'Base de Datos'!AB624)</f>
        <v>825</v>
      </c>
      <c r="G630" s="15"/>
      <c r="H630" s="28"/>
      <c r="I630" s="29" t="str">
        <f aca="false">IF(OR($G630="",$G630=0),"",IFERROR(ROUND($F630*$G630*(1-IF($H630="",0,$H630)),2),""))</f>
        <v/>
      </c>
      <c r="J630" s="9"/>
    </row>
    <row r="631" customFormat="false" ht="21.75" hidden="false" customHeight="true" outlineLevel="0" collapsed="false">
      <c r="B631" s="14" t="n">
        <v>621</v>
      </c>
      <c r="C631" s="7" t="s">
        <v>51</v>
      </c>
      <c r="D631" s="7" t="s">
        <v>71</v>
      </c>
      <c r="E631" s="7" t="s">
        <v>1278</v>
      </c>
      <c r="F631" s="18" t="n">
        <f aca="false">IF('Base de Datos'!AB625="","",'Base de Datos'!AB625)</f>
        <v>1210</v>
      </c>
      <c r="G631" s="14"/>
      <c r="H631" s="26"/>
      <c r="I631" s="27" t="str">
        <f aca="false">IF(OR($G631="",$G631=0),"",IFERROR(ROUND($F631*$G631*(1-IF($H631="",0,$H631)),2),""))</f>
        <v/>
      </c>
      <c r="J631" s="7"/>
    </row>
    <row r="632" customFormat="false" ht="21.75" hidden="false" customHeight="true" outlineLevel="0" collapsed="false">
      <c r="B632" s="15" t="n">
        <v>622</v>
      </c>
      <c r="C632" s="9" t="s">
        <v>51</v>
      </c>
      <c r="D632" s="9" t="s">
        <v>72</v>
      </c>
      <c r="E632" s="9" t="s">
        <v>1279</v>
      </c>
      <c r="F632" s="19" t="n">
        <f aca="false">IF('Base de Datos'!AB626="","",'Base de Datos'!AB626)</f>
        <v>310</v>
      </c>
      <c r="G632" s="15"/>
      <c r="H632" s="28"/>
      <c r="I632" s="29" t="str">
        <f aca="false">IF(OR($G632="",$G632=0),"",IFERROR(ROUND($F632*$G632*(1-IF($H632="",0,$H632)),2),""))</f>
        <v/>
      </c>
      <c r="J632" s="9"/>
    </row>
    <row r="633" customFormat="false" ht="21.75" hidden="false" customHeight="true" outlineLevel="0" collapsed="false">
      <c r="B633" s="14" t="n">
        <v>623</v>
      </c>
      <c r="C633" s="7" t="s">
        <v>51</v>
      </c>
      <c r="D633" s="7" t="s">
        <v>72</v>
      </c>
      <c r="E633" s="7" t="s">
        <v>1284</v>
      </c>
      <c r="F633" s="18" t="n">
        <f aca="false">IF('Base de Datos'!AB627="","",'Base de Datos'!AB627)</f>
        <v>465</v>
      </c>
      <c r="G633" s="14"/>
      <c r="H633" s="26"/>
      <c r="I633" s="27" t="str">
        <f aca="false">IF(OR($G633="",$G633=0),"",IFERROR(ROUND($F633*$G633*(1-IF($H633="",0,$H633)),2),""))</f>
        <v/>
      </c>
      <c r="J633" s="7"/>
    </row>
    <row r="634" customFormat="false" ht="21.75" hidden="false" customHeight="true" outlineLevel="0" collapsed="false">
      <c r="B634" s="15" t="n">
        <v>624</v>
      </c>
      <c r="C634" s="9" t="s">
        <v>51</v>
      </c>
      <c r="D634" s="9" t="s">
        <v>72</v>
      </c>
      <c r="E634" s="9" t="s">
        <v>1285</v>
      </c>
      <c r="F634" s="19" t="n">
        <f aca="false">IF('Base de Datos'!AB628="","",'Base de Datos'!AB628)</f>
        <v>620</v>
      </c>
      <c r="G634" s="15"/>
      <c r="H634" s="28"/>
      <c r="I634" s="29" t="str">
        <f aca="false">IF(OR($G634="",$G634=0),"",IFERROR(ROUND($F634*$G634*(1-IF($H634="",0,$H634)),2),""))</f>
        <v/>
      </c>
      <c r="J634" s="9"/>
    </row>
    <row r="635" customFormat="false" ht="21.75" hidden="false" customHeight="true" outlineLevel="0" collapsed="false">
      <c r="B635" s="14" t="n">
        <v>625</v>
      </c>
      <c r="C635" s="7" t="s">
        <v>51</v>
      </c>
      <c r="D635" s="7" t="s">
        <v>72</v>
      </c>
      <c r="E635" s="7" t="s">
        <v>1287</v>
      </c>
      <c r="F635" s="18" t="n">
        <f aca="false">IF('Base de Datos'!AB629="","",'Base de Datos'!AB629)</f>
        <v>930</v>
      </c>
      <c r="G635" s="14"/>
      <c r="H635" s="26"/>
      <c r="I635" s="27" t="str">
        <f aca="false">IF(OR($G635="",$G635=0),"",IFERROR(ROUND($F635*$G635*(1-IF($H635="",0,$H635)),2),""))</f>
        <v/>
      </c>
      <c r="J635" s="7"/>
    </row>
    <row r="636" customFormat="false" ht="21.75" hidden="false" customHeight="true" outlineLevel="0" collapsed="false">
      <c r="B636" s="15" t="n">
        <v>626</v>
      </c>
      <c r="C636" s="9" t="s">
        <v>51</v>
      </c>
      <c r="D636" s="9" t="s">
        <v>72</v>
      </c>
      <c r="E636" s="9" t="s">
        <v>1288</v>
      </c>
      <c r="F636" s="19" t="n">
        <f aca="false">IF('Base de Datos'!AB630="","",'Base de Datos'!AB630)</f>
        <v>1365</v>
      </c>
      <c r="G636" s="15"/>
      <c r="H636" s="28"/>
      <c r="I636" s="29" t="str">
        <f aca="false">IF(OR($G636="",$G636=0),"",IFERROR(ROUND($F636*$G636*(1-IF($H636="",0,$H636)),2),""))</f>
        <v/>
      </c>
      <c r="J636" s="9"/>
    </row>
    <row r="637" customFormat="false" ht="21.75" hidden="false" customHeight="true" outlineLevel="0" collapsed="false">
      <c r="B637" s="14" t="n">
        <v>627</v>
      </c>
      <c r="C637" s="7" t="s">
        <v>51</v>
      </c>
      <c r="D637" s="7" t="s">
        <v>73</v>
      </c>
      <c r="E637" s="7" t="s">
        <v>1289</v>
      </c>
      <c r="F637" s="18" t="n">
        <f aca="false">IF('Base de Datos'!AB631="","",'Base de Datos'!AB631)</f>
        <v>240</v>
      </c>
      <c r="G637" s="14"/>
      <c r="H637" s="26"/>
      <c r="I637" s="27" t="str">
        <f aca="false">IF(OR($G637="",$G637=0),"",IFERROR(ROUND($F637*$G637*(1-IF($H637="",0,$H637)),2),""))</f>
        <v/>
      </c>
      <c r="J637" s="7"/>
    </row>
    <row r="638" customFormat="false" ht="21.75" hidden="false" customHeight="true" outlineLevel="0" collapsed="false">
      <c r="B638" s="15" t="n">
        <v>628</v>
      </c>
      <c r="C638" s="9" t="s">
        <v>51</v>
      </c>
      <c r="D638" s="9" t="s">
        <v>73</v>
      </c>
      <c r="E638" s="9" t="s">
        <v>1291</v>
      </c>
      <c r="F638" s="19" t="n">
        <f aca="false">IF('Base de Datos'!AB632="","",'Base de Datos'!AB632)</f>
        <v>360</v>
      </c>
      <c r="G638" s="15"/>
      <c r="H638" s="28"/>
      <c r="I638" s="29" t="str">
        <f aca="false">IF(OR($G638="",$G638=0),"",IFERROR(ROUND($F638*$G638*(1-IF($H638="",0,$H638)),2),""))</f>
        <v/>
      </c>
      <c r="J638" s="9"/>
    </row>
    <row r="639" customFormat="false" ht="21.75" hidden="false" customHeight="true" outlineLevel="0" collapsed="false">
      <c r="B639" s="14" t="n">
        <v>629</v>
      </c>
      <c r="C639" s="7" t="s">
        <v>51</v>
      </c>
      <c r="D639" s="7" t="s">
        <v>73</v>
      </c>
      <c r="E639" s="7" t="s">
        <v>1292</v>
      </c>
      <c r="F639" s="18" t="n">
        <f aca="false">IF('Base de Datos'!AB633="","",'Base de Datos'!AB633)</f>
        <v>480</v>
      </c>
      <c r="G639" s="14"/>
      <c r="H639" s="26"/>
      <c r="I639" s="27" t="str">
        <f aca="false">IF(OR($G639="",$G639=0),"",IFERROR(ROUND($F639*$G639*(1-IF($H639="",0,$H639)),2),""))</f>
        <v/>
      </c>
      <c r="J639" s="7"/>
    </row>
    <row r="640" customFormat="false" ht="21.75" hidden="false" customHeight="true" outlineLevel="0" collapsed="false">
      <c r="B640" s="15" t="n">
        <v>630</v>
      </c>
      <c r="C640" s="9" t="s">
        <v>51</v>
      </c>
      <c r="D640" s="9" t="s">
        <v>73</v>
      </c>
      <c r="E640" s="9" t="s">
        <v>1294</v>
      </c>
      <c r="F640" s="19" t="n">
        <f aca="false">IF('Base de Datos'!AB634="","",'Base de Datos'!AB634)</f>
        <v>720</v>
      </c>
      <c r="G640" s="15"/>
      <c r="H640" s="28"/>
      <c r="I640" s="29" t="str">
        <f aca="false">IF(OR($G640="",$G640=0),"",IFERROR(ROUND($F640*$G640*(1-IF($H640="",0,$H640)),2),""))</f>
        <v/>
      </c>
      <c r="J640" s="9"/>
    </row>
    <row r="641" customFormat="false" ht="21.75" hidden="false" customHeight="true" outlineLevel="0" collapsed="false">
      <c r="B641" s="14" t="n">
        <v>631</v>
      </c>
      <c r="C641" s="7" t="s">
        <v>51</v>
      </c>
      <c r="D641" s="7" t="s">
        <v>73</v>
      </c>
      <c r="E641" s="7" t="s">
        <v>1295</v>
      </c>
      <c r="F641" s="18" t="n">
        <f aca="false">IF('Base de Datos'!AB635="","",'Base de Datos'!AB635)</f>
        <v>1055</v>
      </c>
      <c r="G641" s="14"/>
      <c r="H641" s="26"/>
      <c r="I641" s="27" t="str">
        <f aca="false">IF(OR($G641="",$G641=0),"",IFERROR(ROUND($F641*$G641*(1-IF($H641="",0,$H641)),2),""))</f>
        <v/>
      </c>
      <c r="J641" s="7"/>
    </row>
    <row r="642" customFormat="false" ht="21.75" hidden="false" customHeight="true" outlineLevel="0" collapsed="false">
      <c r="B642" s="15" t="n">
        <v>632</v>
      </c>
      <c r="C642" s="9" t="s">
        <v>51</v>
      </c>
      <c r="D642" s="9" t="s">
        <v>74</v>
      </c>
      <c r="E642" s="9" t="s">
        <v>1296</v>
      </c>
      <c r="F642" s="19" t="n">
        <f aca="false">IF('Base de Datos'!AB636="","",'Base de Datos'!AB636)</f>
        <v>40</v>
      </c>
      <c r="G642" s="15"/>
      <c r="H642" s="28"/>
      <c r="I642" s="29" t="str">
        <f aca="false">IF(OR($G642="",$G642=0),"",IFERROR(ROUND($F642*$G642*(1-IF($H642="",0,$H642)),2),""))</f>
        <v/>
      </c>
      <c r="J642" s="9"/>
    </row>
    <row r="643" customFormat="false" ht="21.75" hidden="false" customHeight="true" outlineLevel="0" collapsed="false">
      <c r="B643" s="14" t="n">
        <v>633</v>
      </c>
      <c r="C643" s="7" t="s">
        <v>51</v>
      </c>
      <c r="D643" s="7" t="s">
        <v>74</v>
      </c>
      <c r="E643" s="7" t="s">
        <v>1300</v>
      </c>
      <c r="F643" s="18" t="n">
        <f aca="false">IF('Base de Datos'!AB637="","",'Base de Datos'!AB637)</f>
        <v>65</v>
      </c>
      <c r="G643" s="14"/>
      <c r="H643" s="26"/>
      <c r="I643" s="27" t="str">
        <f aca="false">IF(OR($G643="",$G643=0),"",IFERROR(ROUND($F643*$G643*(1-IF($H643="",0,$H643)),2),""))</f>
        <v/>
      </c>
      <c r="J643" s="7"/>
    </row>
    <row r="644" customFormat="false" ht="21.75" hidden="false" customHeight="true" outlineLevel="0" collapsed="false">
      <c r="B644" s="15" t="n">
        <v>634</v>
      </c>
      <c r="C644" s="9" t="s">
        <v>51</v>
      </c>
      <c r="D644" s="9" t="s">
        <v>74</v>
      </c>
      <c r="E644" s="9" t="s">
        <v>1301</v>
      </c>
      <c r="F644" s="19" t="n">
        <f aca="false">IF('Base de Datos'!AB638="","",'Base de Datos'!AB638)</f>
        <v>85</v>
      </c>
      <c r="G644" s="15"/>
      <c r="H644" s="28"/>
      <c r="I644" s="29" t="str">
        <f aca="false">IF(OR($G644="",$G644=0),"",IFERROR(ROUND($F644*$G644*(1-IF($H644="",0,$H644)),2),""))</f>
        <v/>
      </c>
      <c r="J644" s="9"/>
    </row>
    <row r="645" customFormat="false" ht="21.75" hidden="false" customHeight="true" outlineLevel="0" collapsed="false">
      <c r="B645" s="14" t="n">
        <v>635</v>
      </c>
      <c r="C645" s="7" t="s">
        <v>51</v>
      </c>
      <c r="D645" s="7" t="s">
        <v>74</v>
      </c>
      <c r="E645" s="7" t="s">
        <v>1303</v>
      </c>
      <c r="F645" s="18" t="n">
        <f aca="false">IF('Base de Datos'!AB639="","",'Base de Datos'!AB639)</f>
        <v>130</v>
      </c>
      <c r="G645" s="14"/>
      <c r="H645" s="26"/>
      <c r="I645" s="27" t="str">
        <f aca="false">IF(OR($G645="",$G645=0),"",IFERROR(ROUND($F645*$G645*(1-IF($H645="",0,$H645)),2),""))</f>
        <v/>
      </c>
      <c r="J645" s="7"/>
    </row>
    <row r="646" customFormat="false" ht="21.75" hidden="false" customHeight="true" outlineLevel="0" collapsed="false">
      <c r="B646" s="15" t="n">
        <v>636</v>
      </c>
      <c r="C646" s="9" t="s">
        <v>51</v>
      </c>
      <c r="D646" s="9" t="s">
        <v>74</v>
      </c>
      <c r="E646" s="9" t="s">
        <v>1304</v>
      </c>
      <c r="F646" s="19" t="n">
        <f aca="false">IF('Base de Datos'!AB640="","",'Base de Datos'!AB640)</f>
        <v>185</v>
      </c>
      <c r="G646" s="15"/>
      <c r="H646" s="28"/>
      <c r="I646" s="29" t="str">
        <f aca="false">IF(OR($G646="",$G646=0),"",IFERROR(ROUND($F646*$G646*(1-IF($H646="",0,$H646)),2),""))</f>
        <v/>
      </c>
      <c r="J646" s="9"/>
    </row>
    <row r="647" customFormat="false" ht="21.75" hidden="false" customHeight="true" outlineLevel="0" collapsed="false">
      <c r="B647" s="14" t="n">
        <v>637</v>
      </c>
      <c r="C647" s="7" t="s">
        <v>52</v>
      </c>
      <c r="D647" s="7" t="s">
        <v>61</v>
      </c>
      <c r="E647" s="7" t="s">
        <v>1305</v>
      </c>
      <c r="F647" s="18" t="n">
        <f aca="false">IF('Base de Datos'!AB641="","",'Base de Datos'!AB641)</f>
        <v>45</v>
      </c>
      <c r="G647" s="14"/>
      <c r="H647" s="26"/>
      <c r="I647" s="27" t="str">
        <f aca="false">IF(OR($G647="",$G647=0),"",IFERROR(ROUND($F647*$G647*(1-IF($H647="",0,$H647)),2),""))</f>
        <v/>
      </c>
      <c r="J647" s="7"/>
    </row>
    <row r="648" customFormat="false" ht="21.75" hidden="false" customHeight="true" outlineLevel="0" collapsed="false">
      <c r="B648" s="15" t="n">
        <v>638</v>
      </c>
      <c r="C648" s="9" t="s">
        <v>52</v>
      </c>
      <c r="D648" s="9" t="s">
        <v>61</v>
      </c>
      <c r="E648" s="9" t="s">
        <v>1309</v>
      </c>
      <c r="F648" s="19" t="n">
        <f aca="false">IF('Base de Datos'!AB642="","",'Base de Datos'!AB642)</f>
        <v>65</v>
      </c>
      <c r="G648" s="15"/>
      <c r="H648" s="28"/>
      <c r="I648" s="29" t="str">
        <f aca="false">IF(OR($G648="",$G648=0),"",IFERROR(ROUND($F648*$G648*(1-IF($H648="",0,$H648)),2),""))</f>
        <v/>
      </c>
      <c r="J648" s="9"/>
    </row>
    <row r="649" customFormat="false" ht="21.75" hidden="false" customHeight="true" outlineLevel="0" collapsed="false">
      <c r="B649" s="14" t="n">
        <v>639</v>
      </c>
      <c r="C649" s="7" t="s">
        <v>52</v>
      </c>
      <c r="D649" s="7" t="s">
        <v>61</v>
      </c>
      <c r="E649" s="7" t="s">
        <v>1310</v>
      </c>
      <c r="F649" s="18" t="n">
        <f aca="false">IF('Base de Datos'!AB643="","",'Base de Datos'!AB643)</f>
        <v>90</v>
      </c>
      <c r="G649" s="14"/>
      <c r="H649" s="26"/>
      <c r="I649" s="27" t="str">
        <f aca="false">IF(OR($G649="",$G649=0),"",IFERROR(ROUND($F649*$G649*(1-IF($H649="",0,$H649)),2),""))</f>
        <v/>
      </c>
      <c r="J649" s="7"/>
    </row>
    <row r="650" customFormat="false" ht="21.75" hidden="false" customHeight="true" outlineLevel="0" collapsed="false">
      <c r="B650" s="15" t="n">
        <v>640</v>
      </c>
      <c r="C650" s="9" t="s">
        <v>52</v>
      </c>
      <c r="D650" s="9" t="s">
        <v>61</v>
      </c>
      <c r="E650" s="9" t="s">
        <v>1312</v>
      </c>
      <c r="F650" s="19" t="n">
        <f aca="false">IF('Base de Datos'!AB644="","",'Base de Datos'!AB644)</f>
        <v>130</v>
      </c>
      <c r="G650" s="15"/>
      <c r="H650" s="28"/>
      <c r="I650" s="29" t="str">
        <f aca="false">IF(OR($G650="",$G650=0),"",IFERROR(ROUND($F650*$G650*(1-IF($H650="",0,$H650)),2),""))</f>
        <v/>
      </c>
      <c r="J650" s="9"/>
    </row>
    <row r="651" customFormat="false" ht="21.75" hidden="false" customHeight="true" outlineLevel="0" collapsed="false">
      <c r="B651" s="14" t="n">
        <v>641</v>
      </c>
      <c r="C651" s="7" t="s">
        <v>52</v>
      </c>
      <c r="D651" s="7" t="s">
        <v>61</v>
      </c>
      <c r="E651" s="7" t="s">
        <v>1313</v>
      </c>
      <c r="F651" s="18" t="n">
        <f aca="false">IF('Base de Datos'!AB645="","",'Base de Datos'!AB645)</f>
        <v>195</v>
      </c>
      <c r="G651" s="14"/>
      <c r="H651" s="26"/>
      <c r="I651" s="27" t="str">
        <f aca="false">IF(OR($G651="",$G651=0),"",IFERROR(ROUND($F651*$G651*(1-IF($H651="",0,$H651)),2),""))</f>
        <v/>
      </c>
      <c r="J651" s="7"/>
    </row>
    <row r="652" customFormat="false" ht="21.75" hidden="false" customHeight="true" outlineLevel="0" collapsed="false">
      <c r="B652" s="15" t="n">
        <v>642</v>
      </c>
      <c r="C652" s="9" t="s">
        <v>52</v>
      </c>
      <c r="D652" s="9" t="s">
        <v>62</v>
      </c>
      <c r="E652" s="9" t="s">
        <v>1314</v>
      </c>
      <c r="F652" s="19" t="n">
        <f aca="false">IF('Base de Datos'!AB646="","",'Base de Datos'!AB646)</f>
        <v>70</v>
      </c>
      <c r="G652" s="15"/>
      <c r="H652" s="28"/>
      <c r="I652" s="29" t="str">
        <f aca="false">IF(OR($G652="",$G652=0),"",IFERROR(ROUND($F652*$G652*(1-IF($H652="",0,$H652)),2),""))</f>
        <v/>
      </c>
      <c r="J652" s="9"/>
    </row>
    <row r="653" customFormat="false" ht="21.75" hidden="false" customHeight="true" outlineLevel="0" collapsed="false">
      <c r="B653" s="14" t="n">
        <v>643</v>
      </c>
      <c r="C653" s="7" t="s">
        <v>52</v>
      </c>
      <c r="D653" s="7" t="s">
        <v>62</v>
      </c>
      <c r="E653" s="7" t="s">
        <v>1319</v>
      </c>
      <c r="F653" s="18" t="n">
        <f aca="false">IF('Base de Datos'!AB647="","",'Base de Datos'!AB647)</f>
        <v>110</v>
      </c>
      <c r="G653" s="14"/>
      <c r="H653" s="26"/>
      <c r="I653" s="27" t="str">
        <f aca="false">IF(OR($G653="",$G653=0),"",IFERROR(ROUND($F653*$G653*(1-IF($H653="",0,$H653)),2),""))</f>
        <v/>
      </c>
      <c r="J653" s="7"/>
    </row>
    <row r="654" customFormat="false" ht="21.75" hidden="false" customHeight="true" outlineLevel="0" collapsed="false">
      <c r="B654" s="15" t="n">
        <v>644</v>
      </c>
      <c r="C654" s="9" t="s">
        <v>52</v>
      </c>
      <c r="D654" s="9" t="s">
        <v>62</v>
      </c>
      <c r="E654" s="9" t="s">
        <v>1320</v>
      </c>
      <c r="F654" s="19" t="n">
        <f aca="false">IF('Base de Datos'!AB648="","",'Base de Datos'!AB648)</f>
        <v>145</v>
      </c>
      <c r="G654" s="15"/>
      <c r="H654" s="28"/>
      <c r="I654" s="29" t="str">
        <f aca="false">IF(OR($G654="",$G654=0),"",IFERROR(ROUND($F654*$G654*(1-IF($H654="",0,$H654)),2),""))</f>
        <v/>
      </c>
      <c r="J654" s="9"/>
    </row>
    <row r="655" customFormat="false" ht="21.75" hidden="false" customHeight="true" outlineLevel="0" collapsed="false">
      <c r="B655" s="14" t="n">
        <v>645</v>
      </c>
      <c r="C655" s="7" t="s">
        <v>52</v>
      </c>
      <c r="D655" s="7" t="s">
        <v>62</v>
      </c>
      <c r="E655" s="7" t="s">
        <v>1322</v>
      </c>
      <c r="F655" s="18" t="n">
        <f aca="false">IF('Base de Datos'!AB649="","",'Base de Datos'!AB649)</f>
        <v>220</v>
      </c>
      <c r="G655" s="14"/>
      <c r="H655" s="26"/>
      <c r="I655" s="27" t="str">
        <f aca="false">IF(OR($G655="",$G655=0),"",IFERROR(ROUND($F655*$G655*(1-IF($H655="",0,$H655)),2),""))</f>
        <v/>
      </c>
      <c r="J655" s="7"/>
    </row>
    <row r="656" customFormat="false" ht="21.75" hidden="false" customHeight="true" outlineLevel="0" collapsed="false">
      <c r="B656" s="15" t="n">
        <v>646</v>
      </c>
      <c r="C656" s="9" t="s">
        <v>52</v>
      </c>
      <c r="D656" s="9" t="s">
        <v>62</v>
      </c>
      <c r="E656" s="9" t="s">
        <v>1323</v>
      </c>
      <c r="F656" s="19" t="n">
        <f aca="false">IF('Base de Datos'!AB650="","",'Base de Datos'!AB650)</f>
        <v>320</v>
      </c>
      <c r="G656" s="15"/>
      <c r="H656" s="28"/>
      <c r="I656" s="29" t="str">
        <f aca="false">IF(OR($G656="",$G656=0),"",IFERROR(ROUND($F656*$G656*(1-IF($H656="",0,$H656)),2),""))</f>
        <v/>
      </c>
      <c r="J656" s="9"/>
    </row>
    <row r="657" customFormat="false" ht="21.75" hidden="false" customHeight="true" outlineLevel="0" collapsed="false">
      <c r="B657" s="14" t="n">
        <v>647</v>
      </c>
      <c r="C657" s="7" t="s">
        <v>52</v>
      </c>
      <c r="D657" s="7" t="s">
        <v>63</v>
      </c>
      <c r="E657" s="7" t="s">
        <v>1324</v>
      </c>
      <c r="F657" s="18" t="n">
        <f aca="false">IF('Base de Datos'!AB651="","",'Base de Datos'!AB651)</f>
        <v>50</v>
      </c>
      <c r="G657" s="14"/>
      <c r="H657" s="26"/>
      <c r="I657" s="27" t="str">
        <f aca="false">IF(OR($G657="",$G657=0),"",IFERROR(ROUND($F657*$G657*(1-IF($H657="",0,$H657)),2),""))</f>
        <v/>
      </c>
      <c r="J657" s="7"/>
    </row>
    <row r="658" customFormat="false" ht="21.75" hidden="false" customHeight="true" outlineLevel="0" collapsed="false">
      <c r="B658" s="15" t="n">
        <v>648</v>
      </c>
      <c r="C658" s="9" t="s">
        <v>52</v>
      </c>
      <c r="D658" s="9" t="s">
        <v>63</v>
      </c>
      <c r="E658" s="9" t="s">
        <v>1329</v>
      </c>
      <c r="F658" s="19" t="n">
        <f aca="false">IF('Base de Datos'!AB652="","",'Base de Datos'!AB652)</f>
        <v>80</v>
      </c>
      <c r="G658" s="15"/>
      <c r="H658" s="28"/>
      <c r="I658" s="29" t="str">
        <f aca="false">IF(OR($G658="",$G658=0),"",IFERROR(ROUND($F658*$G658*(1-IF($H658="",0,$H658)),2),""))</f>
        <v/>
      </c>
      <c r="J658" s="9"/>
    </row>
    <row r="659" customFormat="false" ht="21.75" hidden="false" customHeight="true" outlineLevel="0" collapsed="false">
      <c r="B659" s="14" t="n">
        <v>649</v>
      </c>
      <c r="C659" s="7" t="s">
        <v>52</v>
      </c>
      <c r="D659" s="7" t="s">
        <v>63</v>
      </c>
      <c r="E659" s="7" t="s">
        <v>1330</v>
      </c>
      <c r="F659" s="18" t="n">
        <f aca="false">IF('Base de Datos'!AB653="","",'Base de Datos'!AB653)</f>
        <v>105</v>
      </c>
      <c r="G659" s="14"/>
      <c r="H659" s="26"/>
      <c r="I659" s="27" t="str">
        <f aca="false">IF(OR($G659="",$G659=0),"",IFERROR(ROUND($F659*$G659*(1-IF($H659="",0,$H659)),2),""))</f>
        <v/>
      </c>
      <c r="J659" s="7"/>
    </row>
    <row r="660" customFormat="false" ht="21.75" hidden="false" customHeight="true" outlineLevel="0" collapsed="false">
      <c r="B660" s="15" t="n">
        <v>650</v>
      </c>
      <c r="C660" s="9" t="s">
        <v>52</v>
      </c>
      <c r="D660" s="9" t="s">
        <v>63</v>
      </c>
      <c r="E660" s="9" t="s">
        <v>1332</v>
      </c>
      <c r="F660" s="19" t="n">
        <f aca="false">IF('Base de Datos'!AB654="","",'Base de Datos'!AB654)</f>
        <v>160</v>
      </c>
      <c r="G660" s="15"/>
      <c r="H660" s="28"/>
      <c r="I660" s="29" t="str">
        <f aca="false">IF(OR($G660="",$G660=0),"",IFERROR(ROUND($F660*$G660*(1-IF($H660="",0,$H660)),2),""))</f>
        <v/>
      </c>
      <c r="J660" s="9"/>
    </row>
    <row r="661" customFormat="false" ht="21.75" hidden="false" customHeight="true" outlineLevel="0" collapsed="false">
      <c r="B661" s="14" t="n">
        <v>651</v>
      </c>
      <c r="C661" s="7" t="s">
        <v>52</v>
      </c>
      <c r="D661" s="7" t="s">
        <v>63</v>
      </c>
      <c r="E661" s="7" t="s">
        <v>1333</v>
      </c>
      <c r="F661" s="18" t="n">
        <f aca="false">IF('Base de Datos'!AB655="","",'Base de Datos'!AB655)</f>
        <v>230</v>
      </c>
      <c r="G661" s="14"/>
      <c r="H661" s="26"/>
      <c r="I661" s="27" t="str">
        <f aca="false">IF(OR($G661="",$G661=0),"",IFERROR(ROUND($F661*$G661*(1-IF($H661="",0,$H661)),2),""))</f>
        <v/>
      </c>
      <c r="J661" s="7"/>
    </row>
    <row r="662" customFormat="false" ht="21.75" hidden="false" customHeight="true" outlineLevel="0" collapsed="false">
      <c r="B662" s="15" t="n">
        <v>652</v>
      </c>
      <c r="C662" s="9" t="s">
        <v>52</v>
      </c>
      <c r="D662" s="9" t="s">
        <v>64</v>
      </c>
      <c r="E662" s="9" t="s">
        <v>1334</v>
      </c>
      <c r="F662" s="19" t="n">
        <f aca="false">IF('Base de Datos'!AB656="","",'Base de Datos'!AB656)</f>
        <v>390</v>
      </c>
      <c r="G662" s="15"/>
      <c r="H662" s="28"/>
      <c r="I662" s="29" t="str">
        <f aca="false">IF(OR($G662="",$G662=0),"",IFERROR(ROUND($F662*$G662*(1-IF($H662="",0,$H662)),2),""))</f>
        <v/>
      </c>
      <c r="J662" s="9"/>
    </row>
    <row r="663" customFormat="false" ht="21.75" hidden="false" customHeight="true" outlineLevel="0" collapsed="false">
      <c r="B663" s="14" t="n">
        <v>653</v>
      </c>
      <c r="C663" s="7" t="s">
        <v>52</v>
      </c>
      <c r="D663" s="7" t="s">
        <v>64</v>
      </c>
      <c r="E663" s="7" t="s">
        <v>1338</v>
      </c>
      <c r="F663" s="18" t="n">
        <f aca="false">IF('Base de Datos'!AB657="","",'Base de Datos'!AB657)</f>
        <v>585</v>
      </c>
      <c r="G663" s="14"/>
      <c r="H663" s="26"/>
      <c r="I663" s="27" t="str">
        <f aca="false">IF(OR($G663="",$G663=0),"",IFERROR(ROUND($F663*$G663*(1-IF($H663="",0,$H663)),2),""))</f>
        <v/>
      </c>
      <c r="J663" s="7"/>
    </row>
    <row r="664" customFormat="false" ht="21.75" hidden="false" customHeight="true" outlineLevel="0" collapsed="false">
      <c r="B664" s="15" t="n">
        <v>654</v>
      </c>
      <c r="C664" s="9" t="s">
        <v>52</v>
      </c>
      <c r="D664" s="9" t="s">
        <v>64</v>
      </c>
      <c r="E664" s="9" t="s">
        <v>1339</v>
      </c>
      <c r="F664" s="19" t="n">
        <f aca="false">IF('Base de Datos'!AB658="","",'Base de Datos'!AB658)</f>
        <v>780</v>
      </c>
      <c r="G664" s="15"/>
      <c r="H664" s="28"/>
      <c r="I664" s="29" t="str">
        <f aca="false">IF(OR($G664="",$G664=0),"",IFERROR(ROUND($F664*$G664*(1-IF($H664="",0,$H664)),2),""))</f>
        <v/>
      </c>
      <c r="J664" s="9"/>
    </row>
    <row r="665" customFormat="false" ht="21.75" hidden="false" customHeight="true" outlineLevel="0" collapsed="false">
      <c r="B665" s="14" t="n">
        <v>655</v>
      </c>
      <c r="C665" s="7" t="s">
        <v>52</v>
      </c>
      <c r="D665" s="7" t="s">
        <v>64</v>
      </c>
      <c r="E665" s="7" t="s">
        <v>1341</v>
      </c>
      <c r="F665" s="18" t="n">
        <f aca="false">IF('Base de Datos'!AB659="","",'Base de Datos'!AB659)</f>
        <v>1170</v>
      </c>
      <c r="G665" s="14"/>
      <c r="H665" s="26"/>
      <c r="I665" s="27" t="str">
        <f aca="false">IF(OR($G665="",$G665=0),"",IFERROR(ROUND($F665*$G665*(1-IF($H665="",0,$H665)),2),""))</f>
        <v/>
      </c>
      <c r="J665" s="7"/>
    </row>
    <row r="666" customFormat="false" ht="21.75" hidden="false" customHeight="true" outlineLevel="0" collapsed="false">
      <c r="B666" s="15" t="n">
        <v>656</v>
      </c>
      <c r="C666" s="9" t="s">
        <v>52</v>
      </c>
      <c r="D666" s="9" t="s">
        <v>64</v>
      </c>
      <c r="E666" s="9" t="s">
        <v>1342</v>
      </c>
      <c r="F666" s="19" t="n">
        <f aca="false">IF('Base de Datos'!AB660="","",'Base de Datos'!AB660)</f>
        <v>1715</v>
      </c>
      <c r="G666" s="15"/>
      <c r="H666" s="28"/>
      <c r="I666" s="29" t="str">
        <f aca="false">IF(OR($G666="",$G666=0),"",IFERROR(ROUND($F666*$G666*(1-IF($H666="",0,$H666)),2),""))</f>
        <v/>
      </c>
      <c r="J666" s="9"/>
    </row>
    <row r="667" customFormat="false" ht="21.75" hidden="false" customHeight="true" outlineLevel="0" collapsed="false">
      <c r="B667" s="14" t="n">
        <v>657</v>
      </c>
      <c r="C667" s="7" t="s">
        <v>52</v>
      </c>
      <c r="D667" s="7" t="s">
        <v>65</v>
      </c>
      <c r="E667" s="7" t="s">
        <v>1343</v>
      </c>
      <c r="F667" s="18" t="n">
        <f aca="false">IF('Base de Datos'!AB661="","",'Base de Datos'!AB661)</f>
        <v>130</v>
      </c>
      <c r="G667" s="14"/>
      <c r="H667" s="26"/>
      <c r="I667" s="27" t="str">
        <f aca="false">IF(OR($G667="",$G667=0),"",IFERROR(ROUND($F667*$G667*(1-IF($H667="",0,$H667)),2),""))</f>
        <v/>
      </c>
      <c r="J667" s="7"/>
    </row>
    <row r="668" customFormat="false" ht="21.75" hidden="false" customHeight="true" outlineLevel="0" collapsed="false">
      <c r="B668" s="15" t="n">
        <v>658</v>
      </c>
      <c r="C668" s="9" t="s">
        <v>52</v>
      </c>
      <c r="D668" s="9" t="s">
        <v>65</v>
      </c>
      <c r="E668" s="9" t="s">
        <v>1348</v>
      </c>
      <c r="F668" s="19" t="n">
        <f aca="false">IF('Base de Datos'!AB662="","",'Base de Datos'!AB662)</f>
        <v>195</v>
      </c>
      <c r="G668" s="15"/>
      <c r="H668" s="28"/>
      <c r="I668" s="29" t="str">
        <f aca="false">IF(OR($G668="",$G668=0),"",IFERROR(ROUND($F668*$G668*(1-IF($H668="",0,$H668)),2),""))</f>
        <v/>
      </c>
      <c r="J668" s="9"/>
    </row>
    <row r="669" customFormat="false" ht="21.75" hidden="false" customHeight="true" outlineLevel="0" collapsed="false">
      <c r="B669" s="14" t="n">
        <v>659</v>
      </c>
      <c r="C669" s="7" t="s">
        <v>52</v>
      </c>
      <c r="D669" s="7" t="s">
        <v>65</v>
      </c>
      <c r="E669" s="7" t="s">
        <v>1334</v>
      </c>
      <c r="F669" s="18" t="n">
        <f aca="false">IF('Base de Datos'!AB663="","",'Base de Datos'!AB663)</f>
        <v>260</v>
      </c>
      <c r="G669" s="14"/>
      <c r="H669" s="26"/>
      <c r="I669" s="27" t="str">
        <f aca="false">IF(OR($G669="",$G669=0),"",IFERROR(ROUND($F669*$G669*(1-IF($H669="",0,$H669)),2),""))</f>
        <v/>
      </c>
      <c r="J669" s="7"/>
    </row>
    <row r="670" customFormat="false" ht="21.75" hidden="false" customHeight="true" outlineLevel="0" collapsed="false">
      <c r="B670" s="15" t="n">
        <v>660</v>
      </c>
      <c r="C670" s="9" t="s">
        <v>52</v>
      </c>
      <c r="D670" s="9" t="s">
        <v>65</v>
      </c>
      <c r="E670" s="9" t="s">
        <v>1350</v>
      </c>
      <c r="F670" s="19" t="n">
        <f aca="false">IF('Base de Datos'!AB664="","",'Base de Datos'!AB664)</f>
        <v>390</v>
      </c>
      <c r="G670" s="15"/>
      <c r="H670" s="28"/>
      <c r="I670" s="29" t="str">
        <f aca="false">IF(OR($G670="",$G670=0),"",IFERROR(ROUND($F670*$G670*(1-IF($H670="",0,$H670)),2),""))</f>
        <v/>
      </c>
      <c r="J670" s="9"/>
    </row>
    <row r="671" customFormat="false" ht="21.75" hidden="false" customHeight="true" outlineLevel="0" collapsed="false">
      <c r="B671" s="14" t="n">
        <v>661</v>
      </c>
      <c r="C671" s="7" t="s">
        <v>52</v>
      </c>
      <c r="D671" s="7" t="s">
        <v>65</v>
      </c>
      <c r="E671" s="7" t="s">
        <v>1351</v>
      </c>
      <c r="F671" s="18" t="n">
        <f aca="false">IF('Base de Datos'!AB665="","",'Base de Datos'!AB665)</f>
        <v>570</v>
      </c>
      <c r="G671" s="14"/>
      <c r="H671" s="26"/>
      <c r="I671" s="27" t="str">
        <f aca="false">IF(OR($G671="",$G671=0),"",IFERROR(ROUND($F671*$G671*(1-IF($H671="",0,$H671)),2),""))</f>
        <v/>
      </c>
      <c r="J671" s="7"/>
    </row>
    <row r="672" customFormat="false" ht="21.75" hidden="false" customHeight="true" outlineLevel="0" collapsed="false">
      <c r="B672" s="15" t="n">
        <v>662</v>
      </c>
      <c r="C672" s="9" t="s">
        <v>52</v>
      </c>
      <c r="D672" s="9" t="s">
        <v>66</v>
      </c>
      <c r="E672" s="9" t="s">
        <v>1352</v>
      </c>
      <c r="F672" s="19" t="n">
        <f aca="false">IF('Base de Datos'!AB666="","",'Base de Datos'!AB666)</f>
        <v>95</v>
      </c>
      <c r="G672" s="15"/>
      <c r="H672" s="28"/>
      <c r="I672" s="29" t="str">
        <f aca="false">IF(OR($G672="",$G672=0),"",IFERROR(ROUND($F672*$G672*(1-IF($H672="",0,$H672)),2),""))</f>
        <v/>
      </c>
      <c r="J672" s="9"/>
    </row>
    <row r="673" customFormat="false" ht="21.75" hidden="false" customHeight="true" outlineLevel="0" collapsed="false">
      <c r="B673" s="14" t="n">
        <v>663</v>
      </c>
      <c r="C673" s="7" t="s">
        <v>52</v>
      </c>
      <c r="D673" s="7" t="s">
        <v>66</v>
      </c>
      <c r="E673" s="7" t="s">
        <v>1353</v>
      </c>
      <c r="F673" s="18" t="n">
        <f aca="false">IF('Base de Datos'!AB667="","",'Base de Datos'!AB667)</f>
        <v>140</v>
      </c>
      <c r="G673" s="14"/>
      <c r="H673" s="26"/>
      <c r="I673" s="27" t="str">
        <f aca="false">IF(OR($G673="",$G673=0),"",IFERROR(ROUND($F673*$G673*(1-IF($H673="",0,$H673)),2),""))</f>
        <v/>
      </c>
      <c r="J673" s="7"/>
    </row>
    <row r="674" customFormat="false" ht="21.75" hidden="false" customHeight="true" outlineLevel="0" collapsed="false">
      <c r="B674" s="15" t="n">
        <v>664</v>
      </c>
      <c r="C674" s="9" t="s">
        <v>52</v>
      </c>
      <c r="D674" s="9" t="s">
        <v>66</v>
      </c>
      <c r="E674" s="9" t="s">
        <v>1354</v>
      </c>
      <c r="F674" s="19" t="n">
        <f aca="false">IF('Base de Datos'!AB668="","",'Base de Datos'!AB668)</f>
        <v>190</v>
      </c>
      <c r="G674" s="15"/>
      <c r="H674" s="28"/>
      <c r="I674" s="29" t="str">
        <f aca="false">IF(OR($G674="",$G674=0),"",IFERROR(ROUND($F674*$G674*(1-IF($H674="",0,$H674)),2),""))</f>
        <v/>
      </c>
      <c r="J674" s="9"/>
    </row>
    <row r="675" customFormat="false" ht="21.75" hidden="false" customHeight="true" outlineLevel="0" collapsed="false">
      <c r="B675" s="14" t="n">
        <v>665</v>
      </c>
      <c r="C675" s="7" t="s">
        <v>52</v>
      </c>
      <c r="D675" s="7" t="s">
        <v>66</v>
      </c>
      <c r="E675" s="7" t="s">
        <v>1356</v>
      </c>
      <c r="F675" s="18" t="n">
        <f aca="false">IF('Base de Datos'!AB669="","",'Base de Datos'!AB669)</f>
        <v>285</v>
      </c>
      <c r="G675" s="14"/>
      <c r="H675" s="26"/>
      <c r="I675" s="27" t="str">
        <f aca="false">IF(OR($G675="",$G675=0),"",IFERROR(ROUND($F675*$G675*(1-IF($H675="",0,$H675)),2),""))</f>
        <v/>
      </c>
      <c r="J675" s="7"/>
    </row>
    <row r="676" customFormat="false" ht="21.75" hidden="false" customHeight="true" outlineLevel="0" collapsed="false">
      <c r="B676" s="15" t="n">
        <v>666</v>
      </c>
      <c r="C676" s="9" t="s">
        <v>52</v>
      </c>
      <c r="D676" s="9" t="s">
        <v>66</v>
      </c>
      <c r="E676" s="9" t="s">
        <v>1357</v>
      </c>
      <c r="F676" s="19" t="n">
        <f aca="false">IF('Base de Datos'!AB670="","",'Base de Datos'!AB670)</f>
        <v>420</v>
      </c>
      <c r="G676" s="15"/>
      <c r="H676" s="28"/>
      <c r="I676" s="29" t="str">
        <f aca="false">IF(OR($G676="",$G676=0),"",IFERROR(ROUND($F676*$G676*(1-IF($H676="",0,$H676)),2),""))</f>
        <v/>
      </c>
      <c r="J676" s="9"/>
    </row>
    <row r="677" customFormat="false" ht="21.75" hidden="false" customHeight="true" outlineLevel="0" collapsed="false">
      <c r="B677" s="14" t="n">
        <v>667</v>
      </c>
      <c r="C677" s="7" t="s">
        <v>52</v>
      </c>
      <c r="D677" s="7" t="s">
        <v>67</v>
      </c>
      <c r="E677" s="7" t="s">
        <v>1358</v>
      </c>
      <c r="F677" s="18" t="n">
        <f aca="false">IF('Base de Datos'!AB671="","",'Base de Datos'!AB671)</f>
        <v>65</v>
      </c>
      <c r="G677" s="14"/>
      <c r="H677" s="26"/>
      <c r="I677" s="27" t="str">
        <f aca="false">IF(OR($G677="",$G677=0),"",IFERROR(ROUND($F677*$G677*(1-IF($H677="",0,$H677)),2),""))</f>
        <v/>
      </c>
      <c r="J677" s="7"/>
    </row>
    <row r="678" customFormat="false" ht="21.75" hidden="false" customHeight="true" outlineLevel="0" collapsed="false">
      <c r="B678" s="15" t="n">
        <v>668</v>
      </c>
      <c r="C678" s="9" t="s">
        <v>52</v>
      </c>
      <c r="D678" s="9" t="s">
        <v>67</v>
      </c>
      <c r="E678" s="9" t="s">
        <v>1361</v>
      </c>
      <c r="F678" s="19" t="n">
        <f aca="false">IF('Base de Datos'!AB672="","",'Base de Datos'!AB672)</f>
        <v>100</v>
      </c>
      <c r="G678" s="15"/>
      <c r="H678" s="28"/>
      <c r="I678" s="29" t="str">
        <f aca="false">IF(OR($G678="",$G678=0),"",IFERROR(ROUND($F678*$G678*(1-IF($H678="",0,$H678)),2),""))</f>
        <v/>
      </c>
      <c r="J678" s="9"/>
    </row>
    <row r="679" customFormat="false" ht="21.75" hidden="false" customHeight="true" outlineLevel="0" collapsed="false">
      <c r="B679" s="14" t="n">
        <v>669</v>
      </c>
      <c r="C679" s="7" t="s">
        <v>52</v>
      </c>
      <c r="D679" s="7" t="s">
        <v>67</v>
      </c>
      <c r="E679" s="7" t="s">
        <v>1362</v>
      </c>
      <c r="F679" s="18" t="n">
        <f aca="false">IF('Base de Datos'!AB673="","",'Base de Datos'!AB673)</f>
        <v>130</v>
      </c>
      <c r="G679" s="14"/>
      <c r="H679" s="26"/>
      <c r="I679" s="27" t="str">
        <f aca="false">IF(OR($G679="",$G679=0),"",IFERROR(ROUND($F679*$G679*(1-IF($H679="",0,$H679)),2),""))</f>
        <v/>
      </c>
      <c r="J679" s="7"/>
    </row>
    <row r="680" customFormat="false" ht="21.75" hidden="false" customHeight="true" outlineLevel="0" collapsed="false">
      <c r="B680" s="15" t="n">
        <v>670</v>
      </c>
      <c r="C680" s="9" t="s">
        <v>52</v>
      </c>
      <c r="D680" s="9" t="s">
        <v>67</v>
      </c>
      <c r="E680" s="9" t="s">
        <v>1363</v>
      </c>
      <c r="F680" s="19" t="n">
        <f aca="false">IF('Base de Datos'!AB674="","",'Base de Datos'!AB674)</f>
        <v>195</v>
      </c>
      <c r="G680" s="15"/>
      <c r="H680" s="28"/>
      <c r="I680" s="29" t="str">
        <f aca="false">IF(OR($G680="",$G680=0),"",IFERROR(ROUND($F680*$G680*(1-IF($H680="",0,$H680)),2),""))</f>
        <v/>
      </c>
      <c r="J680" s="9"/>
    </row>
    <row r="681" customFormat="false" ht="21.75" hidden="false" customHeight="true" outlineLevel="0" collapsed="false">
      <c r="B681" s="14" t="n">
        <v>671</v>
      </c>
      <c r="C681" s="7" t="s">
        <v>52</v>
      </c>
      <c r="D681" s="7" t="s">
        <v>67</v>
      </c>
      <c r="E681" s="7" t="s">
        <v>1364</v>
      </c>
      <c r="F681" s="18" t="n">
        <f aca="false">IF('Base de Datos'!AB675="","",'Base de Datos'!AB675)</f>
        <v>285</v>
      </c>
      <c r="G681" s="14"/>
      <c r="H681" s="26"/>
      <c r="I681" s="27" t="str">
        <f aca="false">IF(OR($G681="",$G681=0),"",IFERROR(ROUND($F681*$G681*(1-IF($H681="",0,$H681)),2),""))</f>
        <v/>
      </c>
      <c r="J681" s="7"/>
    </row>
    <row r="682" customFormat="false" ht="21.75" hidden="false" customHeight="true" outlineLevel="0" collapsed="false">
      <c r="B682" s="15" t="n">
        <v>672</v>
      </c>
      <c r="C682" s="9" t="s">
        <v>52</v>
      </c>
      <c r="D682" s="9" t="s">
        <v>68</v>
      </c>
      <c r="E682" s="9" t="s">
        <v>1365</v>
      </c>
      <c r="F682" s="19" t="n">
        <f aca="false">IF('Base de Datos'!AB676="","",'Base de Datos'!AB676)</f>
        <v>160</v>
      </c>
      <c r="G682" s="15"/>
      <c r="H682" s="28"/>
      <c r="I682" s="29" t="str">
        <f aca="false">IF(OR($G682="",$G682=0),"",IFERROR(ROUND($F682*$G682*(1-IF($H682="",0,$H682)),2),""))</f>
        <v/>
      </c>
      <c r="J682" s="9"/>
    </row>
    <row r="683" customFormat="false" ht="21.75" hidden="false" customHeight="true" outlineLevel="0" collapsed="false">
      <c r="B683" s="14" t="n">
        <v>673</v>
      </c>
      <c r="C683" s="7" t="s">
        <v>52</v>
      </c>
      <c r="D683" s="7" t="s">
        <v>68</v>
      </c>
      <c r="E683" s="7" t="s">
        <v>1368</v>
      </c>
      <c r="F683" s="18" t="n">
        <f aca="false">IF('Base de Datos'!AB677="","",'Base de Datos'!AB677)</f>
        <v>240</v>
      </c>
      <c r="G683" s="14"/>
      <c r="H683" s="26"/>
      <c r="I683" s="27" t="str">
        <f aca="false">IF(OR($G683="",$G683=0),"",IFERROR(ROUND($F683*$G683*(1-IF($H683="",0,$H683)),2),""))</f>
        <v/>
      </c>
      <c r="J683" s="7"/>
    </row>
    <row r="684" customFormat="false" ht="21.75" hidden="false" customHeight="true" outlineLevel="0" collapsed="false">
      <c r="B684" s="15" t="n">
        <v>674</v>
      </c>
      <c r="C684" s="9" t="s">
        <v>52</v>
      </c>
      <c r="D684" s="9" t="s">
        <v>68</v>
      </c>
      <c r="E684" s="9" t="s">
        <v>1369</v>
      </c>
      <c r="F684" s="19" t="n">
        <f aca="false">IF('Base de Datos'!AB678="","",'Base de Datos'!AB678)</f>
        <v>320</v>
      </c>
      <c r="G684" s="15"/>
      <c r="H684" s="28"/>
      <c r="I684" s="29" t="str">
        <f aca="false">IF(OR($G684="",$G684=0),"",IFERROR(ROUND($F684*$G684*(1-IF($H684="",0,$H684)),2),""))</f>
        <v/>
      </c>
      <c r="J684" s="9"/>
    </row>
    <row r="685" customFormat="false" ht="21.75" hidden="false" customHeight="true" outlineLevel="0" collapsed="false">
      <c r="B685" s="14" t="n">
        <v>675</v>
      </c>
      <c r="C685" s="7" t="s">
        <v>52</v>
      </c>
      <c r="D685" s="7" t="s">
        <v>68</v>
      </c>
      <c r="E685" s="7" t="s">
        <v>1371</v>
      </c>
      <c r="F685" s="18" t="n">
        <f aca="false">IF('Base de Datos'!AB679="","",'Base de Datos'!AB679)</f>
        <v>480</v>
      </c>
      <c r="G685" s="14"/>
      <c r="H685" s="26"/>
      <c r="I685" s="27" t="str">
        <f aca="false">IF(OR($G685="",$G685=0),"",IFERROR(ROUND($F685*$G685*(1-IF($H685="",0,$H685)),2),""))</f>
        <v/>
      </c>
      <c r="J685" s="7"/>
    </row>
    <row r="686" customFormat="false" ht="21.75" hidden="false" customHeight="true" outlineLevel="0" collapsed="false">
      <c r="B686" s="15" t="n">
        <v>676</v>
      </c>
      <c r="C686" s="9" t="s">
        <v>52</v>
      </c>
      <c r="D686" s="9" t="s">
        <v>68</v>
      </c>
      <c r="E686" s="9" t="s">
        <v>1372</v>
      </c>
      <c r="F686" s="19" t="n">
        <f aca="false">IF('Base de Datos'!AB680="","",'Base de Datos'!AB680)</f>
        <v>705</v>
      </c>
      <c r="G686" s="15"/>
      <c r="H686" s="28"/>
      <c r="I686" s="29" t="str">
        <f aca="false">IF(OR($G686="",$G686=0),"",IFERROR(ROUND($F686*$G686*(1-IF($H686="",0,$H686)),2),""))</f>
        <v/>
      </c>
      <c r="J686" s="9"/>
    </row>
    <row r="687" customFormat="false" ht="21.75" hidden="false" customHeight="true" outlineLevel="0" collapsed="false">
      <c r="B687" s="14" t="n">
        <v>677</v>
      </c>
      <c r="C687" s="7" t="s">
        <v>52</v>
      </c>
      <c r="D687" s="7" t="s">
        <v>69</v>
      </c>
      <c r="E687" s="7" t="s">
        <v>1373</v>
      </c>
      <c r="F687" s="18" t="n">
        <f aca="false">IF('Base de Datos'!AB681="","",'Base de Datos'!AB681)</f>
        <v>40</v>
      </c>
      <c r="G687" s="14"/>
      <c r="H687" s="26"/>
      <c r="I687" s="27" t="str">
        <f aca="false">IF(OR($G687="",$G687=0),"",IFERROR(ROUND($F687*$G687*(1-IF($H687="",0,$H687)),2),""))</f>
        <v/>
      </c>
      <c r="J687" s="7"/>
    </row>
    <row r="688" customFormat="false" ht="21.75" hidden="false" customHeight="true" outlineLevel="0" collapsed="false">
      <c r="B688" s="15" t="n">
        <v>678</v>
      </c>
      <c r="C688" s="9" t="s">
        <v>52</v>
      </c>
      <c r="D688" s="9" t="s">
        <v>69</v>
      </c>
      <c r="E688" s="9" t="s">
        <v>1378</v>
      </c>
      <c r="F688" s="19" t="n">
        <f aca="false">IF('Base de Datos'!AB682="","",'Base de Datos'!AB682)</f>
        <v>55</v>
      </c>
      <c r="G688" s="15"/>
      <c r="H688" s="28"/>
      <c r="I688" s="29" t="str">
        <f aca="false">IF(OR($G688="",$G688=0),"",IFERROR(ROUND($F688*$G688*(1-IF($H688="",0,$H688)),2),""))</f>
        <v/>
      </c>
      <c r="J688" s="9"/>
    </row>
    <row r="689" customFormat="false" ht="21.75" hidden="false" customHeight="true" outlineLevel="0" collapsed="false">
      <c r="B689" s="14" t="n">
        <v>679</v>
      </c>
      <c r="C689" s="7" t="s">
        <v>52</v>
      </c>
      <c r="D689" s="7" t="s">
        <v>69</v>
      </c>
      <c r="E689" s="7" t="s">
        <v>1379</v>
      </c>
      <c r="F689" s="18" t="n">
        <f aca="false">IF('Base de Datos'!AB683="","",'Base de Datos'!AB683)</f>
        <v>75</v>
      </c>
      <c r="G689" s="14"/>
      <c r="H689" s="26"/>
      <c r="I689" s="27" t="str">
        <f aca="false">IF(OR($G689="",$G689=0),"",IFERROR(ROUND($F689*$G689*(1-IF($H689="",0,$H689)),2),""))</f>
        <v/>
      </c>
      <c r="J689" s="7"/>
    </row>
    <row r="690" customFormat="false" ht="21.75" hidden="false" customHeight="true" outlineLevel="0" collapsed="false">
      <c r="B690" s="15" t="n">
        <v>680</v>
      </c>
      <c r="C690" s="9" t="s">
        <v>52</v>
      </c>
      <c r="D690" s="9" t="s">
        <v>69</v>
      </c>
      <c r="E690" s="9" t="s">
        <v>1381</v>
      </c>
      <c r="F690" s="19" t="n">
        <f aca="false">IF('Base de Datos'!AB684="","",'Base de Datos'!AB684)</f>
        <v>110</v>
      </c>
      <c r="G690" s="15"/>
      <c r="H690" s="28"/>
      <c r="I690" s="29" t="str">
        <f aca="false">IF(OR($G690="",$G690=0),"",IFERROR(ROUND($F690*$G690*(1-IF($H690="",0,$H690)),2),""))</f>
        <v/>
      </c>
      <c r="J690" s="9"/>
    </row>
    <row r="691" customFormat="false" ht="21.75" hidden="false" customHeight="true" outlineLevel="0" collapsed="false">
      <c r="B691" s="14" t="n">
        <v>681</v>
      </c>
      <c r="C691" s="7" t="s">
        <v>52</v>
      </c>
      <c r="D691" s="7" t="s">
        <v>69</v>
      </c>
      <c r="E691" s="7" t="s">
        <v>1382</v>
      </c>
      <c r="F691" s="18" t="n">
        <f aca="false">IF('Base de Datos'!AB685="","",'Base de Datos'!AB685)</f>
        <v>165</v>
      </c>
      <c r="G691" s="14"/>
      <c r="H691" s="26"/>
      <c r="I691" s="27" t="str">
        <f aca="false">IF(OR($G691="",$G691=0),"",IFERROR(ROUND($F691*$G691*(1-IF($H691="",0,$H691)),2),""))</f>
        <v/>
      </c>
      <c r="J691" s="7"/>
    </row>
    <row r="692" customFormat="false" ht="21.75" hidden="false" customHeight="true" outlineLevel="0" collapsed="false">
      <c r="B692" s="15" t="n">
        <v>682</v>
      </c>
      <c r="C692" s="9" t="s">
        <v>52</v>
      </c>
      <c r="D692" s="9" t="s">
        <v>70</v>
      </c>
      <c r="E692" s="9" t="s">
        <v>1383</v>
      </c>
      <c r="F692" s="19" t="n">
        <f aca="false">IF('Base de Datos'!AB686="","",'Base de Datos'!AB686)</f>
        <v>475</v>
      </c>
      <c r="G692" s="15"/>
      <c r="H692" s="28"/>
      <c r="I692" s="29" t="str">
        <f aca="false">IF(OR($G692="",$G692=0),"",IFERROR(ROUND($F692*$G692*(1-IF($H692="",0,$H692)),2),""))</f>
        <v/>
      </c>
      <c r="J692" s="9"/>
    </row>
    <row r="693" customFormat="false" ht="21.75" hidden="false" customHeight="true" outlineLevel="0" collapsed="false">
      <c r="B693" s="14" t="n">
        <v>683</v>
      </c>
      <c r="C693" s="7" t="s">
        <v>52</v>
      </c>
      <c r="D693" s="7" t="s">
        <v>70</v>
      </c>
      <c r="E693" s="7" t="s">
        <v>1386</v>
      </c>
      <c r="F693" s="18" t="n">
        <f aca="false">IF('Base de Datos'!AB687="","",'Base de Datos'!AB687)</f>
        <v>710</v>
      </c>
      <c r="G693" s="14"/>
      <c r="H693" s="26"/>
      <c r="I693" s="27" t="str">
        <f aca="false">IF(OR($G693="",$G693=0),"",IFERROR(ROUND($F693*$G693*(1-IF($H693="",0,$H693)),2),""))</f>
        <v/>
      </c>
      <c r="J693" s="7"/>
    </row>
    <row r="694" customFormat="false" ht="21.75" hidden="false" customHeight="true" outlineLevel="0" collapsed="false">
      <c r="B694" s="15" t="n">
        <v>684</v>
      </c>
      <c r="C694" s="9" t="s">
        <v>52</v>
      </c>
      <c r="D694" s="9" t="s">
        <v>70</v>
      </c>
      <c r="E694" s="9" t="s">
        <v>1387</v>
      </c>
      <c r="F694" s="19" t="n">
        <f aca="false">IF('Base de Datos'!AB688="","",'Base de Datos'!AB688)</f>
        <v>950</v>
      </c>
      <c r="G694" s="15"/>
      <c r="H694" s="28"/>
      <c r="I694" s="29" t="str">
        <f aca="false">IF(OR($G694="",$G694=0),"",IFERROR(ROUND($F694*$G694*(1-IF($H694="",0,$H694)),2),""))</f>
        <v/>
      </c>
      <c r="J694" s="9"/>
    </row>
    <row r="695" customFormat="false" ht="21.75" hidden="false" customHeight="true" outlineLevel="0" collapsed="false">
      <c r="B695" s="14" t="n">
        <v>685</v>
      </c>
      <c r="C695" s="7" t="s">
        <v>52</v>
      </c>
      <c r="D695" s="7" t="s">
        <v>70</v>
      </c>
      <c r="E695" s="7" t="s">
        <v>1389</v>
      </c>
      <c r="F695" s="18" t="n">
        <f aca="false">IF('Base de Datos'!AB689="","",'Base de Datos'!AB689)</f>
        <v>1425</v>
      </c>
      <c r="G695" s="14"/>
      <c r="H695" s="26"/>
      <c r="I695" s="27" t="str">
        <f aca="false">IF(OR($G695="",$G695=0),"",IFERROR(ROUND($F695*$G695*(1-IF($H695="",0,$H695)),2),""))</f>
        <v/>
      </c>
      <c r="J695" s="7"/>
    </row>
    <row r="696" customFormat="false" ht="21.75" hidden="false" customHeight="true" outlineLevel="0" collapsed="false">
      <c r="B696" s="15" t="n">
        <v>686</v>
      </c>
      <c r="C696" s="9" t="s">
        <v>52</v>
      </c>
      <c r="D696" s="9" t="s">
        <v>70</v>
      </c>
      <c r="E696" s="9" t="s">
        <v>1390</v>
      </c>
      <c r="F696" s="19" t="n">
        <f aca="false">IF('Base de Datos'!AB690="","",'Base de Datos'!AB690)</f>
        <v>2090</v>
      </c>
      <c r="G696" s="15"/>
      <c r="H696" s="28"/>
      <c r="I696" s="29" t="str">
        <f aca="false">IF(OR($G696="",$G696=0),"",IFERROR(ROUND($F696*$G696*(1-IF($H696="",0,$H696)),2),""))</f>
        <v/>
      </c>
      <c r="J696" s="9"/>
    </row>
    <row r="697" customFormat="false" ht="21.75" hidden="false" customHeight="true" outlineLevel="0" collapsed="false">
      <c r="B697" s="14" t="n">
        <v>687</v>
      </c>
      <c r="C697" s="7" t="s">
        <v>52</v>
      </c>
      <c r="D697" s="7" t="s">
        <v>71</v>
      </c>
      <c r="E697" s="7" t="s">
        <v>1391</v>
      </c>
      <c r="F697" s="18" t="n">
        <f aca="false">IF('Base de Datos'!AB691="","",'Base de Datos'!AB691)</f>
        <v>210</v>
      </c>
      <c r="G697" s="14"/>
      <c r="H697" s="26"/>
      <c r="I697" s="27" t="str">
        <f aca="false">IF(OR($G697="",$G697=0),"",IFERROR(ROUND($F697*$G697*(1-IF($H697="",0,$H697)),2),""))</f>
        <v/>
      </c>
      <c r="J697" s="7"/>
    </row>
    <row r="698" customFormat="false" ht="21.75" hidden="false" customHeight="true" outlineLevel="0" collapsed="false">
      <c r="B698" s="15" t="n">
        <v>688</v>
      </c>
      <c r="C698" s="9" t="s">
        <v>52</v>
      </c>
      <c r="D698" s="9" t="s">
        <v>71</v>
      </c>
      <c r="E698" s="9" t="s">
        <v>1395</v>
      </c>
      <c r="F698" s="19" t="n">
        <f aca="false">IF('Base de Datos'!AB692="","",'Base de Datos'!AB692)</f>
        <v>315</v>
      </c>
      <c r="G698" s="15"/>
      <c r="H698" s="28"/>
      <c r="I698" s="29" t="str">
        <f aca="false">IF(OR($G698="",$G698=0),"",IFERROR(ROUND($F698*$G698*(1-IF($H698="",0,$H698)),2),""))</f>
        <v/>
      </c>
      <c r="J698" s="9"/>
    </row>
    <row r="699" customFormat="false" ht="21.75" hidden="false" customHeight="true" outlineLevel="0" collapsed="false">
      <c r="B699" s="14" t="n">
        <v>689</v>
      </c>
      <c r="C699" s="7" t="s">
        <v>52</v>
      </c>
      <c r="D699" s="7" t="s">
        <v>71</v>
      </c>
      <c r="E699" s="7" t="s">
        <v>1396</v>
      </c>
      <c r="F699" s="18" t="n">
        <f aca="false">IF('Base de Datos'!AB693="","",'Base de Datos'!AB693)</f>
        <v>420</v>
      </c>
      <c r="G699" s="14"/>
      <c r="H699" s="26"/>
      <c r="I699" s="27" t="str">
        <f aca="false">IF(OR($G699="",$G699=0),"",IFERROR(ROUND($F699*$G699*(1-IF($H699="",0,$H699)),2),""))</f>
        <v/>
      </c>
      <c r="J699" s="7"/>
    </row>
    <row r="700" customFormat="false" ht="21.75" hidden="false" customHeight="true" outlineLevel="0" collapsed="false">
      <c r="B700" s="15" t="n">
        <v>690</v>
      </c>
      <c r="C700" s="9" t="s">
        <v>52</v>
      </c>
      <c r="D700" s="9" t="s">
        <v>71</v>
      </c>
      <c r="E700" s="9" t="s">
        <v>1398</v>
      </c>
      <c r="F700" s="19" t="n">
        <f aca="false">IF('Base de Datos'!AB694="","",'Base de Datos'!AB694)</f>
        <v>630</v>
      </c>
      <c r="G700" s="15"/>
      <c r="H700" s="28"/>
      <c r="I700" s="29" t="str">
        <f aca="false">IF(OR($G700="",$G700=0),"",IFERROR(ROUND($F700*$G700*(1-IF($H700="",0,$H700)),2),""))</f>
        <v/>
      </c>
      <c r="J700" s="9"/>
    </row>
    <row r="701" customFormat="false" ht="21.75" hidden="false" customHeight="true" outlineLevel="0" collapsed="false">
      <c r="B701" s="14" t="n">
        <v>691</v>
      </c>
      <c r="C701" s="7" t="s">
        <v>52</v>
      </c>
      <c r="D701" s="7" t="s">
        <v>71</v>
      </c>
      <c r="E701" s="7" t="s">
        <v>1399</v>
      </c>
      <c r="F701" s="18" t="n">
        <f aca="false">IF('Base de Datos'!AB695="","",'Base de Datos'!AB695)</f>
        <v>925</v>
      </c>
      <c r="G701" s="14"/>
      <c r="H701" s="26"/>
      <c r="I701" s="27" t="str">
        <f aca="false">IF(OR($G701="",$G701=0),"",IFERROR(ROUND($F701*$G701*(1-IF($H701="",0,$H701)),2),""))</f>
        <v/>
      </c>
      <c r="J701" s="7"/>
    </row>
    <row r="702" customFormat="false" ht="21.75" hidden="false" customHeight="true" outlineLevel="0" collapsed="false">
      <c r="B702" s="15" t="n">
        <v>692</v>
      </c>
      <c r="C702" s="9" t="s">
        <v>52</v>
      </c>
      <c r="D702" s="9" t="s">
        <v>72</v>
      </c>
      <c r="E702" s="9" t="s">
        <v>1400</v>
      </c>
      <c r="F702" s="19" t="n">
        <f aca="false">IF('Base de Datos'!AB696="","",'Base de Datos'!AB696)</f>
        <v>90</v>
      </c>
      <c r="G702" s="15"/>
      <c r="H702" s="28"/>
      <c r="I702" s="29" t="str">
        <f aca="false">IF(OR($G702="",$G702=0),"",IFERROR(ROUND($F702*$G702*(1-IF($H702="",0,$H702)),2),""))</f>
        <v/>
      </c>
      <c r="J702" s="9"/>
    </row>
    <row r="703" customFormat="false" ht="21.75" hidden="false" customHeight="true" outlineLevel="0" collapsed="false">
      <c r="B703" s="14" t="n">
        <v>693</v>
      </c>
      <c r="C703" s="7" t="s">
        <v>52</v>
      </c>
      <c r="D703" s="7" t="s">
        <v>72</v>
      </c>
      <c r="E703" s="7" t="s">
        <v>1405</v>
      </c>
      <c r="F703" s="18" t="n">
        <f aca="false">IF('Base de Datos'!AB697="","",'Base de Datos'!AB697)</f>
        <v>130</v>
      </c>
      <c r="G703" s="14"/>
      <c r="H703" s="26"/>
      <c r="I703" s="27" t="str">
        <f aca="false">IF(OR($G703="",$G703=0),"",IFERROR(ROUND($F703*$G703*(1-IF($H703="",0,$H703)),2),""))</f>
        <v/>
      </c>
      <c r="J703" s="7"/>
    </row>
    <row r="704" customFormat="false" ht="21.75" hidden="false" customHeight="true" outlineLevel="0" collapsed="false">
      <c r="B704" s="15" t="n">
        <v>694</v>
      </c>
      <c r="C704" s="9" t="s">
        <v>52</v>
      </c>
      <c r="D704" s="9" t="s">
        <v>72</v>
      </c>
      <c r="E704" s="9" t="s">
        <v>1406</v>
      </c>
      <c r="F704" s="19" t="n">
        <f aca="false">IF('Base de Datos'!AB698="","",'Base de Datos'!AB698)</f>
        <v>175</v>
      </c>
      <c r="G704" s="15"/>
      <c r="H704" s="28"/>
      <c r="I704" s="29" t="str">
        <f aca="false">IF(OR($G704="",$G704=0),"",IFERROR(ROUND($F704*$G704*(1-IF($H704="",0,$H704)),2),""))</f>
        <v/>
      </c>
      <c r="J704" s="9"/>
    </row>
    <row r="705" customFormat="false" ht="21.75" hidden="false" customHeight="true" outlineLevel="0" collapsed="false">
      <c r="B705" s="14" t="n">
        <v>695</v>
      </c>
      <c r="C705" s="7" t="s">
        <v>52</v>
      </c>
      <c r="D705" s="7" t="s">
        <v>72</v>
      </c>
      <c r="E705" s="7" t="s">
        <v>1408</v>
      </c>
      <c r="F705" s="18" t="n">
        <f aca="false">IF('Base de Datos'!AB699="","",'Base de Datos'!AB699)</f>
        <v>260</v>
      </c>
      <c r="G705" s="14"/>
      <c r="H705" s="26"/>
      <c r="I705" s="27" t="str">
        <f aca="false">IF(OR($G705="",$G705=0),"",IFERROR(ROUND($F705*$G705*(1-IF($H705="",0,$H705)),2),""))</f>
        <v/>
      </c>
      <c r="J705" s="7"/>
    </row>
    <row r="706" customFormat="false" ht="21.75" hidden="false" customHeight="true" outlineLevel="0" collapsed="false">
      <c r="B706" s="15" t="n">
        <v>696</v>
      </c>
      <c r="C706" s="9" t="s">
        <v>52</v>
      </c>
      <c r="D706" s="9" t="s">
        <v>72</v>
      </c>
      <c r="E706" s="9" t="s">
        <v>1409</v>
      </c>
      <c r="F706" s="19" t="n">
        <f aca="false">IF('Base de Datos'!AB700="","",'Base de Datos'!AB700)</f>
        <v>385</v>
      </c>
      <c r="G706" s="15"/>
      <c r="H706" s="28"/>
      <c r="I706" s="29" t="str">
        <f aca="false">IF(OR($G706="",$G706=0),"",IFERROR(ROUND($F706*$G706*(1-IF($H706="",0,$H706)),2),""))</f>
        <v/>
      </c>
      <c r="J706" s="9"/>
    </row>
    <row r="707" customFormat="false" ht="21.75" hidden="false" customHeight="true" outlineLevel="0" collapsed="false">
      <c r="B707" s="14" t="n">
        <v>697</v>
      </c>
      <c r="C707" s="7" t="s">
        <v>52</v>
      </c>
      <c r="D707" s="7" t="s">
        <v>73</v>
      </c>
      <c r="E707" s="7" t="s">
        <v>1410</v>
      </c>
      <c r="F707" s="18" t="n">
        <f aca="false">IF('Base de Datos'!AB701="","",'Base de Datos'!AB701)</f>
        <v>60</v>
      </c>
      <c r="G707" s="14"/>
      <c r="H707" s="26"/>
      <c r="I707" s="27" t="str">
        <f aca="false">IF(OR($G707="",$G707=0),"",IFERROR(ROUND($F707*$G707*(1-IF($H707="",0,$H707)),2),""))</f>
        <v/>
      </c>
      <c r="J707" s="7"/>
    </row>
    <row r="708" customFormat="false" ht="21.75" hidden="false" customHeight="true" outlineLevel="0" collapsed="false">
      <c r="B708" s="15" t="n">
        <v>698</v>
      </c>
      <c r="C708" s="9" t="s">
        <v>52</v>
      </c>
      <c r="D708" s="9" t="s">
        <v>73</v>
      </c>
      <c r="E708" s="9" t="s">
        <v>1413</v>
      </c>
      <c r="F708" s="19" t="n">
        <f aca="false">IF('Base de Datos'!AB702="","",'Base de Datos'!AB702)</f>
        <v>85</v>
      </c>
      <c r="G708" s="15"/>
      <c r="H708" s="28"/>
      <c r="I708" s="29" t="str">
        <f aca="false">IF(OR($G708="",$G708=0),"",IFERROR(ROUND($F708*$G708*(1-IF($H708="",0,$H708)),2),""))</f>
        <v/>
      </c>
      <c r="J708" s="9"/>
    </row>
    <row r="709" customFormat="false" ht="21.75" hidden="false" customHeight="true" outlineLevel="0" collapsed="false">
      <c r="B709" s="14" t="n">
        <v>699</v>
      </c>
      <c r="C709" s="7" t="s">
        <v>52</v>
      </c>
      <c r="D709" s="7" t="s">
        <v>73</v>
      </c>
      <c r="E709" s="7" t="s">
        <v>1414</v>
      </c>
      <c r="F709" s="18" t="n">
        <f aca="false">IF('Base de Datos'!AB703="","",'Base de Datos'!AB703)</f>
        <v>115</v>
      </c>
      <c r="G709" s="14"/>
      <c r="H709" s="26"/>
      <c r="I709" s="27" t="str">
        <f aca="false">IF(OR($G709="",$G709=0),"",IFERROR(ROUND($F709*$G709*(1-IF($H709="",0,$H709)),2),""))</f>
        <v/>
      </c>
      <c r="J709" s="7"/>
    </row>
    <row r="710" customFormat="false" ht="21.75" hidden="false" customHeight="true" outlineLevel="0" collapsed="false">
      <c r="B710" s="15" t="n">
        <v>700</v>
      </c>
      <c r="C710" s="9" t="s">
        <v>52</v>
      </c>
      <c r="D710" s="9" t="s">
        <v>73</v>
      </c>
      <c r="E710" s="9" t="s">
        <v>1416</v>
      </c>
      <c r="F710" s="19" t="n">
        <f aca="false">IF('Base de Datos'!AB704="","",'Base de Datos'!AB704)</f>
        <v>170</v>
      </c>
      <c r="G710" s="15"/>
      <c r="H710" s="28"/>
      <c r="I710" s="29" t="str">
        <f aca="false">IF(OR($G710="",$G710=0),"",IFERROR(ROUND($F710*$G710*(1-IF($H710="",0,$H710)),2),""))</f>
        <v/>
      </c>
      <c r="J710" s="9"/>
    </row>
    <row r="711" customFormat="false" ht="21.75" hidden="false" customHeight="true" outlineLevel="0" collapsed="false">
      <c r="B711" s="14" t="n">
        <v>701</v>
      </c>
      <c r="C711" s="7" t="s">
        <v>52</v>
      </c>
      <c r="D711" s="7" t="s">
        <v>73</v>
      </c>
      <c r="E711" s="7" t="s">
        <v>1417</v>
      </c>
      <c r="F711" s="18" t="n">
        <f aca="false">IF('Base de Datos'!AB705="","",'Base de Datos'!AB705)</f>
        <v>255</v>
      </c>
      <c r="G711" s="14"/>
      <c r="H711" s="26"/>
      <c r="I711" s="27" t="str">
        <f aca="false">IF(OR($G711="",$G711=0),"",IFERROR(ROUND($F711*$G711*(1-IF($H711="",0,$H711)),2),""))</f>
        <v/>
      </c>
      <c r="J711" s="7"/>
    </row>
    <row r="712" customFormat="false" ht="21.75" hidden="false" customHeight="true" outlineLevel="0" collapsed="false">
      <c r="B712" s="15" t="n">
        <v>702</v>
      </c>
      <c r="C712" s="9" t="s">
        <v>52</v>
      </c>
      <c r="D712" s="9" t="s">
        <v>74</v>
      </c>
      <c r="E712" s="9" t="s">
        <v>1418</v>
      </c>
      <c r="F712" s="19" t="n">
        <f aca="false">IF('Base de Datos'!AB706="","",'Base de Datos'!AB706)</f>
        <v>25</v>
      </c>
      <c r="G712" s="15"/>
      <c r="H712" s="28"/>
      <c r="I712" s="29" t="str">
        <f aca="false">IF(OR($G712="",$G712=0),"",IFERROR(ROUND($F712*$G712*(1-IF($H712="",0,$H712)),2),""))</f>
        <v/>
      </c>
      <c r="J712" s="9"/>
    </row>
    <row r="713" customFormat="false" ht="21.75" hidden="false" customHeight="true" outlineLevel="0" collapsed="false">
      <c r="B713" s="14" t="n">
        <v>703</v>
      </c>
      <c r="C713" s="7" t="s">
        <v>52</v>
      </c>
      <c r="D713" s="7" t="s">
        <v>74</v>
      </c>
      <c r="E713" s="7" t="s">
        <v>1423</v>
      </c>
      <c r="F713" s="18" t="n">
        <f aca="false">IF('Base de Datos'!AB707="","",'Base de Datos'!AB707)</f>
        <v>35</v>
      </c>
      <c r="G713" s="14"/>
      <c r="H713" s="26"/>
      <c r="I713" s="27" t="str">
        <f aca="false">IF(OR($G713="",$G713=0),"",IFERROR(ROUND($F713*$G713*(1-IF($H713="",0,$H713)),2),""))</f>
        <v/>
      </c>
      <c r="J713" s="7"/>
    </row>
    <row r="714" customFormat="false" ht="21.75" hidden="false" customHeight="true" outlineLevel="0" collapsed="false">
      <c r="B714" s="15" t="n">
        <v>704</v>
      </c>
      <c r="C714" s="9" t="s">
        <v>52</v>
      </c>
      <c r="D714" s="9" t="s">
        <v>74</v>
      </c>
      <c r="E714" s="9" t="s">
        <v>1424</v>
      </c>
      <c r="F714" s="19" t="n">
        <f aca="false">IF('Base de Datos'!AB708="","",'Base de Datos'!AB708)</f>
        <v>45</v>
      </c>
      <c r="G714" s="15"/>
      <c r="H714" s="28"/>
      <c r="I714" s="29" t="str">
        <f aca="false">IF(OR($G714="",$G714=0),"",IFERROR(ROUND($F714*$G714*(1-IF($H714="",0,$H714)),2),""))</f>
        <v/>
      </c>
      <c r="J714" s="9"/>
    </row>
    <row r="715" customFormat="false" ht="21.75" hidden="false" customHeight="true" outlineLevel="0" collapsed="false">
      <c r="B715" s="14" t="n">
        <v>705</v>
      </c>
      <c r="C715" s="7" t="s">
        <v>52</v>
      </c>
      <c r="D715" s="7" t="s">
        <v>74</v>
      </c>
      <c r="E715" s="7" t="s">
        <v>1426</v>
      </c>
      <c r="F715" s="18" t="n">
        <f aca="false">IF('Base de Datos'!AB709="","",'Base de Datos'!AB709)</f>
        <v>70</v>
      </c>
      <c r="G715" s="14"/>
      <c r="H715" s="26"/>
      <c r="I715" s="27" t="str">
        <f aca="false">IF(OR($G715="",$G715=0),"",IFERROR(ROUND($F715*$G715*(1-IF($H715="",0,$H715)),2),""))</f>
        <v/>
      </c>
      <c r="J715" s="7"/>
    </row>
    <row r="716" customFormat="false" ht="21.75" hidden="false" customHeight="true" outlineLevel="0" collapsed="false">
      <c r="B716" s="15" t="n">
        <v>706</v>
      </c>
      <c r="C716" s="9" t="s">
        <v>52</v>
      </c>
      <c r="D716" s="9" t="s">
        <v>74</v>
      </c>
      <c r="E716" s="9" t="s">
        <v>1427</v>
      </c>
      <c r="F716" s="19" t="n">
        <f aca="false">IF('Base de Datos'!AB710="","",'Base de Datos'!AB710)</f>
        <v>100</v>
      </c>
      <c r="G716" s="15"/>
      <c r="H716" s="28"/>
      <c r="I716" s="29" t="str">
        <f aca="false">IF(OR($G716="",$G716=0),"",IFERROR(ROUND($F716*$G716*(1-IF($H716="",0,$H716)),2),""))</f>
        <v/>
      </c>
      <c r="J716" s="9"/>
    </row>
    <row r="717" customFormat="false" ht="21.75" hidden="false" customHeight="true" outlineLevel="0" collapsed="false">
      <c r="B717" s="14" t="n">
        <v>707</v>
      </c>
      <c r="C717" s="7" t="s">
        <v>53</v>
      </c>
      <c r="D717" s="7" t="s">
        <v>61</v>
      </c>
      <c r="E717" s="7" t="s">
        <v>1428</v>
      </c>
      <c r="F717" s="18" t="n">
        <f aca="false">IF('Base de Datos'!AB711="","",'Base de Datos'!AB711)</f>
        <v>50</v>
      </c>
      <c r="G717" s="14"/>
      <c r="H717" s="26"/>
      <c r="I717" s="27" t="str">
        <f aca="false">IF(OR($G717="",$G717=0),"",IFERROR(ROUND($F717*$G717*(1-IF($H717="",0,$H717)),2),""))</f>
        <v/>
      </c>
      <c r="J717" s="7"/>
    </row>
    <row r="718" customFormat="false" ht="21.75" hidden="false" customHeight="true" outlineLevel="0" collapsed="false">
      <c r="B718" s="15" t="n">
        <v>708</v>
      </c>
      <c r="C718" s="9" t="s">
        <v>53</v>
      </c>
      <c r="D718" s="9" t="s">
        <v>61</v>
      </c>
      <c r="E718" s="9" t="s">
        <v>1432</v>
      </c>
      <c r="F718" s="19" t="n">
        <f aca="false">IF('Base de Datos'!AB712="","",'Base de Datos'!AB712)</f>
        <v>70</v>
      </c>
      <c r="G718" s="15"/>
      <c r="H718" s="28"/>
      <c r="I718" s="29" t="str">
        <f aca="false">IF(OR($G718="",$G718=0),"",IFERROR(ROUND($F718*$G718*(1-IF($H718="",0,$H718)),2),""))</f>
        <v/>
      </c>
      <c r="J718" s="9"/>
    </row>
    <row r="719" customFormat="false" ht="21.75" hidden="false" customHeight="true" outlineLevel="0" collapsed="false">
      <c r="B719" s="14" t="n">
        <v>709</v>
      </c>
      <c r="C719" s="7" t="s">
        <v>53</v>
      </c>
      <c r="D719" s="7" t="s">
        <v>61</v>
      </c>
      <c r="E719" s="7" t="s">
        <v>1433</v>
      </c>
      <c r="F719" s="18" t="n">
        <f aca="false">IF('Base de Datos'!AB713="","",'Base de Datos'!AB713)</f>
        <v>95</v>
      </c>
      <c r="G719" s="14"/>
      <c r="H719" s="26"/>
      <c r="I719" s="27" t="str">
        <f aca="false">IF(OR($G719="",$G719=0),"",IFERROR(ROUND($F719*$G719*(1-IF($H719="",0,$H719)),2),""))</f>
        <v/>
      </c>
      <c r="J719" s="7"/>
    </row>
    <row r="720" customFormat="false" ht="21.75" hidden="false" customHeight="true" outlineLevel="0" collapsed="false">
      <c r="B720" s="15" t="n">
        <v>710</v>
      </c>
      <c r="C720" s="9" t="s">
        <v>53</v>
      </c>
      <c r="D720" s="9" t="s">
        <v>61</v>
      </c>
      <c r="E720" s="9" t="s">
        <v>1435</v>
      </c>
      <c r="F720" s="19" t="n">
        <f aca="false">IF('Base de Datos'!AB714="","",'Base de Datos'!AB714)</f>
        <v>140</v>
      </c>
      <c r="G720" s="15"/>
      <c r="H720" s="28"/>
      <c r="I720" s="29" t="str">
        <f aca="false">IF(OR($G720="",$G720=0),"",IFERROR(ROUND($F720*$G720*(1-IF($H720="",0,$H720)),2),""))</f>
        <v/>
      </c>
      <c r="J720" s="9"/>
    </row>
    <row r="721" customFormat="false" ht="21.75" hidden="false" customHeight="true" outlineLevel="0" collapsed="false">
      <c r="B721" s="14" t="n">
        <v>711</v>
      </c>
      <c r="C721" s="7" t="s">
        <v>53</v>
      </c>
      <c r="D721" s="7" t="s">
        <v>61</v>
      </c>
      <c r="E721" s="7" t="s">
        <v>1436</v>
      </c>
      <c r="F721" s="18" t="n">
        <f aca="false">IF('Base de Datos'!AB715="","",'Base de Datos'!AB715)</f>
        <v>210</v>
      </c>
      <c r="G721" s="14"/>
      <c r="H721" s="26"/>
      <c r="I721" s="27" t="str">
        <f aca="false">IF(OR($G721="",$G721=0),"",IFERROR(ROUND($F721*$G721*(1-IF($H721="",0,$H721)),2),""))</f>
        <v/>
      </c>
      <c r="J721" s="7"/>
    </row>
    <row r="722" customFormat="false" ht="21.75" hidden="false" customHeight="true" outlineLevel="0" collapsed="false">
      <c r="B722" s="15" t="n">
        <v>712</v>
      </c>
      <c r="C722" s="9" t="s">
        <v>53</v>
      </c>
      <c r="D722" s="9" t="s">
        <v>62</v>
      </c>
      <c r="E722" s="9" t="s">
        <v>1437</v>
      </c>
      <c r="F722" s="19" t="n">
        <f aca="false">IF('Base de Datos'!AB716="","",'Base de Datos'!AB716)</f>
        <v>65</v>
      </c>
      <c r="G722" s="15"/>
      <c r="H722" s="28"/>
      <c r="I722" s="29" t="str">
        <f aca="false">IF(OR($G722="",$G722=0),"",IFERROR(ROUND($F722*$G722*(1-IF($H722="",0,$H722)),2),""))</f>
        <v/>
      </c>
      <c r="J722" s="9"/>
    </row>
    <row r="723" customFormat="false" ht="21.75" hidden="false" customHeight="true" outlineLevel="0" collapsed="false">
      <c r="B723" s="14" t="n">
        <v>713</v>
      </c>
      <c r="C723" s="7" t="s">
        <v>53</v>
      </c>
      <c r="D723" s="7" t="s">
        <v>62</v>
      </c>
      <c r="E723" s="7" t="s">
        <v>1440</v>
      </c>
      <c r="F723" s="18" t="n">
        <f aca="false">IF('Base de Datos'!AB717="","",'Base de Datos'!AB717)</f>
        <v>100</v>
      </c>
      <c r="G723" s="14"/>
      <c r="H723" s="26"/>
      <c r="I723" s="27" t="str">
        <f aca="false">IF(OR($G723="",$G723=0),"",IFERROR(ROUND($F723*$G723*(1-IF($H723="",0,$H723)),2),""))</f>
        <v/>
      </c>
      <c r="J723" s="7"/>
    </row>
    <row r="724" customFormat="false" ht="21.75" hidden="false" customHeight="true" outlineLevel="0" collapsed="false">
      <c r="B724" s="15" t="n">
        <v>714</v>
      </c>
      <c r="C724" s="9" t="s">
        <v>53</v>
      </c>
      <c r="D724" s="9" t="s">
        <v>62</v>
      </c>
      <c r="E724" s="9" t="s">
        <v>1441</v>
      </c>
      <c r="F724" s="19" t="n">
        <f aca="false">IF('Base de Datos'!AB718="","",'Base de Datos'!AB718)</f>
        <v>130</v>
      </c>
      <c r="G724" s="15"/>
      <c r="H724" s="28"/>
      <c r="I724" s="29" t="str">
        <f aca="false">IF(OR($G724="",$G724=0),"",IFERROR(ROUND($F724*$G724*(1-IF($H724="",0,$H724)),2),""))</f>
        <v/>
      </c>
      <c r="J724" s="9"/>
    </row>
    <row r="725" customFormat="false" ht="21.75" hidden="false" customHeight="true" outlineLevel="0" collapsed="false">
      <c r="B725" s="14" t="n">
        <v>715</v>
      </c>
      <c r="C725" s="7" t="s">
        <v>53</v>
      </c>
      <c r="D725" s="7" t="s">
        <v>62</v>
      </c>
      <c r="E725" s="7" t="s">
        <v>1442</v>
      </c>
      <c r="F725" s="18" t="n">
        <f aca="false">IF('Base de Datos'!AB719="","",'Base de Datos'!AB719)</f>
        <v>195</v>
      </c>
      <c r="G725" s="14"/>
      <c r="H725" s="26"/>
      <c r="I725" s="27" t="str">
        <f aca="false">IF(OR($G725="",$G725=0),"",IFERROR(ROUND($F725*$G725*(1-IF($H725="",0,$H725)),2),""))</f>
        <v/>
      </c>
      <c r="J725" s="7"/>
    </row>
    <row r="726" customFormat="false" ht="21.75" hidden="false" customHeight="true" outlineLevel="0" collapsed="false">
      <c r="B726" s="15" t="n">
        <v>716</v>
      </c>
      <c r="C726" s="9" t="s">
        <v>53</v>
      </c>
      <c r="D726" s="9" t="s">
        <v>62</v>
      </c>
      <c r="E726" s="9" t="s">
        <v>1443</v>
      </c>
      <c r="F726" s="19" t="n">
        <f aca="false">IF('Base de Datos'!AB720="","",'Base de Datos'!AB720)</f>
        <v>285</v>
      </c>
      <c r="G726" s="15"/>
      <c r="H726" s="28"/>
      <c r="I726" s="29" t="str">
        <f aca="false">IF(OR($G726="",$G726=0),"",IFERROR(ROUND($F726*$G726*(1-IF($H726="",0,$H726)),2),""))</f>
        <v/>
      </c>
      <c r="J726" s="9"/>
    </row>
    <row r="727" customFormat="false" ht="21.75" hidden="false" customHeight="true" outlineLevel="0" collapsed="false">
      <c r="B727" s="14" t="n">
        <v>717</v>
      </c>
      <c r="C727" s="7" t="s">
        <v>53</v>
      </c>
      <c r="D727" s="7" t="s">
        <v>63</v>
      </c>
      <c r="E727" s="7" t="s">
        <v>1444</v>
      </c>
      <c r="F727" s="18" t="n">
        <f aca="false">IF('Base de Datos'!AB721="","",'Base de Datos'!AB721)</f>
        <v>60</v>
      </c>
      <c r="G727" s="14"/>
      <c r="H727" s="26"/>
      <c r="I727" s="27" t="str">
        <f aca="false">IF(OR($G727="",$G727=0),"",IFERROR(ROUND($F727*$G727*(1-IF($H727="",0,$H727)),2),""))</f>
        <v/>
      </c>
      <c r="J727" s="7"/>
    </row>
    <row r="728" customFormat="false" ht="21.75" hidden="false" customHeight="true" outlineLevel="0" collapsed="false">
      <c r="B728" s="15" t="n">
        <v>718</v>
      </c>
      <c r="C728" s="9" t="s">
        <v>53</v>
      </c>
      <c r="D728" s="9" t="s">
        <v>63</v>
      </c>
      <c r="E728" s="9" t="s">
        <v>1447</v>
      </c>
      <c r="F728" s="19" t="n">
        <f aca="false">IF('Base de Datos'!AB722="","",'Base de Datos'!AB722)</f>
        <v>85</v>
      </c>
      <c r="G728" s="15"/>
      <c r="H728" s="28"/>
      <c r="I728" s="29" t="str">
        <f aca="false">IF(OR($G728="",$G728=0),"",IFERROR(ROUND($F728*$G728*(1-IF($H728="",0,$H728)),2),""))</f>
        <v/>
      </c>
      <c r="J728" s="9"/>
    </row>
    <row r="729" customFormat="false" ht="21.75" hidden="false" customHeight="true" outlineLevel="0" collapsed="false">
      <c r="B729" s="14" t="n">
        <v>719</v>
      </c>
      <c r="C729" s="7" t="s">
        <v>53</v>
      </c>
      <c r="D729" s="7" t="s">
        <v>63</v>
      </c>
      <c r="E729" s="7" t="s">
        <v>1448</v>
      </c>
      <c r="F729" s="18" t="n">
        <f aca="false">IF('Base de Datos'!AB723="","",'Base de Datos'!AB723)</f>
        <v>115</v>
      </c>
      <c r="G729" s="14"/>
      <c r="H729" s="26"/>
      <c r="I729" s="27" t="str">
        <f aca="false">IF(OR($G729="",$G729=0),"",IFERROR(ROUND($F729*$G729*(1-IF($H729="",0,$H729)),2),""))</f>
        <v/>
      </c>
      <c r="J729" s="7"/>
    </row>
    <row r="730" customFormat="false" ht="21.75" hidden="false" customHeight="true" outlineLevel="0" collapsed="false">
      <c r="B730" s="15" t="n">
        <v>720</v>
      </c>
      <c r="C730" s="9" t="s">
        <v>53</v>
      </c>
      <c r="D730" s="9" t="s">
        <v>63</v>
      </c>
      <c r="E730" s="9" t="s">
        <v>1450</v>
      </c>
      <c r="F730" s="19" t="n">
        <f aca="false">IF('Base de Datos'!AB724="","",'Base de Datos'!AB724)</f>
        <v>170</v>
      </c>
      <c r="G730" s="15"/>
      <c r="H730" s="28"/>
      <c r="I730" s="29" t="str">
        <f aca="false">IF(OR($G730="",$G730=0),"",IFERROR(ROUND($F730*$G730*(1-IF($H730="",0,$H730)),2),""))</f>
        <v/>
      </c>
      <c r="J730" s="9"/>
    </row>
    <row r="731" customFormat="false" ht="21.75" hidden="false" customHeight="true" outlineLevel="0" collapsed="false">
      <c r="B731" s="14" t="n">
        <v>721</v>
      </c>
      <c r="C731" s="7" t="s">
        <v>53</v>
      </c>
      <c r="D731" s="7" t="s">
        <v>63</v>
      </c>
      <c r="E731" s="7" t="s">
        <v>1451</v>
      </c>
      <c r="F731" s="18" t="n">
        <f aca="false">IF('Base de Datos'!AB725="","",'Base de Datos'!AB725)</f>
        <v>255</v>
      </c>
      <c r="G731" s="14"/>
      <c r="H731" s="26"/>
      <c r="I731" s="27" t="str">
        <f aca="false">IF(OR($G731="",$G731=0),"",IFERROR(ROUND($F731*$G731*(1-IF($H731="",0,$H731)),2),""))</f>
        <v/>
      </c>
      <c r="J731" s="7"/>
    </row>
    <row r="732" customFormat="false" ht="21.75" hidden="false" customHeight="true" outlineLevel="0" collapsed="false">
      <c r="B732" s="15" t="n">
        <v>722</v>
      </c>
      <c r="C732" s="9" t="s">
        <v>53</v>
      </c>
      <c r="D732" s="9" t="s">
        <v>64</v>
      </c>
      <c r="E732" s="9" t="s">
        <v>1452</v>
      </c>
      <c r="F732" s="19" t="n">
        <f aca="false">IF('Base de Datos'!AB726="","",'Base de Datos'!AB726)</f>
        <v>190</v>
      </c>
      <c r="G732" s="15"/>
      <c r="H732" s="28"/>
      <c r="I732" s="29" t="str">
        <f aca="false">IF(OR($G732="",$G732=0),"",IFERROR(ROUND($F732*$G732*(1-IF($H732="",0,$H732)),2),""))</f>
        <v/>
      </c>
      <c r="J732" s="9"/>
    </row>
    <row r="733" customFormat="false" ht="21.75" hidden="false" customHeight="true" outlineLevel="0" collapsed="false">
      <c r="B733" s="14" t="n">
        <v>723</v>
      </c>
      <c r="C733" s="7" t="s">
        <v>53</v>
      </c>
      <c r="D733" s="7" t="s">
        <v>64</v>
      </c>
      <c r="E733" s="7" t="s">
        <v>1454</v>
      </c>
      <c r="F733" s="18" t="n">
        <f aca="false">IF('Base de Datos'!AB727="","",'Base de Datos'!AB727)</f>
        <v>285</v>
      </c>
      <c r="G733" s="14"/>
      <c r="H733" s="26"/>
      <c r="I733" s="27" t="str">
        <f aca="false">IF(OR($G733="",$G733=0),"",IFERROR(ROUND($F733*$G733*(1-IF($H733="",0,$H733)),2),""))</f>
        <v/>
      </c>
      <c r="J733" s="7"/>
    </row>
    <row r="734" customFormat="false" ht="21.75" hidden="false" customHeight="true" outlineLevel="0" collapsed="false">
      <c r="B734" s="15" t="n">
        <v>724</v>
      </c>
      <c r="C734" s="9" t="s">
        <v>53</v>
      </c>
      <c r="D734" s="9" t="s">
        <v>64</v>
      </c>
      <c r="E734" s="9" t="s">
        <v>1455</v>
      </c>
      <c r="F734" s="19" t="n">
        <f aca="false">IF('Base de Datos'!AB728="","",'Base de Datos'!AB728)</f>
        <v>380</v>
      </c>
      <c r="G734" s="15"/>
      <c r="H734" s="28"/>
      <c r="I734" s="29" t="str">
        <f aca="false">IF(OR($G734="",$G734=0),"",IFERROR(ROUND($F734*$G734*(1-IF($H734="",0,$H734)),2),""))</f>
        <v/>
      </c>
      <c r="J734" s="9"/>
    </row>
    <row r="735" customFormat="false" ht="21.75" hidden="false" customHeight="true" outlineLevel="0" collapsed="false">
      <c r="B735" s="14" t="n">
        <v>725</v>
      </c>
      <c r="C735" s="7" t="s">
        <v>53</v>
      </c>
      <c r="D735" s="7" t="s">
        <v>64</v>
      </c>
      <c r="E735" s="7" t="s">
        <v>1457</v>
      </c>
      <c r="F735" s="18" t="n">
        <f aca="false">IF('Base de Datos'!AB729="","",'Base de Datos'!AB729)</f>
        <v>570</v>
      </c>
      <c r="G735" s="14"/>
      <c r="H735" s="26"/>
      <c r="I735" s="27" t="str">
        <f aca="false">IF(OR($G735="",$G735=0),"",IFERROR(ROUND($F735*$G735*(1-IF($H735="",0,$H735)),2),""))</f>
        <v/>
      </c>
      <c r="J735" s="7"/>
    </row>
    <row r="736" customFormat="false" ht="21.75" hidden="false" customHeight="true" outlineLevel="0" collapsed="false">
      <c r="B736" s="15" t="n">
        <v>726</v>
      </c>
      <c r="C736" s="9" t="s">
        <v>53</v>
      </c>
      <c r="D736" s="9" t="s">
        <v>64</v>
      </c>
      <c r="E736" s="9" t="s">
        <v>1458</v>
      </c>
      <c r="F736" s="19" t="n">
        <f aca="false">IF('Base de Datos'!AB730="","",'Base de Datos'!AB730)</f>
        <v>835</v>
      </c>
      <c r="G736" s="15"/>
      <c r="H736" s="28"/>
      <c r="I736" s="29" t="str">
        <f aca="false">IF(OR($G736="",$G736=0),"",IFERROR(ROUND($F736*$G736*(1-IF($H736="",0,$H736)),2),""))</f>
        <v/>
      </c>
      <c r="J736" s="9"/>
    </row>
    <row r="737" customFormat="false" ht="21.75" hidden="false" customHeight="true" outlineLevel="0" collapsed="false">
      <c r="B737" s="14" t="n">
        <v>727</v>
      </c>
      <c r="C737" s="7" t="s">
        <v>53</v>
      </c>
      <c r="D737" s="7" t="s">
        <v>65</v>
      </c>
      <c r="E737" s="7" t="s">
        <v>1459</v>
      </c>
      <c r="F737" s="18" t="n">
        <f aca="false">IF('Base de Datos'!AB731="","",'Base de Datos'!AB731)</f>
        <v>125</v>
      </c>
      <c r="G737" s="14"/>
      <c r="H737" s="26"/>
      <c r="I737" s="27" t="str">
        <f aca="false">IF(OR($G737="",$G737=0),"",IFERROR(ROUND($F737*$G737*(1-IF($H737="",0,$H737)),2),""))</f>
        <v/>
      </c>
      <c r="J737" s="7"/>
    </row>
    <row r="738" customFormat="false" ht="21.75" hidden="false" customHeight="true" outlineLevel="0" collapsed="false">
      <c r="B738" s="15" t="n">
        <v>728</v>
      </c>
      <c r="C738" s="9" t="s">
        <v>53</v>
      </c>
      <c r="D738" s="9" t="s">
        <v>65</v>
      </c>
      <c r="E738" s="9" t="s">
        <v>1462</v>
      </c>
      <c r="F738" s="19" t="n">
        <f aca="false">IF('Base de Datos'!AB732="","",'Base de Datos'!AB732)</f>
        <v>190</v>
      </c>
      <c r="G738" s="15"/>
      <c r="H738" s="28"/>
      <c r="I738" s="29" t="str">
        <f aca="false">IF(OR($G738="",$G738=0),"",IFERROR(ROUND($F738*$G738*(1-IF($H738="",0,$H738)),2),""))</f>
        <v/>
      </c>
      <c r="J738" s="9"/>
    </row>
    <row r="739" customFormat="false" ht="21.75" hidden="false" customHeight="true" outlineLevel="0" collapsed="false">
      <c r="B739" s="14" t="n">
        <v>729</v>
      </c>
      <c r="C739" s="7" t="s">
        <v>53</v>
      </c>
      <c r="D739" s="7" t="s">
        <v>65</v>
      </c>
      <c r="E739" s="7" t="s">
        <v>1463</v>
      </c>
      <c r="F739" s="18" t="n">
        <f aca="false">IF('Base de Datos'!AB733="","",'Base de Datos'!AB733)</f>
        <v>250</v>
      </c>
      <c r="G739" s="14"/>
      <c r="H739" s="26"/>
      <c r="I739" s="27" t="str">
        <f aca="false">IF(OR($G739="",$G739=0),"",IFERROR(ROUND($F739*$G739*(1-IF($H739="",0,$H739)),2),""))</f>
        <v/>
      </c>
      <c r="J739" s="7"/>
    </row>
    <row r="740" customFormat="false" ht="21.75" hidden="false" customHeight="true" outlineLevel="0" collapsed="false">
      <c r="B740" s="15" t="n">
        <v>730</v>
      </c>
      <c r="C740" s="9" t="s">
        <v>53</v>
      </c>
      <c r="D740" s="9" t="s">
        <v>65</v>
      </c>
      <c r="E740" s="9" t="s">
        <v>1465</v>
      </c>
      <c r="F740" s="19" t="n">
        <f aca="false">IF('Base de Datos'!AB734="","",'Base de Datos'!AB734)</f>
        <v>375</v>
      </c>
      <c r="G740" s="15"/>
      <c r="H740" s="28"/>
      <c r="I740" s="29" t="str">
        <f aca="false">IF(OR($G740="",$G740=0),"",IFERROR(ROUND($F740*$G740*(1-IF($H740="",0,$H740)),2),""))</f>
        <v/>
      </c>
      <c r="J740" s="9"/>
    </row>
    <row r="741" customFormat="false" ht="21.75" hidden="false" customHeight="true" outlineLevel="0" collapsed="false">
      <c r="B741" s="14" t="n">
        <v>731</v>
      </c>
      <c r="C741" s="7" t="s">
        <v>53</v>
      </c>
      <c r="D741" s="7" t="s">
        <v>65</v>
      </c>
      <c r="E741" s="7" t="s">
        <v>1466</v>
      </c>
      <c r="F741" s="18" t="n">
        <f aca="false">IF('Base de Datos'!AB735="","",'Base de Datos'!AB735)</f>
        <v>550</v>
      </c>
      <c r="G741" s="14"/>
      <c r="H741" s="26"/>
      <c r="I741" s="27" t="str">
        <f aca="false">IF(OR($G741="",$G741=0),"",IFERROR(ROUND($F741*$G741*(1-IF($H741="",0,$H741)),2),""))</f>
        <v/>
      </c>
      <c r="J741" s="7"/>
    </row>
    <row r="742" customFormat="false" ht="21.75" hidden="false" customHeight="true" outlineLevel="0" collapsed="false">
      <c r="B742" s="15" t="n">
        <v>732</v>
      </c>
      <c r="C742" s="9" t="s">
        <v>53</v>
      </c>
      <c r="D742" s="9" t="s">
        <v>66</v>
      </c>
      <c r="E742" s="9" t="s">
        <v>321</v>
      </c>
      <c r="F742" s="19" t="str">
        <f aca="false">IF('Base de Datos'!AB736="","",'Base de Datos'!AB736)</f>
        <v/>
      </c>
      <c r="G742" s="15"/>
      <c r="H742" s="28"/>
      <c r="I742" s="29" t="str">
        <f aca="false">IF(OR($G742="",$G742=0),"",IFERROR(ROUND($F742*$G742*(1-IF($H742="",0,$H742)),2),""))</f>
        <v/>
      </c>
      <c r="J742" s="9"/>
    </row>
    <row r="743" customFormat="false" ht="21.75" hidden="false" customHeight="true" outlineLevel="0" collapsed="false">
      <c r="B743" s="14" t="n">
        <v>733</v>
      </c>
      <c r="C743" s="7" t="s">
        <v>53</v>
      </c>
      <c r="D743" s="7" t="s">
        <v>67</v>
      </c>
      <c r="E743" s="7" t="s">
        <v>1468</v>
      </c>
      <c r="F743" s="18" t="n">
        <f aca="false">IF('Base de Datos'!AB737="","",'Base de Datos'!AB737)</f>
        <v>80</v>
      </c>
      <c r="G743" s="14"/>
      <c r="H743" s="26"/>
      <c r="I743" s="27" t="str">
        <f aca="false">IF(OR($G743="",$G743=0),"",IFERROR(ROUND($F743*$G743*(1-IF($H743="",0,$H743)),2),""))</f>
        <v/>
      </c>
      <c r="J743" s="7"/>
    </row>
    <row r="744" customFormat="false" ht="21.75" hidden="false" customHeight="true" outlineLevel="0" collapsed="false">
      <c r="B744" s="15" t="n">
        <v>734</v>
      </c>
      <c r="C744" s="9" t="s">
        <v>53</v>
      </c>
      <c r="D744" s="9" t="s">
        <v>67</v>
      </c>
      <c r="E744" s="9" t="s">
        <v>1470</v>
      </c>
      <c r="F744" s="19" t="n">
        <f aca="false">IF('Base de Datos'!AB738="","",'Base de Datos'!AB738)</f>
        <v>120</v>
      </c>
      <c r="G744" s="15"/>
      <c r="H744" s="28"/>
      <c r="I744" s="29" t="str">
        <f aca="false">IF(OR($G744="",$G744=0),"",IFERROR(ROUND($F744*$G744*(1-IF($H744="",0,$H744)),2),""))</f>
        <v/>
      </c>
      <c r="J744" s="9"/>
    </row>
    <row r="745" customFormat="false" ht="21.75" hidden="false" customHeight="true" outlineLevel="0" collapsed="false">
      <c r="B745" s="14" t="n">
        <v>735</v>
      </c>
      <c r="C745" s="7" t="s">
        <v>53</v>
      </c>
      <c r="D745" s="7" t="s">
        <v>67</v>
      </c>
      <c r="E745" s="7" t="s">
        <v>1471</v>
      </c>
      <c r="F745" s="18" t="n">
        <f aca="false">IF('Base de Datos'!AB739="","",'Base de Datos'!AB739)</f>
        <v>160</v>
      </c>
      <c r="G745" s="14"/>
      <c r="H745" s="26"/>
      <c r="I745" s="27" t="str">
        <f aca="false">IF(OR($G745="",$G745=0),"",IFERROR(ROUND($F745*$G745*(1-IF($H745="",0,$H745)),2),""))</f>
        <v/>
      </c>
      <c r="J745" s="7"/>
    </row>
    <row r="746" customFormat="false" ht="21.75" hidden="false" customHeight="true" outlineLevel="0" collapsed="false">
      <c r="B746" s="15" t="n">
        <v>736</v>
      </c>
      <c r="C746" s="9" t="s">
        <v>53</v>
      </c>
      <c r="D746" s="9" t="s">
        <v>67</v>
      </c>
      <c r="E746" s="9" t="s">
        <v>1472</v>
      </c>
      <c r="F746" s="19" t="n">
        <f aca="false">IF('Base de Datos'!AB740="","",'Base de Datos'!AB740)</f>
        <v>240</v>
      </c>
      <c r="G746" s="15"/>
      <c r="H746" s="28"/>
      <c r="I746" s="29" t="str">
        <f aca="false">IF(OR($G746="",$G746=0),"",IFERROR(ROUND($F746*$G746*(1-IF($H746="",0,$H746)),2),""))</f>
        <v/>
      </c>
      <c r="J746" s="9"/>
    </row>
    <row r="747" customFormat="false" ht="21.75" hidden="false" customHeight="true" outlineLevel="0" collapsed="false">
      <c r="B747" s="14" t="n">
        <v>737</v>
      </c>
      <c r="C747" s="7" t="s">
        <v>53</v>
      </c>
      <c r="D747" s="7" t="s">
        <v>67</v>
      </c>
      <c r="E747" s="7" t="s">
        <v>1473</v>
      </c>
      <c r="F747" s="18" t="n">
        <f aca="false">IF('Base de Datos'!AB741="","",'Base de Datos'!AB741)</f>
        <v>350</v>
      </c>
      <c r="G747" s="14"/>
      <c r="H747" s="26"/>
      <c r="I747" s="27" t="str">
        <f aca="false">IF(OR($G747="",$G747=0),"",IFERROR(ROUND($F747*$G747*(1-IF($H747="",0,$H747)),2),""))</f>
        <v/>
      </c>
      <c r="J747" s="7"/>
    </row>
    <row r="748" customFormat="false" ht="21.75" hidden="false" customHeight="true" outlineLevel="0" collapsed="false">
      <c r="B748" s="15" t="n">
        <v>738</v>
      </c>
      <c r="C748" s="9" t="s">
        <v>53</v>
      </c>
      <c r="D748" s="9" t="s">
        <v>68</v>
      </c>
      <c r="E748" s="9" t="s">
        <v>321</v>
      </c>
      <c r="F748" s="19" t="str">
        <f aca="false">IF('Base de Datos'!AB742="","",'Base de Datos'!AB742)</f>
        <v/>
      </c>
      <c r="G748" s="15"/>
      <c r="H748" s="28"/>
      <c r="I748" s="29" t="str">
        <f aca="false">IF(OR($G748="",$G748=0),"",IFERROR(ROUND($F748*$G748*(1-IF($H748="",0,$H748)),2),""))</f>
        <v/>
      </c>
      <c r="J748" s="9"/>
    </row>
    <row r="749" customFormat="false" ht="21.75" hidden="false" customHeight="true" outlineLevel="0" collapsed="false">
      <c r="B749" s="14" t="n">
        <v>739</v>
      </c>
      <c r="C749" s="7" t="s">
        <v>53</v>
      </c>
      <c r="D749" s="7" t="s">
        <v>69</v>
      </c>
      <c r="E749" s="7" t="s">
        <v>321</v>
      </c>
      <c r="F749" s="18" t="str">
        <f aca="false">IF('Base de Datos'!AB743="","",'Base de Datos'!AB743)</f>
        <v/>
      </c>
      <c r="G749" s="14"/>
      <c r="H749" s="26"/>
      <c r="I749" s="27" t="str">
        <f aca="false">IF(OR($G749="",$G749=0),"",IFERROR(ROUND($F749*$G749*(1-IF($H749="",0,$H749)),2),""))</f>
        <v/>
      </c>
      <c r="J749" s="7"/>
    </row>
    <row r="750" customFormat="false" ht="21.75" hidden="false" customHeight="true" outlineLevel="0" collapsed="false">
      <c r="B750" s="15" t="n">
        <v>740</v>
      </c>
      <c r="C750" s="9" t="s">
        <v>53</v>
      </c>
      <c r="D750" s="9" t="s">
        <v>70</v>
      </c>
      <c r="E750" s="9" t="s">
        <v>321</v>
      </c>
      <c r="F750" s="19" t="str">
        <f aca="false">IF('Base de Datos'!AB744="","",'Base de Datos'!AB744)</f>
        <v/>
      </c>
      <c r="G750" s="15"/>
      <c r="H750" s="28"/>
      <c r="I750" s="29" t="str">
        <f aca="false">IF(OR($G750="",$G750=0),"",IFERROR(ROUND($F750*$G750*(1-IF($H750="",0,$H750)),2),""))</f>
        <v/>
      </c>
      <c r="J750" s="9"/>
    </row>
    <row r="751" customFormat="false" ht="21.75" hidden="false" customHeight="true" outlineLevel="0" collapsed="false">
      <c r="B751" s="14" t="n">
        <v>741</v>
      </c>
      <c r="C751" s="7" t="s">
        <v>53</v>
      </c>
      <c r="D751" s="7" t="s">
        <v>71</v>
      </c>
      <c r="E751" s="7" t="s">
        <v>1477</v>
      </c>
      <c r="F751" s="18" t="n">
        <f aca="false">IF('Base de Datos'!AB745="","",'Base de Datos'!AB745)</f>
        <v>210</v>
      </c>
      <c r="G751" s="14"/>
      <c r="H751" s="26"/>
      <c r="I751" s="27" t="str">
        <f aca="false">IF(OR($G751="",$G751=0),"",IFERROR(ROUND($F751*$G751*(1-IF($H751="",0,$H751)),2),""))</f>
        <v/>
      </c>
      <c r="J751" s="7"/>
    </row>
    <row r="752" customFormat="false" ht="21.75" hidden="false" customHeight="true" outlineLevel="0" collapsed="false">
      <c r="B752" s="15" t="n">
        <v>742</v>
      </c>
      <c r="C752" s="9" t="s">
        <v>53</v>
      </c>
      <c r="D752" s="9" t="s">
        <v>71</v>
      </c>
      <c r="E752" s="9" t="s">
        <v>1479</v>
      </c>
      <c r="F752" s="19" t="n">
        <f aca="false">IF('Base de Datos'!AB746="","",'Base de Datos'!AB746)</f>
        <v>315</v>
      </c>
      <c r="G752" s="15"/>
      <c r="H752" s="28"/>
      <c r="I752" s="29" t="str">
        <f aca="false">IF(OR($G752="",$G752=0),"",IFERROR(ROUND($F752*$G752*(1-IF($H752="",0,$H752)),2),""))</f>
        <v/>
      </c>
      <c r="J752" s="9"/>
    </row>
    <row r="753" customFormat="false" ht="21.75" hidden="false" customHeight="true" outlineLevel="0" collapsed="false">
      <c r="B753" s="14" t="n">
        <v>743</v>
      </c>
      <c r="C753" s="7" t="s">
        <v>53</v>
      </c>
      <c r="D753" s="7" t="s">
        <v>71</v>
      </c>
      <c r="E753" s="7" t="s">
        <v>1480</v>
      </c>
      <c r="F753" s="18" t="n">
        <f aca="false">IF('Base de Datos'!AB747="","",'Base de Datos'!AB747)</f>
        <v>420</v>
      </c>
      <c r="G753" s="14"/>
      <c r="H753" s="26"/>
      <c r="I753" s="27" t="str">
        <f aca="false">IF(OR($G753="",$G753=0),"",IFERROR(ROUND($F753*$G753*(1-IF($H753="",0,$H753)),2),""))</f>
        <v/>
      </c>
      <c r="J753" s="7"/>
    </row>
    <row r="754" customFormat="false" ht="21.75" hidden="false" customHeight="true" outlineLevel="0" collapsed="false">
      <c r="B754" s="15" t="n">
        <v>744</v>
      </c>
      <c r="C754" s="9" t="s">
        <v>53</v>
      </c>
      <c r="D754" s="9" t="s">
        <v>71</v>
      </c>
      <c r="E754" s="9" t="s">
        <v>1482</v>
      </c>
      <c r="F754" s="19" t="n">
        <f aca="false">IF('Base de Datos'!AB748="","",'Base de Datos'!AB748)</f>
        <v>630</v>
      </c>
      <c r="G754" s="15"/>
      <c r="H754" s="28"/>
      <c r="I754" s="29" t="str">
        <f aca="false">IF(OR($G754="",$G754=0),"",IFERROR(ROUND($F754*$G754*(1-IF($H754="",0,$H754)),2),""))</f>
        <v/>
      </c>
      <c r="J754" s="9"/>
    </row>
    <row r="755" customFormat="false" ht="21.75" hidden="false" customHeight="true" outlineLevel="0" collapsed="false">
      <c r="B755" s="14" t="n">
        <v>745</v>
      </c>
      <c r="C755" s="7" t="s">
        <v>53</v>
      </c>
      <c r="D755" s="7" t="s">
        <v>71</v>
      </c>
      <c r="E755" s="7" t="s">
        <v>1483</v>
      </c>
      <c r="F755" s="18" t="n">
        <f aca="false">IF('Base de Datos'!AB749="","",'Base de Datos'!AB749)</f>
        <v>925</v>
      </c>
      <c r="G755" s="14"/>
      <c r="H755" s="26"/>
      <c r="I755" s="27" t="str">
        <f aca="false">IF(OR($G755="",$G755=0),"",IFERROR(ROUND($F755*$G755*(1-IF($H755="",0,$H755)),2),""))</f>
        <v/>
      </c>
      <c r="J755" s="7"/>
    </row>
    <row r="756" customFormat="false" ht="21.75" hidden="false" customHeight="true" outlineLevel="0" collapsed="false">
      <c r="B756" s="15" t="n">
        <v>746</v>
      </c>
      <c r="C756" s="9" t="s">
        <v>53</v>
      </c>
      <c r="D756" s="9" t="s">
        <v>72</v>
      </c>
      <c r="E756" s="9" t="s">
        <v>1484</v>
      </c>
      <c r="F756" s="19" t="n">
        <f aca="false">IF('Base de Datos'!AB750="","",'Base de Datos'!AB750)</f>
        <v>345</v>
      </c>
      <c r="G756" s="15"/>
      <c r="H756" s="28"/>
      <c r="I756" s="29" t="str">
        <f aca="false">IF(OR($G756="",$G756=0),"",IFERROR(ROUND($F756*$G756*(1-IF($H756="",0,$H756)),2),""))</f>
        <v/>
      </c>
      <c r="J756" s="9"/>
    </row>
    <row r="757" customFormat="false" ht="21.75" hidden="false" customHeight="true" outlineLevel="0" collapsed="false">
      <c r="B757" s="14" t="n">
        <v>747</v>
      </c>
      <c r="C757" s="7" t="s">
        <v>53</v>
      </c>
      <c r="D757" s="7" t="s">
        <v>72</v>
      </c>
      <c r="E757" s="7" t="s">
        <v>1489</v>
      </c>
      <c r="F757" s="18" t="n">
        <f aca="false">IF('Base de Datos'!AB751="","",'Base de Datos'!AB751)</f>
        <v>520</v>
      </c>
      <c r="G757" s="14"/>
      <c r="H757" s="26"/>
      <c r="I757" s="27" t="str">
        <f aca="false">IF(OR($G757="",$G757=0),"",IFERROR(ROUND($F757*$G757*(1-IF($H757="",0,$H757)),2),""))</f>
        <v/>
      </c>
      <c r="J757" s="7"/>
    </row>
    <row r="758" customFormat="false" ht="21.75" hidden="false" customHeight="true" outlineLevel="0" collapsed="false">
      <c r="B758" s="15" t="n">
        <v>748</v>
      </c>
      <c r="C758" s="9" t="s">
        <v>53</v>
      </c>
      <c r="D758" s="9" t="s">
        <v>72</v>
      </c>
      <c r="E758" s="9" t="s">
        <v>1490</v>
      </c>
      <c r="F758" s="19" t="n">
        <f aca="false">IF('Base de Datos'!AB752="","",'Base de Datos'!AB752)</f>
        <v>690</v>
      </c>
      <c r="G758" s="15"/>
      <c r="H758" s="28"/>
      <c r="I758" s="29" t="str">
        <f aca="false">IF(OR($G758="",$G758=0),"",IFERROR(ROUND($F758*$G758*(1-IF($H758="",0,$H758)),2),""))</f>
        <v/>
      </c>
      <c r="J758" s="9"/>
    </row>
    <row r="759" customFormat="false" ht="21.75" hidden="false" customHeight="true" outlineLevel="0" collapsed="false">
      <c r="B759" s="14" t="n">
        <v>749</v>
      </c>
      <c r="C759" s="7" t="s">
        <v>53</v>
      </c>
      <c r="D759" s="7" t="s">
        <v>72</v>
      </c>
      <c r="E759" s="7" t="s">
        <v>1492</v>
      </c>
      <c r="F759" s="18" t="n">
        <f aca="false">IF('Base de Datos'!AB753="","",'Base de Datos'!AB753)</f>
        <v>1035</v>
      </c>
      <c r="G759" s="14"/>
      <c r="H759" s="26"/>
      <c r="I759" s="27" t="str">
        <f aca="false">IF(OR($G759="",$G759=0),"",IFERROR(ROUND($F759*$G759*(1-IF($H759="",0,$H759)),2),""))</f>
        <v/>
      </c>
      <c r="J759" s="7"/>
    </row>
    <row r="760" customFormat="false" ht="21.75" hidden="false" customHeight="true" outlineLevel="0" collapsed="false">
      <c r="B760" s="15" t="n">
        <v>750</v>
      </c>
      <c r="C760" s="9" t="s">
        <v>53</v>
      </c>
      <c r="D760" s="9" t="s">
        <v>72</v>
      </c>
      <c r="E760" s="9" t="s">
        <v>1493</v>
      </c>
      <c r="F760" s="19" t="n">
        <f aca="false">IF('Base de Datos'!AB754="","",'Base de Datos'!AB754)</f>
        <v>1520</v>
      </c>
      <c r="G760" s="15"/>
      <c r="H760" s="28"/>
      <c r="I760" s="29" t="str">
        <f aca="false">IF(OR($G760="",$G760=0),"",IFERROR(ROUND($F760*$G760*(1-IF($H760="",0,$H760)),2),""))</f>
        <v/>
      </c>
      <c r="J760" s="9"/>
    </row>
    <row r="761" customFormat="false" ht="21.75" hidden="false" customHeight="true" outlineLevel="0" collapsed="false">
      <c r="B761" s="14" t="n">
        <v>751</v>
      </c>
      <c r="C761" s="7" t="s">
        <v>53</v>
      </c>
      <c r="D761" s="7" t="s">
        <v>73</v>
      </c>
      <c r="E761" s="7" t="s">
        <v>1494</v>
      </c>
      <c r="F761" s="18" t="n">
        <f aca="false">IF('Base de Datos'!AB755="","",'Base de Datos'!AB755)</f>
        <v>70</v>
      </c>
      <c r="G761" s="14"/>
      <c r="H761" s="26"/>
      <c r="I761" s="27" t="str">
        <f aca="false">IF(OR($G761="",$G761=0),"",IFERROR(ROUND($F761*$G761*(1-IF($H761="",0,$H761)),2),""))</f>
        <v/>
      </c>
      <c r="J761" s="7"/>
    </row>
    <row r="762" customFormat="false" ht="21.75" hidden="false" customHeight="true" outlineLevel="0" collapsed="false">
      <c r="B762" s="15" t="n">
        <v>752</v>
      </c>
      <c r="C762" s="9" t="s">
        <v>53</v>
      </c>
      <c r="D762" s="9" t="s">
        <v>73</v>
      </c>
      <c r="E762" s="9" t="s">
        <v>1435</v>
      </c>
      <c r="F762" s="19" t="n">
        <f aca="false">IF('Base de Datos'!AB756="","",'Base de Datos'!AB756)</f>
        <v>100</v>
      </c>
      <c r="G762" s="15"/>
      <c r="H762" s="28"/>
      <c r="I762" s="29" t="str">
        <f aca="false">IF(OR($G762="",$G762=0),"",IFERROR(ROUND($F762*$G762*(1-IF($H762="",0,$H762)),2),""))</f>
        <v/>
      </c>
      <c r="J762" s="9"/>
    </row>
    <row r="763" customFormat="false" ht="21.75" hidden="false" customHeight="true" outlineLevel="0" collapsed="false">
      <c r="B763" s="14" t="n">
        <v>753</v>
      </c>
      <c r="C763" s="7" t="s">
        <v>53</v>
      </c>
      <c r="D763" s="7" t="s">
        <v>73</v>
      </c>
      <c r="E763" s="7" t="s">
        <v>1457</v>
      </c>
      <c r="F763" s="18" t="n">
        <f aca="false">IF('Base de Datos'!AB757="","",'Base de Datos'!AB757)</f>
        <v>135</v>
      </c>
      <c r="G763" s="14"/>
      <c r="H763" s="26"/>
      <c r="I763" s="27" t="str">
        <f aca="false">IF(OR($G763="",$G763=0),"",IFERROR(ROUND($F763*$G763*(1-IF($H763="",0,$H763)),2),""))</f>
        <v/>
      </c>
      <c r="J763" s="7"/>
    </row>
    <row r="764" customFormat="false" ht="21.75" hidden="false" customHeight="true" outlineLevel="0" collapsed="false">
      <c r="B764" s="15" t="n">
        <v>754</v>
      </c>
      <c r="C764" s="9" t="s">
        <v>53</v>
      </c>
      <c r="D764" s="9" t="s">
        <v>73</v>
      </c>
      <c r="E764" s="9" t="s">
        <v>1468</v>
      </c>
      <c r="F764" s="19" t="n">
        <f aca="false">IF('Base de Datos'!AB758="","",'Base de Datos'!AB758)</f>
        <v>200</v>
      </c>
      <c r="G764" s="15"/>
      <c r="H764" s="28"/>
      <c r="I764" s="29" t="str">
        <f aca="false">IF(OR($G764="",$G764=0),"",IFERROR(ROUND($F764*$G764*(1-IF($H764="",0,$H764)),2),""))</f>
        <v/>
      </c>
      <c r="J764" s="9"/>
    </row>
    <row r="765" customFormat="false" ht="21.75" hidden="false" customHeight="true" outlineLevel="0" collapsed="false">
      <c r="B765" s="14" t="n">
        <v>755</v>
      </c>
      <c r="C765" s="7" t="s">
        <v>53</v>
      </c>
      <c r="D765" s="7" t="s">
        <v>73</v>
      </c>
      <c r="E765" s="7" t="s">
        <v>1477</v>
      </c>
      <c r="F765" s="18" t="n">
        <f aca="false">IF('Base de Datos'!AB759="","",'Base de Datos'!AB759)</f>
        <v>295</v>
      </c>
      <c r="G765" s="14"/>
      <c r="H765" s="26"/>
      <c r="I765" s="27" t="str">
        <f aca="false">IF(OR($G765="",$G765=0),"",IFERROR(ROUND($F765*$G765*(1-IF($H765="",0,$H765)),2),""))</f>
        <v/>
      </c>
      <c r="J765" s="7"/>
    </row>
    <row r="766" customFormat="false" ht="21.75" hidden="false" customHeight="true" outlineLevel="0" collapsed="false">
      <c r="B766" s="15" t="n">
        <v>756</v>
      </c>
      <c r="C766" s="9" t="s">
        <v>53</v>
      </c>
      <c r="D766" s="9" t="s">
        <v>74</v>
      </c>
      <c r="E766" s="9" t="s">
        <v>321</v>
      </c>
      <c r="F766" s="19" t="str">
        <f aca="false">IF('Base de Datos'!AB760="","",'Base de Datos'!AB760)</f>
        <v/>
      </c>
      <c r="G766" s="15"/>
      <c r="H766" s="28"/>
      <c r="I766" s="29" t="str">
        <f aca="false">IF(OR($G766="",$G766=0),"",IFERROR(ROUND($F766*$G766*(1-IF($H766="",0,$H766)),2),""))</f>
        <v/>
      </c>
      <c r="J766" s="9"/>
    </row>
    <row r="767" customFormat="false" ht="21.75" hidden="false" customHeight="true" outlineLevel="0" collapsed="false">
      <c r="B767" s="14" t="n">
        <v>757</v>
      </c>
      <c r="C767" s="7" t="s">
        <v>54</v>
      </c>
      <c r="D767" s="7" t="s">
        <v>61</v>
      </c>
      <c r="E767" s="7" t="s">
        <v>1500</v>
      </c>
      <c r="F767" s="18" t="n">
        <f aca="false">IF('Base de Datos'!AB761="","",'Base de Datos'!AB761)</f>
        <v>25</v>
      </c>
      <c r="G767" s="14"/>
      <c r="H767" s="26"/>
      <c r="I767" s="27" t="str">
        <f aca="false">IF(OR($G767="",$G767=0),"",IFERROR(ROUND($F767*$G767*(1-IF($H767="",0,$H767)),2),""))</f>
        <v/>
      </c>
      <c r="J767" s="7"/>
    </row>
    <row r="768" customFormat="false" ht="21.75" hidden="false" customHeight="true" outlineLevel="0" collapsed="false">
      <c r="B768" s="15" t="n">
        <v>758</v>
      </c>
      <c r="C768" s="9" t="s">
        <v>54</v>
      </c>
      <c r="D768" s="9" t="s">
        <v>61</v>
      </c>
      <c r="E768" s="9" t="s">
        <v>1505</v>
      </c>
      <c r="F768" s="19" t="n">
        <f aca="false">IF('Base de Datos'!AB762="","",'Base de Datos'!AB762)</f>
        <v>35</v>
      </c>
      <c r="G768" s="15"/>
      <c r="H768" s="28"/>
      <c r="I768" s="29" t="str">
        <f aca="false">IF(OR($G768="",$G768=0),"",IFERROR(ROUND($F768*$G768*(1-IF($H768="",0,$H768)),2),""))</f>
        <v/>
      </c>
      <c r="J768" s="9"/>
    </row>
    <row r="769" customFormat="false" ht="21.75" hidden="false" customHeight="true" outlineLevel="0" collapsed="false">
      <c r="B769" s="14" t="n">
        <v>759</v>
      </c>
      <c r="C769" s="7" t="s">
        <v>54</v>
      </c>
      <c r="D769" s="7" t="s">
        <v>61</v>
      </c>
      <c r="E769" s="7" t="s">
        <v>1506</v>
      </c>
      <c r="F769" s="18" t="n">
        <f aca="false">IF('Base de Datos'!AB763="","",'Base de Datos'!AB763)</f>
        <v>50</v>
      </c>
      <c r="G769" s="14"/>
      <c r="H769" s="26"/>
      <c r="I769" s="27" t="str">
        <f aca="false">IF(OR($G769="",$G769=0),"",IFERROR(ROUND($F769*$G769*(1-IF($H769="",0,$H769)),2),""))</f>
        <v/>
      </c>
      <c r="J769" s="7"/>
    </row>
    <row r="770" customFormat="false" ht="21.75" hidden="false" customHeight="true" outlineLevel="0" collapsed="false">
      <c r="B770" s="15" t="n">
        <v>760</v>
      </c>
      <c r="C770" s="9" t="s">
        <v>54</v>
      </c>
      <c r="D770" s="9" t="s">
        <v>61</v>
      </c>
      <c r="E770" s="9" t="s">
        <v>1508</v>
      </c>
      <c r="F770" s="19" t="n">
        <f aca="false">IF('Base de Datos'!AB764="","",'Base de Datos'!AB764)</f>
        <v>70</v>
      </c>
      <c r="G770" s="15"/>
      <c r="H770" s="28"/>
      <c r="I770" s="29" t="str">
        <f aca="false">IF(OR($G770="",$G770=0),"",IFERROR(ROUND($F770*$G770*(1-IF($H770="",0,$H770)),2),""))</f>
        <v/>
      </c>
      <c r="J770" s="9"/>
    </row>
    <row r="771" customFormat="false" ht="21.75" hidden="false" customHeight="true" outlineLevel="0" collapsed="false">
      <c r="B771" s="14" t="n">
        <v>761</v>
      </c>
      <c r="C771" s="7" t="s">
        <v>54</v>
      </c>
      <c r="D771" s="7" t="s">
        <v>61</v>
      </c>
      <c r="E771" s="7" t="s">
        <v>1509</v>
      </c>
      <c r="F771" s="18" t="n">
        <f aca="false">IF('Base de Datos'!AB765="","",'Base de Datos'!AB765)</f>
        <v>105</v>
      </c>
      <c r="G771" s="14"/>
      <c r="H771" s="26"/>
      <c r="I771" s="27" t="str">
        <f aca="false">IF(OR($G771="",$G771=0),"",IFERROR(ROUND($F771*$G771*(1-IF($H771="",0,$H771)),2),""))</f>
        <v/>
      </c>
      <c r="J771" s="7"/>
    </row>
    <row r="772" customFormat="false" ht="21.75" hidden="false" customHeight="true" outlineLevel="0" collapsed="false">
      <c r="B772" s="15" t="n">
        <v>762</v>
      </c>
      <c r="C772" s="9" t="s">
        <v>54</v>
      </c>
      <c r="D772" s="9" t="s">
        <v>62</v>
      </c>
      <c r="E772" s="9" t="s">
        <v>1505</v>
      </c>
      <c r="F772" s="19" t="n">
        <f aca="false">IF('Base de Datos'!AB766="","",'Base de Datos'!AB766)</f>
        <v>30</v>
      </c>
      <c r="G772" s="15"/>
      <c r="H772" s="28"/>
      <c r="I772" s="29" t="str">
        <f aca="false">IF(OR($G772="",$G772=0),"",IFERROR(ROUND($F772*$G772*(1-IF($H772="",0,$H772)),2),""))</f>
        <v/>
      </c>
      <c r="J772" s="9"/>
    </row>
    <row r="773" customFormat="false" ht="21.75" hidden="false" customHeight="true" outlineLevel="0" collapsed="false">
      <c r="B773" s="14" t="n">
        <v>763</v>
      </c>
      <c r="C773" s="7" t="s">
        <v>54</v>
      </c>
      <c r="D773" s="7" t="s">
        <v>62</v>
      </c>
      <c r="E773" s="7" t="s">
        <v>1506</v>
      </c>
      <c r="F773" s="18" t="n">
        <f aca="false">IF('Base de Datos'!AB767="","",'Base de Datos'!AB767)</f>
        <v>40</v>
      </c>
      <c r="G773" s="14"/>
      <c r="H773" s="26"/>
      <c r="I773" s="27" t="str">
        <f aca="false">IF(OR($G773="",$G773=0),"",IFERROR(ROUND($F773*$G773*(1-IF($H773="",0,$H773)),2),""))</f>
        <v/>
      </c>
      <c r="J773" s="7"/>
    </row>
    <row r="774" customFormat="false" ht="21.75" hidden="false" customHeight="true" outlineLevel="0" collapsed="false">
      <c r="B774" s="15" t="n">
        <v>764</v>
      </c>
      <c r="C774" s="9" t="s">
        <v>54</v>
      </c>
      <c r="D774" s="9" t="s">
        <v>62</v>
      </c>
      <c r="E774" s="9" t="s">
        <v>1508</v>
      </c>
      <c r="F774" s="19" t="n">
        <f aca="false">IF('Base de Datos'!AB768="","",'Base de Datos'!AB768)</f>
        <v>55</v>
      </c>
      <c r="G774" s="15"/>
      <c r="H774" s="28"/>
      <c r="I774" s="29" t="str">
        <f aca="false">IF(OR($G774="",$G774=0),"",IFERROR(ROUND($F774*$G774*(1-IF($H774="",0,$H774)),2),""))</f>
        <v/>
      </c>
      <c r="J774" s="9"/>
    </row>
    <row r="775" customFormat="false" ht="21.75" hidden="false" customHeight="true" outlineLevel="0" collapsed="false">
      <c r="B775" s="14" t="n">
        <v>765</v>
      </c>
      <c r="C775" s="7" t="s">
        <v>54</v>
      </c>
      <c r="D775" s="7" t="s">
        <v>62</v>
      </c>
      <c r="E775" s="7" t="s">
        <v>1509</v>
      </c>
      <c r="F775" s="18" t="n">
        <f aca="false">IF('Base de Datos'!AB769="","",'Base de Datos'!AB769)</f>
        <v>80</v>
      </c>
      <c r="G775" s="14"/>
      <c r="H775" s="26"/>
      <c r="I775" s="27" t="str">
        <f aca="false">IF(OR($G775="",$G775=0),"",IFERROR(ROUND($F775*$G775*(1-IF($H775="",0,$H775)),2),""))</f>
        <v/>
      </c>
      <c r="J775" s="7"/>
    </row>
    <row r="776" customFormat="false" ht="21.75" hidden="false" customHeight="true" outlineLevel="0" collapsed="false">
      <c r="B776" s="15" t="n">
        <v>766</v>
      </c>
      <c r="C776" s="9" t="s">
        <v>54</v>
      </c>
      <c r="D776" s="9" t="s">
        <v>62</v>
      </c>
      <c r="E776" s="9" t="s">
        <v>1512</v>
      </c>
      <c r="F776" s="19" t="n">
        <f aca="false">IF('Base de Datos'!AB770="","",'Base de Datos'!AB770)</f>
        <v>120</v>
      </c>
      <c r="G776" s="15"/>
      <c r="H776" s="28"/>
      <c r="I776" s="29" t="str">
        <f aca="false">IF(OR($G776="",$G776=0),"",IFERROR(ROUND($F776*$G776*(1-IF($H776="",0,$H776)),2),""))</f>
        <v/>
      </c>
      <c r="J776" s="9"/>
    </row>
    <row r="777" customFormat="false" ht="21.75" hidden="false" customHeight="true" outlineLevel="0" collapsed="false">
      <c r="B777" s="14" t="n">
        <v>767</v>
      </c>
      <c r="C777" s="7" t="s">
        <v>54</v>
      </c>
      <c r="D777" s="7" t="s">
        <v>63</v>
      </c>
      <c r="E777" s="7" t="s">
        <v>1513</v>
      </c>
      <c r="F777" s="18" t="n">
        <f aca="false">IF('Base de Datos'!AB771="","",'Base de Datos'!AB771)</f>
        <v>25</v>
      </c>
      <c r="G777" s="14"/>
      <c r="H777" s="26"/>
      <c r="I777" s="27" t="str">
        <f aca="false">IF(OR($G777="",$G777=0),"",IFERROR(ROUND($F777*$G777*(1-IF($H777="",0,$H777)),2),""))</f>
        <v/>
      </c>
      <c r="J777" s="7"/>
    </row>
    <row r="778" customFormat="false" ht="21.75" hidden="false" customHeight="true" outlineLevel="0" collapsed="false">
      <c r="B778" s="15" t="n">
        <v>768</v>
      </c>
      <c r="C778" s="9" t="s">
        <v>54</v>
      </c>
      <c r="D778" s="9" t="s">
        <v>63</v>
      </c>
      <c r="E778" s="9" t="s">
        <v>1516</v>
      </c>
      <c r="F778" s="19" t="n">
        <f aca="false">IF('Base de Datos'!AB772="","",'Base de Datos'!AB772)</f>
        <v>35</v>
      </c>
      <c r="G778" s="15"/>
      <c r="H778" s="28"/>
      <c r="I778" s="29" t="str">
        <f aca="false">IF(OR($G778="",$G778=0),"",IFERROR(ROUND($F778*$G778*(1-IF($H778="",0,$H778)),2),""))</f>
        <v/>
      </c>
      <c r="J778" s="9"/>
    </row>
    <row r="779" customFormat="false" ht="21.75" hidden="false" customHeight="true" outlineLevel="0" collapsed="false">
      <c r="B779" s="14" t="n">
        <v>769</v>
      </c>
      <c r="C779" s="7" t="s">
        <v>54</v>
      </c>
      <c r="D779" s="7" t="s">
        <v>63</v>
      </c>
      <c r="E779" s="7" t="s">
        <v>1517</v>
      </c>
      <c r="F779" s="18" t="n">
        <f aca="false">IF('Base de Datos'!AB773="","",'Base de Datos'!AB773)</f>
        <v>45</v>
      </c>
      <c r="G779" s="14"/>
      <c r="H779" s="26"/>
      <c r="I779" s="27" t="str">
        <f aca="false">IF(OR($G779="",$G779=0),"",IFERROR(ROUND($F779*$G779*(1-IF($H779="",0,$H779)),2),""))</f>
        <v/>
      </c>
      <c r="J779" s="7"/>
    </row>
    <row r="780" customFormat="false" ht="21.75" hidden="false" customHeight="true" outlineLevel="0" collapsed="false">
      <c r="B780" s="15" t="n">
        <v>770</v>
      </c>
      <c r="C780" s="9" t="s">
        <v>54</v>
      </c>
      <c r="D780" s="9" t="s">
        <v>63</v>
      </c>
      <c r="E780" s="9" t="s">
        <v>1519</v>
      </c>
      <c r="F780" s="19" t="n">
        <f aca="false">IF('Base de Datos'!AB774="","",'Base de Datos'!AB774)</f>
        <v>70</v>
      </c>
      <c r="G780" s="15"/>
      <c r="H780" s="28"/>
      <c r="I780" s="29" t="str">
        <f aca="false">IF(OR($G780="",$G780=0),"",IFERROR(ROUND($F780*$G780*(1-IF($H780="",0,$H780)),2),""))</f>
        <v/>
      </c>
      <c r="J780" s="9"/>
    </row>
    <row r="781" customFormat="false" ht="21.75" hidden="false" customHeight="true" outlineLevel="0" collapsed="false">
      <c r="B781" s="14" t="n">
        <v>771</v>
      </c>
      <c r="C781" s="7" t="s">
        <v>54</v>
      </c>
      <c r="D781" s="7" t="s">
        <v>63</v>
      </c>
      <c r="E781" s="7" t="s">
        <v>1520</v>
      </c>
      <c r="F781" s="18" t="n">
        <f aca="false">IF('Base de Datos'!AB775="","",'Base de Datos'!AB775)</f>
        <v>100</v>
      </c>
      <c r="G781" s="14"/>
      <c r="H781" s="26"/>
      <c r="I781" s="27" t="str">
        <f aca="false">IF(OR($G781="",$G781=0),"",IFERROR(ROUND($F781*$G781*(1-IF($H781="",0,$H781)),2),""))</f>
        <v/>
      </c>
      <c r="J781" s="7"/>
    </row>
    <row r="782" customFormat="false" ht="21.75" hidden="false" customHeight="true" outlineLevel="0" collapsed="false">
      <c r="B782" s="15" t="n">
        <v>772</v>
      </c>
      <c r="C782" s="9" t="s">
        <v>54</v>
      </c>
      <c r="D782" s="9" t="s">
        <v>64</v>
      </c>
      <c r="E782" s="9" t="s">
        <v>321</v>
      </c>
      <c r="F782" s="19" t="str">
        <f aca="false">IF('Base de Datos'!AB776="","",'Base de Datos'!AB776)</f>
        <v/>
      </c>
      <c r="G782" s="15"/>
      <c r="H782" s="28"/>
      <c r="I782" s="29" t="str">
        <f aca="false">IF(OR($G782="",$G782=0),"",IFERROR(ROUND($F782*$G782*(1-IF($H782="",0,$H782)),2),""))</f>
        <v/>
      </c>
      <c r="J782" s="9"/>
    </row>
    <row r="783" customFormat="false" ht="21.75" hidden="false" customHeight="true" outlineLevel="0" collapsed="false">
      <c r="B783" s="14" t="n">
        <v>773</v>
      </c>
      <c r="C783" s="7" t="s">
        <v>54</v>
      </c>
      <c r="D783" s="7" t="s">
        <v>65</v>
      </c>
      <c r="E783" s="7" t="s">
        <v>321</v>
      </c>
      <c r="F783" s="18" t="str">
        <f aca="false">IF('Base de Datos'!AB777="","",'Base de Datos'!AB777)</f>
        <v/>
      </c>
      <c r="G783" s="14"/>
      <c r="H783" s="26"/>
      <c r="I783" s="27" t="str">
        <f aca="false">IF(OR($G783="",$G783=0),"",IFERROR(ROUND($F783*$G783*(1-IF($H783="",0,$H783)),2),""))</f>
        <v/>
      </c>
      <c r="J783" s="7"/>
    </row>
    <row r="784" customFormat="false" ht="21.75" hidden="false" customHeight="true" outlineLevel="0" collapsed="false">
      <c r="B784" s="15" t="n">
        <v>774</v>
      </c>
      <c r="C784" s="9" t="s">
        <v>54</v>
      </c>
      <c r="D784" s="9" t="s">
        <v>66</v>
      </c>
      <c r="E784" s="9" t="s">
        <v>321</v>
      </c>
      <c r="F784" s="19" t="str">
        <f aca="false">IF('Base de Datos'!AB778="","",'Base de Datos'!AB778)</f>
        <v/>
      </c>
      <c r="G784" s="15"/>
      <c r="H784" s="28"/>
      <c r="I784" s="29" t="str">
        <f aca="false">IF(OR($G784="",$G784=0),"",IFERROR(ROUND($F784*$G784*(1-IF($H784="",0,$H784)),2),""))</f>
        <v/>
      </c>
      <c r="J784" s="9"/>
    </row>
    <row r="785" customFormat="false" ht="21.75" hidden="false" customHeight="true" outlineLevel="0" collapsed="false">
      <c r="B785" s="14" t="n">
        <v>775</v>
      </c>
      <c r="C785" s="7" t="s">
        <v>54</v>
      </c>
      <c r="D785" s="7" t="s">
        <v>67</v>
      </c>
      <c r="E785" s="7" t="s">
        <v>321</v>
      </c>
      <c r="F785" s="18" t="str">
        <f aca="false">IF('Base de Datos'!AB779="","",'Base de Datos'!AB779)</f>
        <v/>
      </c>
      <c r="G785" s="14"/>
      <c r="H785" s="26"/>
      <c r="I785" s="27" t="str">
        <f aca="false">IF(OR($G785="",$G785=0),"",IFERROR(ROUND($F785*$G785*(1-IF($H785="",0,$H785)),2),""))</f>
        <v/>
      </c>
      <c r="J785" s="7"/>
    </row>
    <row r="786" customFormat="false" ht="21.75" hidden="false" customHeight="true" outlineLevel="0" collapsed="false">
      <c r="B786" s="15" t="n">
        <v>776</v>
      </c>
      <c r="C786" s="9" t="s">
        <v>54</v>
      </c>
      <c r="D786" s="9" t="s">
        <v>68</v>
      </c>
      <c r="E786" s="9" t="s">
        <v>321</v>
      </c>
      <c r="F786" s="19" t="str">
        <f aca="false">IF('Base de Datos'!AB780="","",'Base de Datos'!AB780)</f>
        <v/>
      </c>
      <c r="G786" s="15"/>
      <c r="H786" s="28"/>
      <c r="I786" s="29" t="str">
        <f aca="false">IF(OR($G786="",$G786=0),"",IFERROR(ROUND($F786*$G786*(1-IF($H786="",0,$H786)),2),""))</f>
        <v/>
      </c>
      <c r="J786" s="9"/>
    </row>
    <row r="787" customFormat="false" ht="21.75" hidden="false" customHeight="true" outlineLevel="0" collapsed="false">
      <c r="B787" s="14" t="n">
        <v>777</v>
      </c>
      <c r="C787" s="7" t="s">
        <v>54</v>
      </c>
      <c r="D787" s="7" t="s">
        <v>69</v>
      </c>
      <c r="E787" s="7" t="s">
        <v>321</v>
      </c>
      <c r="F787" s="18" t="str">
        <f aca="false">IF('Base de Datos'!AB781="","",'Base de Datos'!AB781)</f>
        <v/>
      </c>
      <c r="G787" s="14"/>
      <c r="H787" s="26"/>
      <c r="I787" s="27" t="str">
        <f aca="false">IF(OR($G787="",$G787=0),"",IFERROR(ROUND($F787*$G787*(1-IF($H787="",0,$H787)),2),""))</f>
        <v/>
      </c>
      <c r="J787" s="7"/>
    </row>
    <row r="788" customFormat="false" ht="21.75" hidden="false" customHeight="true" outlineLevel="0" collapsed="false">
      <c r="B788" s="15" t="n">
        <v>778</v>
      </c>
      <c r="C788" s="9" t="s">
        <v>54</v>
      </c>
      <c r="D788" s="9" t="s">
        <v>70</v>
      </c>
      <c r="E788" s="9" t="s">
        <v>321</v>
      </c>
      <c r="F788" s="19" t="str">
        <f aca="false">IF('Base de Datos'!AB782="","",'Base de Datos'!AB782)</f>
        <v/>
      </c>
      <c r="G788" s="15"/>
      <c r="H788" s="28"/>
      <c r="I788" s="29" t="str">
        <f aca="false">IF(OR($G788="",$G788=0),"",IFERROR(ROUND($F788*$G788*(1-IF($H788="",0,$H788)),2),""))</f>
        <v/>
      </c>
      <c r="J788" s="9"/>
    </row>
    <row r="789" customFormat="false" ht="21.75" hidden="false" customHeight="true" outlineLevel="0" collapsed="false">
      <c r="B789" s="14" t="n">
        <v>779</v>
      </c>
      <c r="C789" s="7" t="s">
        <v>54</v>
      </c>
      <c r="D789" s="7" t="s">
        <v>71</v>
      </c>
      <c r="E789" s="7" t="s">
        <v>321</v>
      </c>
      <c r="F789" s="18" t="str">
        <f aca="false">IF('Base de Datos'!AB783="","",'Base de Datos'!AB783)</f>
        <v/>
      </c>
      <c r="G789" s="14"/>
      <c r="H789" s="26"/>
      <c r="I789" s="27" t="str">
        <f aca="false">IF(OR($G789="",$G789=0),"",IFERROR(ROUND($F789*$G789*(1-IF($H789="",0,$H789)),2),""))</f>
        <v/>
      </c>
      <c r="J789" s="7"/>
    </row>
    <row r="790" customFormat="false" ht="21.75" hidden="false" customHeight="true" outlineLevel="0" collapsed="false">
      <c r="B790" s="15" t="n">
        <v>780</v>
      </c>
      <c r="C790" s="9" t="s">
        <v>54</v>
      </c>
      <c r="D790" s="9" t="s">
        <v>72</v>
      </c>
      <c r="E790" s="9" t="s">
        <v>321</v>
      </c>
      <c r="F790" s="19" t="str">
        <f aca="false">IF('Base de Datos'!AB784="","",'Base de Datos'!AB784)</f>
        <v/>
      </c>
      <c r="G790" s="15"/>
      <c r="H790" s="28"/>
      <c r="I790" s="29" t="str">
        <f aca="false">IF(OR($G790="",$G790=0),"",IFERROR(ROUND($F790*$G790*(1-IF($H790="",0,$H790)),2),""))</f>
        <v/>
      </c>
      <c r="J790" s="9"/>
    </row>
    <row r="791" customFormat="false" ht="21.75" hidden="false" customHeight="true" outlineLevel="0" collapsed="false">
      <c r="B791" s="14" t="n">
        <v>781</v>
      </c>
      <c r="C791" s="7" t="s">
        <v>54</v>
      </c>
      <c r="D791" s="7" t="s">
        <v>73</v>
      </c>
      <c r="E791" s="7" t="s">
        <v>1508</v>
      </c>
      <c r="F791" s="18" t="n">
        <f aca="false">IF('Base de Datos'!AB785="","",'Base de Datos'!AB785)</f>
        <v>40</v>
      </c>
      <c r="G791" s="14"/>
      <c r="H791" s="26"/>
      <c r="I791" s="27" t="str">
        <f aca="false">IF(OR($G791="",$G791=0),"",IFERROR(ROUND($F791*$G791*(1-IF($H791="",0,$H791)),2),""))</f>
        <v/>
      </c>
      <c r="J791" s="7"/>
    </row>
    <row r="792" customFormat="false" ht="21.75" hidden="false" customHeight="true" outlineLevel="0" collapsed="false">
      <c r="B792" s="15" t="n">
        <v>782</v>
      </c>
      <c r="C792" s="9" t="s">
        <v>54</v>
      </c>
      <c r="D792" s="9" t="s">
        <v>73</v>
      </c>
      <c r="E792" s="9" t="s">
        <v>1509</v>
      </c>
      <c r="F792" s="19" t="n">
        <f aca="false">IF('Base de Datos'!AB786="","",'Base de Datos'!AB786)</f>
        <v>60</v>
      </c>
      <c r="G792" s="15"/>
      <c r="H792" s="28"/>
      <c r="I792" s="29" t="str">
        <f aca="false">IF(OR($G792="",$G792=0),"",IFERROR(ROUND($F792*$G792*(1-IF($H792="",0,$H792)),2),""))</f>
        <v/>
      </c>
      <c r="J792" s="9"/>
    </row>
    <row r="793" customFormat="false" ht="21.75" hidden="false" customHeight="true" outlineLevel="0" collapsed="false">
      <c r="B793" s="14" t="n">
        <v>783</v>
      </c>
      <c r="C793" s="7" t="s">
        <v>54</v>
      </c>
      <c r="D793" s="7" t="s">
        <v>73</v>
      </c>
      <c r="E793" s="7" t="s">
        <v>1517</v>
      </c>
      <c r="F793" s="18" t="n">
        <f aca="false">IF('Base de Datos'!AB787="","",'Base de Datos'!AB787)</f>
        <v>80</v>
      </c>
      <c r="G793" s="14"/>
      <c r="H793" s="26"/>
      <c r="I793" s="27" t="str">
        <f aca="false">IF(OR($G793="",$G793=0),"",IFERROR(ROUND($F793*$G793*(1-IF($H793="",0,$H793)),2),""))</f>
        <v/>
      </c>
      <c r="J793" s="7"/>
    </row>
    <row r="794" customFormat="false" ht="21.75" hidden="false" customHeight="true" outlineLevel="0" collapsed="false">
      <c r="B794" s="15" t="n">
        <v>784</v>
      </c>
      <c r="C794" s="9" t="s">
        <v>54</v>
      </c>
      <c r="D794" s="9" t="s">
        <v>73</v>
      </c>
      <c r="E794" s="9" t="s">
        <v>1519</v>
      </c>
      <c r="F794" s="19" t="n">
        <f aca="false">IF('Base de Datos'!AB788="","",'Base de Datos'!AB788)</f>
        <v>115</v>
      </c>
      <c r="G794" s="15"/>
      <c r="H794" s="28"/>
      <c r="I794" s="29" t="str">
        <f aca="false">IF(OR($G794="",$G794=0),"",IFERROR(ROUND($F794*$G794*(1-IF($H794="",0,$H794)),2),""))</f>
        <v/>
      </c>
      <c r="J794" s="9"/>
    </row>
    <row r="795" customFormat="false" ht="21.75" hidden="false" customHeight="true" outlineLevel="0" collapsed="false">
      <c r="B795" s="14" t="n">
        <v>785</v>
      </c>
      <c r="C795" s="7" t="s">
        <v>54</v>
      </c>
      <c r="D795" s="7" t="s">
        <v>73</v>
      </c>
      <c r="E795" s="7" t="s">
        <v>1512</v>
      </c>
      <c r="F795" s="18" t="n">
        <f aca="false">IF('Base de Datos'!AB789="","",'Base de Datos'!AB789)</f>
        <v>170</v>
      </c>
      <c r="G795" s="14"/>
      <c r="H795" s="26"/>
      <c r="I795" s="27" t="str">
        <f aca="false">IF(OR($G795="",$G795=0),"",IFERROR(ROUND($F795*$G795*(1-IF($H795="",0,$H795)),2),""))</f>
        <v/>
      </c>
      <c r="J795" s="7"/>
    </row>
    <row r="796" customFormat="false" ht="21.75" hidden="false" customHeight="true" outlineLevel="0" collapsed="false">
      <c r="B796" s="15" t="n">
        <v>786</v>
      </c>
      <c r="C796" s="9" t="s">
        <v>54</v>
      </c>
      <c r="D796" s="9" t="s">
        <v>74</v>
      </c>
      <c r="E796" s="9" t="s">
        <v>321</v>
      </c>
      <c r="F796" s="19" t="str">
        <f aca="false">IF('Base de Datos'!AB790="","",'Base de Datos'!AB790)</f>
        <v/>
      </c>
      <c r="G796" s="15"/>
      <c r="H796" s="28"/>
      <c r="I796" s="29" t="str">
        <f aca="false">IF(OR($G796="",$G796=0),"",IFERROR(ROUND($F796*$G796*(1-IF($H796="",0,$H796)),2),""))</f>
        <v/>
      </c>
      <c r="J796" s="9"/>
    </row>
    <row r="797" customFormat="false" ht="21.75" hidden="false" customHeight="true" outlineLevel="0" collapsed="false">
      <c r="B797" s="14" t="n">
        <v>787</v>
      </c>
      <c r="C797" s="7" t="s">
        <v>55</v>
      </c>
      <c r="D797" s="7" t="s">
        <v>61</v>
      </c>
      <c r="E797" s="7" t="s">
        <v>1534</v>
      </c>
      <c r="F797" s="18" t="n">
        <f aca="false">IF('Base de Datos'!AB791="","",'Base de Datos'!AB791)</f>
        <v>25</v>
      </c>
      <c r="G797" s="14"/>
      <c r="H797" s="26"/>
      <c r="I797" s="27" t="str">
        <f aca="false">IF(OR($G797="",$G797=0),"",IFERROR(ROUND($F797*$G797*(1-IF($H797="",0,$H797)),2),""))</f>
        <v/>
      </c>
      <c r="J797" s="7"/>
    </row>
    <row r="798" customFormat="false" ht="21.75" hidden="false" customHeight="true" outlineLevel="0" collapsed="false">
      <c r="B798" s="15" t="n">
        <v>788</v>
      </c>
      <c r="C798" s="9" t="s">
        <v>55</v>
      </c>
      <c r="D798" s="9" t="s">
        <v>61</v>
      </c>
      <c r="E798" s="9" t="s">
        <v>1539</v>
      </c>
      <c r="F798" s="19" t="n">
        <f aca="false">IF('Base de Datos'!AB792="","",'Base de Datos'!AB792)</f>
        <v>25</v>
      </c>
      <c r="G798" s="15"/>
      <c r="H798" s="28"/>
      <c r="I798" s="29" t="str">
        <f aca="false">IF(OR($G798="",$G798=0),"",IFERROR(ROUND($F798*$G798*(1-IF($H798="",0,$H798)),2),""))</f>
        <v/>
      </c>
      <c r="J798" s="9"/>
    </row>
    <row r="799" customFormat="false" ht="21.75" hidden="false" customHeight="true" outlineLevel="0" collapsed="false">
      <c r="B799" s="14" t="n">
        <v>789</v>
      </c>
      <c r="C799" s="7" t="s">
        <v>55</v>
      </c>
      <c r="D799" s="7" t="s">
        <v>61</v>
      </c>
      <c r="E799" s="7" t="s">
        <v>1540</v>
      </c>
      <c r="F799" s="18" t="n">
        <f aca="false">IF('Base de Datos'!AB793="","",'Base de Datos'!AB793)</f>
        <v>30</v>
      </c>
      <c r="G799" s="14"/>
      <c r="H799" s="26"/>
      <c r="I799" s="27" t="str">
        <f aca="false">IF(OR($G799="",$G799=0),"",IFERROR(ROUND($F799*$G799*(1-IF($H799="",0,$H799)),2),""))</f>
        <v/>
      </c>
      <c r="J799" s="7"/>
    </row>
    <row r="800" customFormat="false" ht="21.75" hidden="false" customHeight="true" outlineLevel="0" collapsed="false">
      <c r="B800" s="15" t="n">
        <v>790</v>
      </c>
      <c r="C800" s="9" t="s">
        <v>55</v>
      </c>
      <c r="D800" s="9" t="s">
        <v>61</v>
      </c>
      <c r="E800" s="9" t="s">
        <v>1542</v>
      </c>
      <c r="F800" s="19" t="n">
        <f aca="false">IF('Base de Datos'!AB794="","",'Base de Datos'!AB794)</f>
        <v>50</v>
      </c>
      <c r="G800" s="15"/>
      <c r="H800" s="28"/>
      <c r="I800" s="29" t="str">
        <f aca="false">IF(OR($G800="",$G800=0),"",IFERROR(ROUND($F800*$G800*(1-IF($H800="",0,$H800)),2),""))</f>
        <v/>
      </c>
      <c r="J800" s="9"/>
    </row>
    <row r="801" customFormat="false" ht="21.75" hidden="false" customHeight="true" outlineLevel="0" collapsed="false">
      <c r="B801" s="14" t="n">
        <v>791</v>
      </c>
      <c r="C801" s="7" t="s">
        <v>55</v>
      </c>
      <c r="D801" s="7" t="s">
        <v>61</v>
      </c>
      <c r="E801" s="7" t="s">
        <v>1543</v>
      </c>
      <c r="F801" s="18" t="n">
        <f aca="false">IF('Base de Datos'!AB795="","",'Base de Datos'!AB795)</f>
        <v>70</v>
      </c>
      <c r="G801" s="14"/>
      <c r="H801" s="26"/>
      <c r="I801" s="27" t="str">
        <f aca="false">IF(OR($G801="",$G801=0),"",IFERROR(ROUND($F801*$G801*(1-IF($H801="",0,$H801)),2),""))</f>
        <v/>
      </c>
      <c r="J801" s="7"/>
    </row>
    <row r="802" customFormat="false" ht="21.75" hidden="false" customHeight="true" outlineLevel="0" collapsed="false">
      <c r="B802" s="15" t="n">
        <v>792</v>
      </c>
      <c r="C802" s="9" t="s">
        <v>55</v>
      </c>
      <c r="D802" s="9" t="s">
        <v>62</v>
      </c>
      <c r="E802" s="9" t="s">
        <v>321</v>
      </c>
      <c r="F802" s="19" t="str">
        <f aca="false">IF('Base de Datos'!AB796="","",'Base de Datos'!AB796)</f>
        <v/>
      </c>
      <c r="G802" s="15"/>
      <c r="H802" s="28"/>
      <c r="I802" s="29" t="str">
        <f aca="false">IF(OR($G802="",$G802=0),"",IFERROR(ROUND($F802*$G802*(1-IF($H802="",0,$H802)),2),""))</f>
        <v/>
      </c>
      <c r="J802" s="9"/>
    </row>
    <row r="803" customFormat="false" ht="21.75" hidden="false" customHeight="true" outlineLevel="0" collapsed="false">
      <c r="B803" s="14" t="n">
        <v>793</v>
      </c>
      <c r="C803" s="7" t="s">
        <v>55</v>
      </c>
      <c r="D803" s="7" t="s">
        <v>63</v>
      </c>
      <c r="E803" s="7" t="s">
        <v>1545</v>
      </c>
      <c r="F803" s="18" t="n">
        <f aca="false">IF('Base de Datos'!AB797="","",'Base de Datos'!AB797)</f>
        <v>25</v>
      </c>
      <c r="G803" s="14"/>
      <c r="H803" s="26"/>
      <c r="I803" s="27" t="str">
        <f aca="false">IF(OR($G803="",$G803=0),"",IFERROR(ROUND($F803*$G803*(1-IF($H803="",0,$H803)),2),""))</f>
        <v/>
      </c>
      <c r="J803" s="7"/>
    </row>
    <row r="804" customFormat="false" ht="21.75" hidden="false" customHeight="true" outlineLevel="0" collapsed="false">
      <c r="B804" s="15" t="n">
        <v>794</v>
      </c>
      <c r="C804" s="9" t="s">
        <v>55</v>
      </c>
      <c r="D804" s="9" t="s">
        <v>63</v>
      </c>
      <c r="E804" s="9" t="s">
        <v>1549</v>
      </c>
      <c r="F804" s="19" t="n">
        <f aca="false">IF('Base de Datos'!AB798="","",'Base de Datos'!AB798)</f>
        <v>30</v>
      </c>
      <c r="G804" s="15"/>
      <c r="H804" s="28"/>
      <c r="I804" s="29" t="str">
        <f aca="false">IF(OR($G804="",$G804=0),"",IFERROR(ROUND($F804*$G804*(1-IF($H804="",0,$H804)),2),""))</f>
        <v/>
      </c>
      <c r="J804" s="9"/>
    </row>
    <row r="805" customFormat="false" ht="21.75" hidden="false" customHeight="true" outlineLevel="0" collapsed="false">
      <c r="B805" s="14" t="n">
        <v>795</v>
      </c>
      <c r="C805" s="7" t="s">
        <v>55</v>
      </c>
      <c r="D805" s="7" t="s">
        <v>63</v>
      </c>
      <c r="E805" s="7" t="s">
        <v>1550</v>
      </c>
      <c r="F805" s="18" t="n">
        <f aca="false">IF('Base de Datos'!AB799="","",'Base de Datos'!AB799)</f>
        <v>40</v>
      </c>
      <c r="G805" s="14"/>
      <c r="H805" s="26"/>
      <c r="I805" s="27" t="str">
        <f aca="false">IF(OR($G805="",$G805=0),"",IFERROR(ROUND($F805*$G805*(1-IF($H805="",0,$H805)),2),""))</f>
        <v/>
      </c>
      <c r="J805" s="7"/>
    </row>
    <row r="806" customFormat="false" ht="21.75" hidden="false" customHeight="true" outlineLevel="0" collapsed="false">
      <c r="B806" s="15" t="n">
        <v>796</v>
      </c>
      <c r="C806" s="9" t="s">
        <v>55</v>
      </c>
      <c r="D806" s="9" t="s">
        <v>63</v>
      </c>
      <c r="E806" s="9" t="s">
        <v>1552</v>
      </c>
      <c r="F806" s="19" t="n">
        <f aca="false">IF('Base de Datos'!AB800="","",'Base de Datos'!AB800)</f>
        <v>55</v>
      </c>
      <c r="G806" s="15"/>
      <c r="H806" s="28"/>
      <c r="I806" s="29" t="str">
        <f aca="false">IF(OR($G806="",$G806=0),"",IFERROR(ROUND($F806*$G806*(1-IF($H806="",0,$H806)),2),""))</f>
        <v/>
      </c>
      <c r="J806" s="9"/>
    </row>
    <row r="807" customFormat="false" ht="21.75" hidden="false" customHeight="true" outlineLevel="0" collapsed="false">
      <c r="B807" s="14" t="n">
        <v>797</v>
      </c>
      <c r="C807" s="7" t="s">
        <v>55</v>
      </c>
      <c r="D807" s="7" t="s">
        <v>63</v>
      </c>
      <c r="E807" s="7" t="s">
        <v>1553</v>
      </c>
      <c r="F807" s="18" t="n">
        <f aca="false">IF('Base de Datos'!AB801="","",'Base de Datos'!AB801)</f>
        <v>85</v>
      </c>
      <c r="G807" s="14"/>
      <c r="H807" s="26"/>
      <c r="I807" s="27" t="str">
        <f aca="false">IF(OR($G807="",$G807=0),"",IFERROR(ROUND($F807*$G807*(1-IF($H807="",0,$H807)),2),""))</f>
        <v/>
      </c>
      <c r="J807" s="7"/>
    </row>
    <row r="808" customFormat="false" ht="21.75" hidden="false" customHeight="true" outlineLevel="0" collapsed="false">
      <c r="B808" s="15" t="n">
        <v>798</v>
      </c>
      <c r="C808" s="9" t="s">
        <v>55</v>
      </c>
      <c r="D808" s="9" t="s">
        <v>64</v>
      </c>
      <c r="E808" s="9" t="s">
        <v>1554</v>
      </c>
      <c r="F808" s="19" t="n">
        <f aca="false">IF('Base de Datos'!AB802="","",'Base de Datos'!AB802)</f>
        <v>30</v>
      </c>
      <c r="G808" s="15"/>
      <c r="H808" s="28"/>
      <c r="I808" s="29" t="str">
        <f aca="false">IF(OR($G808="",$G808=0),"",IFERROR(ROUND($F808*$G808*(1-IF($H808="",0,$H808)),2),""))</f>
        <v/>
      </c>
      <c r="J808" s="9"/>
    </row>
    <row r="809" customFormat="false" ht="21.75" hidden="false" customHeight="true" outlineLevel="0" collapsed="false">
      <c r="B809" s="14" t="n">
        <v>799</v>
      </c>
      <c r="C809" s="7" t="s">
        <v>55</v>
      </c>
      <c r="D809" s="7" t="s">
        <v>64</v>
      </c>
      <c r="E809" s="7" t="s">
        <v>1553</v>
      </c>
      <c r="F809" s="18" t="n">
        <f aca="false">IF('Base de Datos'!AB803="","",'Base de Datos'!AB803)</f>
        <v>45</v>
      </c>
      <c r="G809" s="14"/>
      <c r="H809" s="26"/>
      <c r="I809" s="27" t="str">
        <f aca="false">IF(OR($G809="",$G809=0),"",IFERROR(ROUND($F809*$G809*(1-IF($H809="",0,$H809)),2),""))</f>
        <v/>
      </c>
      <c r="J809" s="7"/>
    </row>
    <row r="810" customFormat="false" ht="21.75" hidden="false" customHeight="true" outlineLevel="0" collapsed="false">
      <c r="B810" s="15" t="n">
        <v>800</v>
      </c>
      <c r="C810" s="9" t="s">
        <v>55</v>
      </c>
      <c r="D810" s="9" t="s">
        <v>64</v>
      </c>
      <c r="E810" s="9" t="s">
        <v>1557</v>
      </c>
      <c r="F810" s="19" t="n">
        <f aca="false">IF('Base de Datos'!AB804="","",'Base de Datos'!AB804)</f>
        <v>60</v>
      </c>
      <c r="G810" s="15"/>
      <c r="H810" s="28"/>
      <c r="I810" s="29" t="str">
        <f aca="false">IF(OR($G810="",$G810=0),"",IFERROR(ROUND($F810*$G810*(1-IF($H810="",0,$H810)),2),""))</f>
        <v/>
      </c>
      <c r="J810" s="9"/>
    </row>
    <row r="811" customFormat="false" ht="21.75" hidden="false" customHeight="true" outlineLevel="0" collapsed="false">
      <c r="B811" s="14" t="n">
        <v>801</v>
      </c>
      <c r="C811" s="7" t="s">
        <v>55</v>
      </c>
      <c r="D811" s="7" t="s">
        <v>64</v>
      </c>
      <c r="E811" s="7" t="s">
        <v>1559</v>
      </c>
      <c r="F811" s="18" t="n">
        <f aca="false">IF('Base de Datos'!AB805="","",'Base de Datos'!AB805)</f>
        <v>95</v>
      </c>
      <c r="G811" s="14"/>
      <c r="H811" s="26"/>
      <c r="I811" s="27" t="str">
        <f aca="false">IF(OR($G811="",$G811=0),"",IFERROR(ROUND($F811*$G811*(1-IF($H811="",0,$H811)),2),""))</f>
        <v/>
      </c>
      <c r="J811" s="7"/>
    </row>
    <row r="812" customFormat="false" ht="21.75" hidden="false" customHeight="true" outlineLevel="0" collapsed="false">
      <c r="B812" s="15" t="n">
        <v>802</v>
      </c>
      <c r="C812" s="9" t="s">
        <v>55</v>
      </c>
      <c r="D812" s="9" t="s">
        <v>64</v>
      </c>
      <c r="E812" s="9" t="s">
        <v>1560</v>
      </c>
      <c r="F812" s="19" t="n">
        <f aca="false">IF('Base de Datos'!AB806="","",'Base de Datos'!AB806)</f>
        <v>135</v>
      </c>
      <c r="G812" s="15"/>
      <c r="H812" s="28"/>
      <c r="I812" s="29" t="str">
        <f aca="false">IF(OR($G812="",$G812=0),"",IFERROR(ROUND($F812*$G812*(1-IF($H812="",0,$H812)),2),""))</f>
        <v/>
      </c>
      <c r="J812" s="9"/>
    </row>
    <row r="813" customFormat="false" ht="21.75" hidden="false" customHeight="true" outlineLevel="0" collapsed="false">
      <c r="B813" s="14" t="n">
        <v>803</v>
      </c>
      <c r="C813" s="7" t="s">
        <v>55</v>
      </c>
      <c r="D813" s="7" t="s">
        <v>65</v>
      </c>
      <c r="E813" s="7" t="s">
        <v>321</v>
      </c>
      <c r="F813" s="18" t="str">
        <f aca="false">IF('Base de Datos'!AB807="","",'Base de Datos'!AB807)</f>
        <v/>
      </c>
      <c r="G813" s="14"/>
      <c r="H813" s="26"/>
      <c r="I813" s="27" t="str">
        <f aca="false">IF(OR($G813="",$G813=0),"",IFERROR(ROUND($F813*$G813*(1-IF($H813="",0,$H813)),2),""))</f>
        <v/>
      </c>
      <c r="J813" s="7"/>
    </row>
    <row r="814" customFormat="false" ht="21.75" hidden="false" customHeight="true" outlineLevel="0" collapsed="false">
      <c r="B814" s="15" t="n">
        <v>804</v>
      </c>
      <c r="C814" s="9" t="s">
        <v>55</v>
      </c>
      <c r="D814" s="9" t="s">
        <v>66</v>
      </c>
      <c r="E814" s="9" t="s">
        <v>321</v>
      </c>
      <c r="F814" s="19" t="str">
        <f aca="false">IF('Base de Datos'!AB808="","",'Base de Datos'!AB808)</f>
        <v/>
      </c>
      <c r="G814" s="15"/>
      <c r="H814" s="28"/>
      <c r="I814" s="29" t="str">
        <f aca="false">IF(OR($G814="",$G814=0),"",IFERROR(ROUND($F814*$G814*(1-IF($H814="",0,$H814)),2),""))</f>
        <v/>
      </c>
      <c r="J814" s="9"/>
    </row>
    <row r="815" customFormat="false" ht="21.75" hidden="false" customHeight="true" outlineLevel="0" collapsed="false">
      <c r="B815" s="14" t="n">
        <v>805</v>
      </c>
      <c r="C815" s="7" t="s">
        <v>55</v>
      </c>
      <c r="D815" s="7" t="s">
        <v>67</v>
      </c>
      <c r="E815" s="7" t="s">
        <v>321</v>
      </c>
      <c r="F815" s="18" t="str">
        <f aca="false">IF('Base de Datos'!AB809="","",'Base de Datos'!AB809)</f>
        <v/>
      </c>
      <c r="G815" s="14"/>
      <c r="H815" s="26"/>
      <c r="I815" s="27" t="str">
        <f aca="false">IF(OR($G815="",$G815=0),"",IFERROR(ROUND($F815*$G815*(1-IF($H815="",0,$H815)),2),""))</f>
        <v/>
      </c>
      <c r="J815" s="7"/>
    </row>
    <row r="816" customFormat="false" ht="21.75" hidden="false" customHeight="true" outlineLevel="0" collapsed="false">
      <c r="B816" s="15" t="n">
        <v>806</v>
      </c>
      <c r="C816" s="9" t="s">
        <v>55</v>
      </c>
      <c r="D816" s="9" t="s">
        <v>68</v>
      </c>
      <c r="E816" s="9" t="s">
        <v>321</v>
      </c>
      <c r="F816" s="19" t="str">
        <f aca="false">IF('Base de Datos'!AB810="","",'Base de Datos'!AB810)</f>
        <v/>
      </c>
      <c r="G816" s="15"/>
      <c r="H816" s="28"/>
      <c r="I816" s="29" t="str">
        <f aca="false">IF(OR($G816="",$G816=0),"",IFERROR(ROUND($F816*$G816*(1-IF($H816="",0,$H816)),2),""))</f>
        <v/>
      </c>
      <c r="J816" s="9"/>
    </row>
    <row r="817" customFormat="false" ht="21.75" hidden="false" customHeight="true" outlineLevel="0" collapsed="false">
      <c r="B817" s="14" t="n">
        <v>807</v>
      </c>
      <c r="C817" s="7" t="s">
        <v>55</v>
      </c>
      <c r="D817" s="7" t="s">
        <v>69</v>
      </c>
      <c r="E817" s="7" t="s">
        <v>321</v>
      </c>
      <c r="F817" s="18" t="str">
        <f aca="false">IF('Base de Datos'!AB811="","",'Base de Datos'!AB811)</f>
        <v/>
      </c>
      <c r="G817" s="14"/>
      <c r="H817" s="26"/>
      <c r="I817" s="27" t="str">
        <f aca="false">IF(OR($G817="",$G817=0),"",IFERROR(ROUND($F817*$G817*(1-IF($H817="",0,$H817)),2),""))</f>
        <v/>
      </c>
      <c r="J817" s="7"/>
    </row>
    <row r="818" customFormat="false" ht="21.75" hidden="false" customHeight="true" outlineLevel="0" collapsed="false">
      <c r="B818" s="15" t="n">
        <v>808</v>
      </c>
      <c r="C818" s="9" t="s">
        <v>55</v>
      </c>
      <c r="D818" s="9" t="s">
        <v>70</v>
      </c>
      <c r="E818" s="9" t="s">
        <v>321</v>
      </c>
      <c r="F818" s="19" t="str">
        <f aca="false">IF('Base de Datos'!AB812="","",'Base de Datos'!AB812)</f>
        <v/>
      </c>
      <c r="G818" s="15"/>
      <c r="H818" s="28"/>
      <c r="I818" s="29" t="str">
        <f aca="false">IF(OR($G818="",$G818=0),"",IFERROR(ROUND($F818*$G818*(1-IF($H818="",0,$H818)),2),""))</f>
        <v/>
      </c>
      <c r="J818" s="9"/>
    </row>
    <row r="819" customFormat="false" ht="21.75" hidden="false" customHeight="true" outlineLevel="0" collapsed="false">
      <c r="B819" s="14" t="n">
        <v>809</v>
      </c>
      <c r="C819" s="7" t="s">
        <v>55</v>
      </c>
      <c r="D819" s="7" t="s">
        <v>71</v>
      </c>
      <c r="E819" s="7" t="s">
        <v>321</v>
      </c>
      <c r="F819" s="18" t="str">
        <f aca="false">IF('Base de Datos'!AB813="","",'Base de Datos'!AB813)</f>
        <v/>
      </c>
      <c r="G819" s="14"/>
      <c r="H819" s="26"/>
      <c r="I819" s="27" t="str">
        <f aca="false">IF(OR($G819="",$G819=0),"",IFERROR(ROUND($F819*$G819*(1-IF($H819="",0,$H819)),2),""))</f>
        <v/>
      </c>
      <c r="J819" s="7"/>
    </row>
    <row r="820" customFormat="false" ht="21.75" hidden="false" customHeight="true" outlineLevel="0" collapsed="false">
      <c r="B820" s="15" t="n">
        <v>810</v>
      </c>
      <c r="C820" s="9" t="s">
        <v>55</v>
      </c>
      <c r="D820" s="9" t="s">
        <v>72</v>
      </c>
      <c r="E820" s="9" t="s">
        <v>1568</v>
      </c>
      <c r="F820" s="19" t="n">
        <f aca="false">IF('Base de Datos'!AB814="","",'Base de Datos'!AB814)</f>
        <v>40</v>
      </c>
      <c r="G820" s="15"/>
      <c r="H820" s="28"/>
      <c r="I820" s="29" t="str">
        <f aca="false">IF(OR($G820="",$G820=0),"",IFERROR(ROUND($F820*$G820*(1-IF($H820="",0,$H820)),2),""))</f>
        <v/>
      </c>
      <c r="J820" s="9"/>
    </row>
    <row r="821" customFormat="false" ht="21.75" hidden="false" customHeight="true" outlineLevel="0" collapsed="false">
      <c r="B821" s="14" t="n">
        <v>811</v>
      </c>
      <c r="C821" s="7" t="s">
        <v>55</v>
      </c>
      <c r="D821" s="7" t="s">
        <v>72</v>
      </c>
      <c r="E821" s="7" t="s">
        <v>1571</v>
      </c>
      <c r="F821" s="18" t="n">
        <f aca="false">IF('Base de Datos'!AB815="","",'Base de Datos'!AB815)</f>
        <v>60</v>
      </c>
      <c r="G821" s="14"/>
      <c r="H821" s="26"/>
      <c r="I821" s="27" t="str">
        <f aca="false">IF(OR($G821="",$G821=0),"",IFERROR(ROUND($F821*$G821*(1-IF($H821="",0,$H821)),2),""))</f>
        <v/>
      </c>
      <c r="J821" s="7"/>
    </row>
    <row r="822" customFormat="false" ht="21.75" hidden="false" customHeight="true" outlineLevel="0" collapsed="false">
      <c r="B822" s="15" t="n">
        <v>812</v>
      </c>
      <c r="C822" s="9" t="s">
        <v>55</v>
      </c>
      <c r="D822" s="9" t="s">
        <v>72</v>
      </c>
      <c r="E822" s="9" t="s">
        <v>1572</v>
      </c>
      <c r="F822" s="19" t="n">
        <f aca="false">IF('Base de Datos'!AB816="","",'Base de Datos'!AB816)</f>
        <v>80</v>
      </c>
      <c r="G822" s="15"/>
      <c r="H822" s="28"/>
      <c r="I822" s="29" t="str">
        <f aca="false">IF(OR($G822="",$G822=0),"",IFERROR(ROUND($F822*$G822*(1-IF($H822="",0,$H822)),2),""))</f>
        <v/>
      </c>
      <c r="J822" s="9"/>
    </row>
    <row r="823" customFormat="false" ht="21.75" hidden="false" customHeight="true" outlineLevel="0" collapsed="false">
      <c r="B823" s="14" t="n">
        <v>813</v>
      </c>
      <c r="C823" s="7" t="s">
        <v>55</v>
      </c>
      <c r="D823" s="7" t="s">
        <v>72</v>
      </c>
      <c r="E823" s="7" t="s">
        <v>1574</v>
      </c>
      <c r="F823" s="18" t="n">
        <f aca="false">IF('Base de Datos'!AB817="","",'Base de Datos'!AB817)</f>
        <v>115</v>
      </c>
      <c r="G823" s="14"/>
      <c r="H823" s="26"/>
      <c r="I823" s="27" t="str">
        <f aca="false">IF(OR($G823="",$G823=0),"",IFERROR(ROUND($F823*$G823*(1-IF($H823="",0,$H823)),2),""))</f>
        <v/>
      </c>
      <c r="J823" s="7"/>
    </row>
    <row r="824" customFormat="false" ht="21.75" hidden="false" customHeight="true" outlineLevel="0" collapsed="false">
      <c r="B824" s="15" t="n">
        <v>814</v>
      </c>
      <c r="C824" s="9" t="s">
        <v>55</v>
      </c>
      <c r="D824" s="9" t="s">
        <v>72</v>
      </c>
      <c r="E824" s="9" t="s">
        <v>1575</v>
      </c>
      <c r="F824" s="19" t="n">
        <f aca="false">IF('Base de Datos'!AB818="","",'Base de Datos'!AB818)</f>
        <v>170</v>
      </c>
      <c r="G824" s="15"/>
      <c r="H824" s="28"/>
      <c r="I824" s="29" t="str">
        <f aca="false">IF(OR($G824="",$G824=0),"",IFERROR(ROUND($F824*$G824*(1-IF($H824="",0,$H824)),2),""))</f>
        <v/>
      </c>
      <c r="J824" s="9"/>
    </row>
    <row r="825" customFormat="false" ht="21.75" hidden="false" customHeight="true" outlineLevel="0" collapsed="false">
      <c r="B825" s="14" t="n">
        <v>815</v>
      </c>
      <c r="C825" s="7" t="s">
        <v>55</v>
      </c>
      <c r="D825" s="7" t="s">
        <v>73</v>
      </c>
      <c r="E825" s="7" t="s">
        <v>1576</v>
      </c>
      <c r="F825" s="18" t="n">
        <f aca="false">IF('Base de Datos'!AB819="","",'Base de Datos'!AB819)</f>
        <v>25</v>
      </c>
      <c r="G825" s="14"/>
      <c r="H825" s="26"/>
      <c r="I825" s="27" t="str">
        <f aca="false">IF(OR($G825="",$G825=0),"",IFERROR(ROUND($F825*$G825*(1-IF($H825="",0,$H825)),2),""))</f>
        <v/>
      </c>
      <c r="J825" s="7"/>
    </row>
    <row r="826" customFormat="false" ht="21.75" hidden="false" customHeight="true" outlineLevel="0" collapsed="false">
      <c r="B826" s="15" t="n">
        <v>816</v>
      </c>
      <c r="C826" s="9" t="s">
        <v>55</v>
      </c>
      <c r="D826" s="9" t="s">
        <v>73</v>
      </c>
      <c r="E826" s="9" t="s">
        <v>1579</v>
      </c>
      <c r="F826" s="19" t="n">
        <f aca="false">IF('Base de Datos'!AB820="","",'Base de Datos'!AB820)</f>
        <v>35</v>
      </c>
      <c r="G826" s="15"/>
      <c r="H826" s="28"/>
      <c r="I826" s="29" t="str">
        <f aca="false">IF(OR($G826="",$G826=0),"",IFERROR(ROUND($F826*$G826*(1-IF($H826="",0,$H826)),2),""))</f>
        <v/>
      </c>
      <c r="J826" s="9"/>
    </row>
    <row r="827" customFormat="false" ht="21.75" hidden="false" customHeight="true" outlineLevel="0" collapsed="false">
      <c r="B827" s="14" t="n">
        <v>817</v>
      </c>
      <c r="C827" s="7" t="s">
        <v>55</v>
      </c>
      <c r="D827" s="7" t="s">
        <v>73</v>
      </c>
      <c r="E827" s="7" t="s">
        <v>1580</v>
      </c>
      <c r="F827" s="18" t="n">
        <f aca="false">IF('Base de Datos'!AB821="","",'Base de Datos'!AB821)</f>
        <v>45</v>
      </c>
      <c r="G827" s="14"/>
      <c r="H827" s="26"/>
      <c r="I827" s="27" t="str">
        <f aca="false">IF(OR($G827="",$G827=0),"",IFERROR(ROUND($F827*$G827*(1-IF($H827="",0,$H827)),2),""))</f>
        <v/>
      </c>
      <c r="J827" s="7"/>
    </row>
    <row r="828" customFormat="false" ht="21.75" hidden="false" customHeight="true" outlineLevel="0" collapsed="false">
      <c r="B828" s="15" t="n">
        <v>818</v>
      </c>
      <c r="C828" s="9" t="s">
        <v>55</v>
      </c>
      <c r="D828" s="9" t="s">
        <v>73</v>
      </c>
      <c r="E828" s="9" t="s">
        <v>1582</v>
      </c>
      <c r="F828" s="19" t="n">
        <f aca="false">IF('Base de Datos'!AB822="","",'Base de Datos'!AB822)</f>
        <v>70</v>
      </c>
      <c r="G828" s="15"/>
      <c r="H828" s="28"/>
      <c r="I828" s="29" t="str">
        <f aca="false">IF(OR($G828="",$G828=0),"",IFERROR(ROUND($F828*$G828*(1-IF($H828="",0,$H828)),2),""))</f>
        <v/>
      </c>
      <c r="J828" s="9"/>
    </row>
    <row r="829" customFormat="false" ht="21.75" hidden="false" customHeight="true" outlineLevel="0" collapsed="false">
      <c r="B829" s="14" t="n">
        <v>819</v>
      </c>
      <c r="C829" s="7" t="s">
        <v>55</v>
      </c>
      <c r="D829" s="7" t="s">
        <v>73</v>
      </c>
      <c r="E829" s="7" t="s">
        <v>1583</v>
      </c>
      <c r="F829" s="18" t="n">
        <f aca="false">IF('Base de Datos'!AB823="","",'Base de Datos'!AB823)</f>
        <v>100</v>
      </c>
      <c r="G829" s="14"/>
      <c r="H829" s="26"/>
      <c r="I829" s="27" t="str">
        <f aca="false">IF(OR($G829="",$G829=0),"",IFERROR(ROUND($F829*$G829*(1-IF($H829="",0,$H829)),2),""))</f>
        <v/>
      </c>
      <c r="J829" s="7"/>
    </row>
    <row r="830" customFormat="false" ht="21.75" hidden="false" customHeight="true" outlineLevel="0" collapsed="false">
      <c r="B830" s="15" t="n">
        <v>820</v>
      </c>
      <c r="C830" s="9" t="s">
        <v>55</v>
      </c>
      <c r="D830" s="9" t="s">
        <v>74</v>
      </c>
      <c r="E830" s="9" t="s">
        <v>1584</v>
      </c>
      <c r="F830" s="19" t="n">
        <f aca="false">IF('Base de Datos'!AB824="","",'Base de Datos'!AB824)</f>
        <v>25</v>
      </c>
      <c r="G830" s="15"/>
      <c r="H830" s="28"/>
      <c r="I830" s="29" t="str">
        <f aca="false">IF(OR($G830="",$G830=0),"",IFERROR(ROUND($F830*$G830*(1-IF($H830="",0,$H830)),2),""))</f>
        <v/>
      </c>
      <c r="J830" s="9"/>
    </row>
    <row r="831" customFormat="false" ht="21.75" hidden="false" customHeight="true" outlineLevel="0" collapsed="false">
      <c r="B831" s="14" t="n">
        <v>821</v>
      </c>
      <c r="C831" s="7" t="s">
        <v>55</v>
      </c>
      <c r="D831" s="7" t="s">
        <v>74</v>
      </c>
      <c r="E831" s="7" t="s">
        <v>1587</v>
      </c>
      <c r="F831" s="18" t="n">
        <f aca="false">IF('Base de Datos'!AB825="","",'Base de Datos'!AB825)</f>
        <v>25</v>
      </c>
      <c r="G831" s="14"/>
      <c r="H831" s="26"/>
      <c r="I831" s="27" t="str">
        <f aca="false">IF(OR($G831="",$G831=0),"",IFERROR(ROUND($F831*$G831*(1-IF($H831="",0,$H831)),2),""))</f>
        <v/>
      </c>
      <c r="J831" s="7"/>
    </row>
    <row r="832" customFormat="false" ht="21.75" hidden="false" customHeight="true" outlineLevel="0" collapsed="false">
      <c r="B832" s="15" t="n">
        <v>822</v>
      </c>
      <c r="C832" s="9" t="s">
        <v>55</v>
      </c>
      <c r="D832" s="9" t="s">
        <v>74</v>
      </c>
      <c r="E832" s="9" t="s">
        <v>1588</v>
      </c>
      <c r="F832" s="19" t="n">
        <f aca="false">IF('Base de Datos'!AB826="","",'Base de Datos'!AB826)</f>
        <v>35</v>
      </c>
      <c r="G832" s="15"/>
      <c r="H832" s="28"/>
      <c r="I832" s="29" t="str">
        <f aca="false">IF(OR($G832="",$G832=0),"",IFERROR(ROUND($F832*$G832*(1-IF($H832="",0,$H832)),2),""))</f>
        <v/>
      </c>
      <c r="J832" s="9"/>
    </row>
    <row r="833" customFormat="false" ht="21.75" hidden="false" customHeight="true" outlineLevel="0" collapsed="false">
      <c r="B833" s="14" t="n">
        <v>823</v>
      </c>
      <c r="C833" s="7" t="s">
        <v>55</v>
      </c>
      <c r="D833" s="7" t="s">
        <v>74</v>
      </c>
      <c r="E833" s="7" t="s">
        <v>1590</v>
      </c>
      <c r="F833" s="18" t="n">
        <f aca="false">IF('Base de Datos'!AB827="","",'Base de Datos'!AB827)</f>
        <v>50</v>
      </c>
      <c r="G833" s="14"/>
      <c r="H833" s="26"/>
      <c r="I833" s="27" t="str">
        <f aca="false">IF(OR($G833="",$G833=0),"",IFERROR(ROUND($F833*$G833*(1-IF($H833="",0,$H833)),2),""))</f>
        <v/>
      </c>
      <c r="J833" s="7"/>
    </row>
    <row r="834" customFormat="false" ht="21.75" hidden="false" customHeight="true" outlineLevel="0" collapsed="false">
      <c r="B834" s="15" t="n">
        <v>824</v>
      </c>
      <c r="C834" s="9" t="s">
        <v>55</v>
      </c>
      <c r="D834" s="9" t="s">
        <v>74</v>
      </c>
      <c r="E834" s="9" t="s">
        <v>1591</v>
      </c>
      <c r="F834" s="19" t="n">
        <f aca="false">IF('Base de Datos'!AB828="","",'Base de Datos'!AB828)</f>
        <v>75</v>
      </c>
      <c r="G834" s="15"/>
      <c r="H834" s="28"/>
      <c r="I834" s="29" t="str">
        <f aca="false">IF(OR($G834="",$G834=0),"",IFERROR(ROUND($F834*$G834*(1-IF($H834="",0,$H834)),2),""))</f>
        <v/>
      </c>
      <c r="J834" s="9"/>
    </row>
    <row r="835" customFormat="false" ht="21.75" hidden="false" customHeight="true" outlineLevel="0" collapsed="false">
      <c r="B835" s="14" t="n">
        <v>825</v>
      </c>
      <c r="C835" s="7" t="s">
        <v>56</v>
      </c>
      <c r="D835" s="7" t="s">
        <v>61</v>
      </c>
      <c r="E835" s="7" t="s">
        <v>1592</v>
      </c>
      <c r="F835" s="18" t="n">
        <f aca="false">IF('Base de Datos'!AB829="","",'Base de Datos'!AB829)</f>
        <v>25</v>
      </c>
      <c r="G835" s="14"/>
      <c r="H835" s="26"/>
      <c r="I835" s="27" t="str">
        <f aca="false">IF(OR($G835="",$G835=0),"",IFERROR(ROUND($F835*$G835*(1-IF($H835="",0,$H835)),2),""))</f>
        <v/>
      </c>
      <c r="J835" s="7"/>
    </row>
    <row r="836" customFormat="false" ht="21.75" hidden="false" customHeight="true" outlineLevel="0" collapsed="false">
      <c r="B836" s="15" t="n">
        <v>826</v>
      </c>
      <c r="C836" s="9" t="s">
        <v>56</v>
      </c>
      <c r="D836" s="9" t="s">
        <v>61</v>
      </c>
      <c r="E836" s="9" t="s">
        <v>1598</v>
      </c>
      <c r="F836" s="19" t="n">
        <f aca="false">IF('Base de Datos'!AB830="","",'Base de Datos'!AB830)</f>
        <v>25</v>
      </c>
      <c r="G836" s="15"/>
      <c r="H836" s="28"/>
      <c r="I836" s="29" t="str">
        <f aca="false">IF(OR($G836="",$G836=0),"",IFERROR(ROUND($F836*$G836*(1-IF($H836="",0,$H836)),2),""))</f>
        <v/>
      </c>
      <c r="J836" s="9"/>
    </row>
    <row r="837" customFormat="false" ht="21.75" hidden="false" customHeight="true" outlineLevel="0" collapsed="false">
      <c r="B837" s="14" t="n">
        <v>827</v>
      </c>
      <c r="C837" s="7" t="s">
        <v>56</v>
      </c>
      <c r="D837" s="7" t="s">
        <v>61</v>
      </c>
      <c r="E837" s="7" t="s">
        <v>1599</v>
      </c>
      <c r="F837" s="18" t="n">
        <f aca="false">IF('Base de Datos'!AB831="","",'Base de Datos'!AB831)</f>
        <v>30</v>
      </c>
      <c r="G837" s="14"/>
      <c r="H837" s="26"/>
      <c r="I837" s="27" t="str">
        <f aca="false">IF(OR($G837="",$G837=0),"",IFERROR(ROUND($F837*$G837*(1-IF($H837="",0,$H837)),2),""))</f>
        <v/>
      </c>
      <c r="J837" s="7"/>
    </row>
    <row r="838" customFormat="false" ht="21.75" hidden="false" customHeight="true" outlineLevel="0" collapsed="false">
      <c r="B838" s="15" t="n">
        <v>828</v>
      </c>
      <c r="C838" s="9" t="s">
        <v>56</v>
      </c>
      <c r="D838" s="9" t="s">
        <v>61</v>
      </c>
      <c r="E838" s="9" t="s">
        <v>1601</v>
      </c>
      <c r="F838" s="19" t="n">
        <f aca="false">IF('Base de Datos'!AB832="","",'Base de Datos'!AB832)</f>
        <v>45</v>
      </c>
      <c r="G838" s="15"/>
      <c r="H838" s="28"/>
      <c r="I838" s="29" t="str">
        <f aca="false">IF(OR($G838="",$G838=0),"",IFERROR(ROUND($F838*$G838*(1-IF($H838="",0,$H838)),2),""))</f>
        <v/>
      </c>
      <c r="J838" s="9"/>
    </row>
    <row r="839" customFormat="false" ht="21.75" hidden="false" customHeight="true" outlineLevel="0" collapsed="false">
      <c r="B839" s="14" t="n">
        <v>829</v>
      </c>
      <c r="C839" s="7" t="s">
        <v>56</v>
      </c>
      <c r="D839" s="7" t="s">
        <v>61</v>
      </c>
      <c r="E839" s="7" t="s">
        <v>1602</v>
      </c>
      <c r="F839" s="18" t="n">
        <f aca="false">IF('Base de Datos'!AB833="","",'Base de Datos'!AB833)</f>
        <v>65</v>
      </c>
      <c r="G839" s="14"/>
      <c r="H839" s="26"/>
      <c r="I839" s="27" t="str">
        <f aca="false">IF(OR($G839="",$G839=0),"",IFERROR(ROUND($F839*$G839*(1-IF($H839="",0,$H839)),2),""))</f>
        <v/>
      </c>
      <c r="J839" s="7"/>
    </row>
    <row r="840" customFormat="false" ht="21.75" hidden="false" customHeight="true" outlineLevel="0" collapsed="false">
      <c r="B840" s="15" t="n">
        <v>830</v>
      </c>
      <c r="C840" s="9" t="s">
        <v>56</v>
      </c>
      <c r="D840" s="9" t="s">
        <v>62</v>
      </c>
      <c r="E840" s="9" t="s">
        <v>321</v>
      </c>
      <c r="F840" s="19" t="str">
        <f aca="false">IF('Base de Datos'!AB834="","",'Base de Datos'!AB834)</f>
        <v/>
      </c>
      <c r="G840" s="15"/>
      <c r="H840" s="28"/>
      <c r="I840" s="29" t="str">
        <f aca="false">IF(OR($G840="",$G840=0),"",IFERROR(ROUND($F840*$G840*(1-IF($H840="",0,$H840)),2),""))</f>
        <v/>
      </c>
      <c r="J840" s="9"/>
    </row>
    <row r="841" customFormat="false" ht="21.75" hidden="false" customHeight="true" outlineLevel="0" collapsed="false">
      <c r="B841" s="14" t="n">
        <v>831</v>
      </c>
      <c r="C841" s="7" t="s">
        <v>56</v>
      </c>
      <c r="D841" s="7" t="s">
        <v>63</v>
      </c>
      <c r="E841" s="7" t="s">
        <v>1604</v>
      </c>
      <c r="F841" s="18" t="n">
        <f aca="false">IF('Base de Datos'!AB835="","",'Base de Datos'!AB835)</f>
        <v>25</v>
      </c>
      <c r="G841" s="14"/>
      <c r="H841" s="26"/>
      <c r="I841" s="27" t="str">
        <f aca="false">IF(OR($G841="",$G841=0),"",IFERROR(ROUND($F841*$G841*(1-IF($H841="",0,$H841)),2),""))</f>
        <v/>
      </c>
      <c r="J841" s="7"/>
    </row>
    <row r="842" customFormat="false" ht="21.75" hidden="false" customHeight="true" outlineLevel="0" collapsed="false">
      <c r="B842" s="15" t="n">
        <v>832</v>
      </c>
      <c r="C842" s="9" t="s">
        <v>56</v>
      </c>
      <c r="D842" s="9" t="s">
        <v>63</v>
      </c>
      <c r="E842" s="9" t="s">
        <v>1609</v>
      </c>
      <c r="F842" s="19" t="n">
        <f aca="false">IF('Base de Datos'!AB836="","",'Base de Datos'!AB836)</f>
        <v>30</v>
      </c>
      <c r="G842" s="15"/>
      <c r="H842" s="28"/>
      <c r="I842" s="29" t="str">
        <f aca="false">IF(OR($G842="",$G842=0),"",IFERROR(ROUND($F842*$G842*(1-IF($H842="",0,$H842)),2),""))</f>
        <v/>
      </c>
      <c r="J842" s="9"/>
    </row>
    <row r="843" customFormat="false" ht="21.75" hidden="false" customHeight="true" outlineLevel="0" collapsed="false">
      <c r="B843" s="14" t="n">
        <v>833</v>
      </c>
      <c r="C843" s="7" t="s">
        <v>56</v>
      </c>
      <c r="D843" s="7" t="s">
        <v>63</v>
      </c>
      <c r="E843" s="7" t="s">
        <v>1610</v>
      </c>
      <c r="F843" s="18" t="n">
        <f aca="false">IF('Base de Datos'!AB837="","",'Base de Datos'!AB837)</f>
        <v>40</v>
      </c>
      <c r="G843" s="14"/>
      <c r="H843" s="26"/>
      <c r="I843" s="27" t="str">
        <f aca="false">IF(OR($G843="",$G843=0),"",IFERROR(ROUND($F843*$G843*(1-IF($H843="",0,$H843)),2),""))</f>
        <v/>
      </c>
      <c r="J843" s="7"/>
    </row>
    <row r="844" customFormat="false" ht="21.75" hidden="false" customHeight="true" outlineLevel="0" collapsed="false">
      <c r="B844" s="15" t="n">
        <v>834</v>
      </c>
      <c r="C844" s="9" t="s">
        <v>56</v>
      </c>
      <c r="D844" s="9" t="s">
        <v>63</v>
      </c>
      <c r="E844" s="9" t="s">
        <v>1612</v>
      </c>
      <c r="F844" s="19" t="n">
        <f aca="false">IF('Base de Datos'!AB838="","",'Base de Datos'!AB838)</f>
        <v>55</v>
      </c>
      <c r="G844" s="15"/>
      <c r="H844" s="28"/>
      <c r="I844" s="29" t="str">
        <f aca="false">IF(OR($G844="",$G844=0),"",IFERROR(ROUND($F844*$G844*(1-IF($H844="",0,$H844)),2),""))</f>
        <v/>
      </c>
      <c r="J844" s="9"/>
    </row>
    <row r="845" customFormat="false" ht="21.75" hidden="false" customHeight="true" outlineLevel="0" collapsed="false">
      <c r="B845" s="14" t="n">
        <v>835</v>
      </c>
      <c r="C845" s="7" t="s">
        <v>56</v>
      </c>
      <c r="D845" s="7" t="s">
        <v>63</v>
      </c>
      <c r="E845" s="7" t="s">
        <v>1613</v>
      </c>
      <c r="F845" s="18" t="n">
        <f aca="false">IF('Base de Datos'!AB839="","",'Base de Datos'!AB839)</f>
        <v>85</v>
      </c>
      <c r="G845" s="14"/>
      <c r="H845" s="26"/>
      <c r="I845" s="27" t="str">
        <f aca="false">IF(OR($G845="",$G845=0),"",IFERROR(ROUND($F845*$G845*(1-IF($H845="",0,$H845)),2),""))</f>
        <v/>
      </c>
      <c r="J845" s="7"/>
    </row>
    <row r="846" customFormat="false" ht="21.75" hidden="false" customHeight="true" outlineLevel="0" collapsed="false">
      <c r="B846" s="15" t="n">
        <v>836</v>
      </c>
      <c r="C846" s="9" t="s">
        <v>56</v>
      </c>
      <c r="D846" s="9" t="s">
        <v>64</v>
      </c>
      <c r="E846" s="9" t="s">
        <v>1614</v>
      </c>
      <c r="F846" s="19" t="n">
        <f aca="false">IF('Base de Datos'!AB840="","",'Base de Datos'!AB840)</f>
        <v>30</v>
      </c>
      <c r="G846" s="15"/>
      <c r="H846" s="28"/>
      <c r="I846" s="29" t="str">
        <f aca="false">IF(OR($G846="",$G846=0),"",IFERROR(ROUND($F846*$G846*(1-IF($H846="",0,$H846)),2),""))</f>
        <v/>
      </c>
      <c r="J846" s="9"/>
    </row>
    <row r="847" customFormat="false" ht="21.75" hidden="false" customHeight="true" outlineLevel="0" collapsed="false">
      <c r="B847" s="14" t="n">
        <v>837</v>
      </c>
      <c r="C847" s="7" t="s">
        <v>56</v>
      </c>
      <c r="D847" s="7" t="s">
        <v>64</v>
      </c>
      <c r="E847" s="7" t="s">
        <v>1617</v>
      </c>
      <c r="F847" s="18" t="n">
        <f aca="false">IF('Base de Datos'!AB841="","",'Base de Datos'!AB841)</f>
        <v>40</v>
      </c>
      <c r="G847" s="14"/>
      <c r="H847" s="26"/>
      <c r="I847" s="27" t="str">
        <f aca="false">IF(OR($G847="",$G847=0),"",IFERROR(ROUND($F847*$G847*(1-IF($H847="",0,$H847)),2),""))</f>
        <v/>
      </c>
      <c r="J847" s="7"/>
    </row>
    <row r="848" customFormat="false" ht="21.75" hidden="false" customHeight="true" outlineLevel="0" collapsed="false">
      <c r="B848" s="15" t="n">
        <v>838</v>
      </c>
      <c r="C848" s="9" t="s">
        <v>56</v>
      </c>
      <c r="D848" s="9" t="s">
        <v>64</v>
      </c>
      <c r="E848" s="9" t="s">
        <v>1618</v>
      </c>
      <c r="F848" s="19" t="n">
        <f aca="false">IF('Base de Datos'!AB842="","",'Base de Datos'!AB842)</f>
        <v>55</v>
      </c>
      <c r="G848" s="15"/>
      <c r="H848" s="28"/>
      <c r="I848" s="29" t="str">
        <f aca="false">IF(OR($G848="",$G848=0),"",IFERROR(ROUND($F848*$G848*(1-IF($H848="",0,$H848)),2),""))</f>
        <v/>
      </c>
      <c r="J848" s="9"/>
    </row>
    <row r="849" customFormat="false" ht="21.75" hidden="false" customHeight="true" outlineLevel="0" collapsed="false">
      <c r="B849" s="14" t="n">
        <v>839</v>
      </c>
      <c r="C849" s="7" t="s">
        <v>56</v>
      </c>
      <c r="D849" s="7" t="s">
        <v>64</v>
      </c>
      <c r="E849" s="7" t="s">
        <v>1619</v>
      </c>
      <c r="F849" s="18" t="n">
        <f aca="false">IF('Base de Datos'!AB843="","",'Base de Datos'!AB843)</f>
        <v>80</v>
      </c>
      <c r="G849" s="14"/>
      <c r="H849" s="26"/>
      <c r="I849" s="27" t="str">
        <f aca="false">IF(OR($G849="",$G849=0),"",IFERROR(ROUND($F849*$G849*(1-IF($H849="",0,$H849)),2),""))</f>
        <v/>
      </c>
      <c r="J849" s="7"/>
    </row>
    <row r="850" customFormat="false" ht="21.75" hidden="false" customHeight="true" outlineLevel="0" collapsed="false">
      <c r="B850" s="15" t="n">
        <v>840</v>
      </c>
      <c r="C850" s="9" t="s">
        <v>56</v>
      </c>
      <c r="D850" s="9" t="s">
        <v>64</v>
      </c>
      <c r="E850" s="9" t="s">
        <v>1620</v>
      </c>
      <c r="F850" s="19" t="n">
        <f aca="false">IF('Base de Datos'!AB844="","",'Base de Datos'!AB844)</f>
        <v>120</v>
      </c>
      <c r="G850" s="15"/>
      <c r="H850" s="28"/>
      <c r="I850" s="29" t="str">
        <f aca="false">IF(OR($G850="",$G850=0),"",IFERROR(ROUND($F850*$G850*(1-IF($H850="",0,$H850)),2),""))</f>
        <v/>
      </c>
      <c r="J850" s="9"/>
    </row>
    <row r="851" customFormat="false" ht="21.75" hidden="false" customHeight="true" outlineLevel="0" collapsed="false">
      <c r="B851" s="14" t="n">
        <v>841</v>
      </c>
      <c r="C851" s="7" t="s">
        <v>56</v>
      </c>
      <c r="D851" s="7" t="s">
        <v>65</v>
      </c>
      <c r="E851" s="7" t="s">
        <v>321</v>
      </c>
      <c r="F851" s="18" t="str">
        <f aca="false">IF('Base de Datos'!AB845="","",'Base de Datos'!AB845)</f>
        <v/>
      </c>
      <c r="G851" s="14"/>
      <c r="H851" s="26"/>
      <c r="I851" s="27" t="str">
        <f aca="false">IF(OR($G851="",$G851=0),"",IFERROR(ROUND($F851*$G851*(1-IF($H851="",0,$H851)),2),""))</f>
        <v/>
      </c>
      <c r="J851" s="7"/>
    </row>
    <row r="852" customFormat="false" ht="21.75" hidden="false" customHeight="true" outlineLevel="0" collapsed="false">
      <c r="B852" s="15" t="n">
        <v>842</v>
      </c>
      <c r="C852" s="9" t="s">
        <v>56</v>
      </c>
      <c r="D852" s="9" t="s">
        <v>66</v>
      </c>
      <c r="E852" s="9" t="s">
        <v>321</v>
      </c>
      <c r="F852" s="19" t="str">
        <f aca="false">IF('Base de Datos'!AB846="","",'Base de Datos'!AB846)</f>
        <v/>
      </c>
      <c r="G852" s="15"/>
      <c r="H852" s="28"/>
      <c r="I852" s="29" t="str">
        <f aca="false">IF(OR($G852="",$G852=0),"",IFERROR(ROUND($F852*$G852*(1-IF($H852="",0,$H852)),2),""))</f>
        <v/>
      </c>
      <c r="J852" s="9"/>
    </row>
    <row r="853" customFormat="false" ht="21.75" hidden="false" customHeight="true" outlineLevel="0" collapsed="false">
      <c r="B853" s="14" t="n">
        <v>843</v>
      </c>
      <c r="C853" s="7" t="s">
        <v>56</v>
      </c>
      <c r="D853" s="7" t="s">
        <v>67</v>
      </c>
      <c r="E853" s="7" t="s">
        <v>321</v>
      </c>
      <c r="F853" s="18" t="str">
        <f aca="false">IF('Base de Datos'!AB847="","",'Base de Datos'!AB847)</f>
        <v/>
      </c>
      <c r="G853" s="14"/>
      <c r="H853" s="26"/>
      <c r="I853" s="27" t="str">
        <f aca="false">IF(OR($G853="",$G853=0),"",IFERROR(ROUND($F853*$G853*(1-IF($H853="",0,$H853)),2),""))</f>
        <v/>
      </c>
      <c r="J853" s="7"/>
    </row>
    <row r="854" customFormat="false" ht="21.75" hidden="false" customHeight="true" outlineLevel="0" collapsed="false">
      <c r="B854" s="15" t="n">
        <v>844</v>
      </c>
      <c r="C854" s="9" t="s">
        <v>56</v>
      </c>
      <c r="D854" s="9" t="s">
        <v>68</v>
      </c>
      <c r="E854" s="9" t="s">
        <v>321</v>
      </c>
      <c r="F854" s="19" t="str">
        <f aca="false">IF('Base de Datos'!AB848="","",'Base de Datos'!AB848)</f>
        <v/>
      </c>
      <c r="G854" s="15"/>
      <c r="H854" s="28"/>
      <c r="I854" s="29" t="str">
        <f aca="false">IF(OR($G854="",$G854=0),"",IFERROR(ROUND($F854*$G854*(1-IF($H854="",0,$H854)),2),""))</f>
        <v/>
      </c>
      <c r="J854" s="9"/>
    </row>
    <row r="855" customFormat="false" ht="21.75" hidden="false" customHeight="true" outlineLevel="0" collapsed="false">
      <c r="B855" s="14" t="n">
        <v>845</v>
      </c>
      <c r="C855" s="7" t="s">
        <v>56</v>
      </c>
      <c r="D855" s="7" t="s">
        <v>69</v>
      </c>
      <c r="E855" s="7" t="s">
        <v>321</v>
      </c>
      <c r="F855" s="18" t="str">
        <f aca="false">IF('Base de Datos'!AB849="","",'Base de Datos'!AB849)</f>
        <v/>
      </c>
      <c r="G855" s="14"/>
      <c r="H855" s="26"/>
      <c r="I855" s="27" t="str">
        <f aca="false">IF(OR($G855="",$G855=0),"",IFERROR(ROUND($F855*$G855*(1-IF($H855="",0,$H855)),2),""))</f>
        <v/>
      </c>
      <c r="J855" s="7"/>
    </row>
    <row r="856" customFormat="false" ht="21.75" hidden="false" customHeight="true" outlineLevel="0" collapsed="false">
      <c r="B856" s="15" t="n">
        <v>846</v>
      </c>
      <c r="C856" s="9" t="s">
        <v>56</v>
      </c>
      <c r="D856" s="9" t="s">
        <v>70</v>
      </c>
      <c r="E856" s="9" t="s">
        <v>321</v>
      </c>
      <c r="F856" s="19" t="str">
        <f aca="false">IF('Base de Datos'!AB850="","",'Base de Datos'!AB850)</f>
        <v/>
      </c>
      <c r="G856" s="15"/>
      <c r="H856" s="28"/>
      <c r="I856" s="29" t="str">
        <f aca="false">IF(OR($G856="",$G856=0),"",IFERROR(ROUND($F856*$G856*(1-IF($H856="",0,$H856)),2),""))</f>
        <v/>
      </c>
      <c r="J856" s="9"/>
    </row>
    <row r="857" customFormat="false" ht="21.75" hidden="false" customHeight="true" outlineLevel="0" collapsed="false">
      <c r="B857" s="14" t="n">
        <v>847</v>
      </c>
      <c r="C857" s="7" t="s">
        <v>56</v>
      </c>
      <c r="D857" s="7" t="s">
        <v>71</v>
      </c>
      <c r="E857" s="7" t="s">
        <v>321</v>
      </c>
      <c r="F857" s="18" t="str">
        <f aca="false">IF('Base de Datos'!AB851="","",'Base de Datos'!AB851)</f>
        <v/>
      </c>
      <c r="G857" s="14"/>
      <c r="H857" s="26"/>
      <c r="I857" s="27" t="str">
        <f aca="false">IF(OR($G857="",$G857=0),"",IFERROR(ROUND($F857*$G857*(1-IF($H857="",0,$H857)),2),""))</f>
        <v/>
      </c>
      <c r="J857" s="7"/>
    </row>
    <row r="858" customFormat="false" ht="21.75" hidden="false" customHeight="true" outlineLevel="0" collapsed="false">
      <c r="B858" s="15" t="n">
        <v>848</v>
      </c>
      <c r="C858" s="9" t="s">
        <v>56</v>
      </c>
      <c r="D858" s="9" t="s">
        <v>72</v>
      </c>
      <c r="E858" s="9" t="s">
        <v>1622</v>
      </c>
      <c r="F858" s="19" t="n">
        <f aca="false">IF('Base de Datos'!AB852="","",'Base de Datos'!AB852)</f>
        <v>45</v>
      </c>
      <c r="G858" s="15"/>
      <c r="H858" s="28"/>
      <c r="I858" s="29" t="str">
        <f aca="false">IF(OR($G858="",$G858=0),"",IFERROR(ROUND($F858*$G858*(1-IF($H858="",0,$H858)),2),""))</f>
        <v/>
      </c>
      <c r="J858" s="9"/>
    </row>
    <row r="859" customFormat="false" ht="21.75" hidden="false" customHeight="true" outlineLevel="0" collapsed="false">
      <c r="B859" s="14" t="n">
        <v>849</v>
      </c>
      <c r="C859" s="7" t="s">
        <v>56</v>
      </c>
      <c r="D859" s="7" t="s">
        <v>72</v>
      </c>
      <c r="E859" s="7" t="s">
        <v>1625</v>
      </c>
      <c r="F859" s="18" t="n">
        <f aca="false">IF('Base de Datos'!AB853="","",'Base de Datos'!AB853)</f>
        <v>65</v>
      </c>
      <c r="G859" s="14"/>
      <c r="H859" s="26"/>
      <c r="I859" s="27" t="str">
        <f aca="false">IF(OR($G859="",$G859=0),"",IFERROR(ROUND($F859*$G859*(1-IF($H859="",0,$H859)),2),""))</f>
        <v/>
      </c>
      <c r="J859" s="7"/>
    </row>
    <row r="860" customFormat="false" ht="21.75" hidden="false" customHeight="true" outlineLevel="0" collapsed="false">
      <c r="B860" s="15" t="n">
        <v>850</v>
      </c>
      <c r="C860" s="9" t="s">
        <v>56</v>
      </c>
      <c r="D860" s="9" t="s">
        <v>72</v>
      </c>
      <c r="E860" s="9" t="s">
        <v>1626</v>
      </c>
      <c r="F860" s="19" t="n">
        <f aca="false">IF('Base de Datos'!AB854="","",'Base de Datos'!AB854)</f>
        <v>90</v>
      </c>
      <c r="G860" s="15"/>
      <c r="H860" s="28"/>
      <c r="I860" s="29" t="str">
        <f aca="false">IF(OR($G860="",$G860=0),"",IFERROR(ROUND($F860*$G860*(1-IF($H860="",0,$H860)),2),""))</f>
        <v/>
      </c>
      <c r="J860" s="9"/>
    </row>
    <row r="861" customFormat="false" ht="21.75" hidden="false" customHeight="true" outlineLevel="0" collapsed="false">
      <c r="B861" s="14" t="n">
        <v>851</v>
      </c>
      <c r="C861" s="7" t="s">
        <v>56</v>
      </c>
      <c r="D861" s="7" t="s">
        <v>72</v>
      </c>
      <c r="E861" s="7" t="s">
        <v>1627</v>
      </c>
      <c r="F861" s="18" t="n">
        <f aca="false">IF('Base de Datos'!AB855="","",'Base de Datos'!AB855)</f>
        <v>135</v>
      </c>
      <c r="G861" s="14"/>
      <c r="H861" s="26"/>
      <c r="I861" s="27" t="str">
        <f aca="false">IF(OR($G861="",$G861=0),"",IFERROR(ROUND($F861*$G861*(1-IF($H861="",0,$H861)),2),""))</f>
        <v/>
      </c>
      <c r="J861" s="7"/>
    </row>
    <row r="862" customFormat="false" ht="21.75" hidden="false" customHeight="true" outlineLevel="0" collapsed="false">
      <c r="B862" s="15" t="n">
        <v>852</v>
      </c>
      <c r="C862" s="9" t="s">
        <v>56</v>
      </c>
      <c r="D862" s="9" t="s">
        <v>72</v>
      </c>
      <c r="E862" s="9" t="s">
        <v>1628</v>
      </c>
      <c r="F862" s="19" t="n">
        <f aca="false">IF('Base de Datos'!AB856="","",'Base de Datos'!AB856)</f>
        <v>195</v>
      </c>
      <c r="G862" s="15"/>
      <c r="H862" s="28"/>
      <c r="I862" s="29" t="str">
        <f aca="false">IF(OR($G862="",$G862=0),"",IFERROR(ROUND($F862*$G862*(1-IF($H862="",0,$H862)),2),""))</f>
        <v/>
      </c>
      <c r="J862" s="9"/>
    </row>
    <row r="863" customFormat="false" ht="21.75" hidden="false" customHeight="true" outlineLevel="0" collapsed="false">
      <c r="B863" s="14" t="n">
        <v>853</v>
      </c>
      <c r="C863" s="7" t="s">
        <v>56</v>
      </c>
      <c r="D863" s="7" t="s">
        <v>73</v>
      </c>
      <c r="E863" s="7" t="s">
        <v>1613</v>
      </c>
      <c r="F863" s="18" t="n">
        <f aca="false">IF('Base de Datos'!AB857="","",'Base de Datos'!AB857)</f>
        <v>30</v>
      </c>
      <c r="G863" s="14"/>
      <c r="H863" s="26"/>
      <c r="I863" s="27" t="str">
        <f aca="false">IF(OR($G863="",$G863=0),"",IFERROR(ROUND($F863*$G863*(1-IF($H863="",0,$H863)),2),""))</f>
        <v/>
      </c>
      <c r="J863" s="7"/>
    </row>
    <row r="864" customFormat="false" ht="21.75" hidden="false" customHeight="true" outlineLevel="0" collapsed="false">
      <c r="B864" s="15" t="n">
        <v>854</v>
      </c>
      <c r="C864" s="9" t="s">
        <v>56</v>
      </c>
      <c r="D864" s="9" t="s">
        <v>73</v>
      </c>
      <c r="E864" s="9" t="s">
        <v>1631</v>
      </c>
      <c r="F864" s="19" t="n">
        <f aca="false">IF('Base de Datos'!AB858="","",'Base de Datos'!AB858)</f>
        <v>45</v>
      </c>
      <c r="G864" s="15"/>
      <c r="H864" s="28"/>
      <c r="I864" s="29" t="str">
        <f aca="false">IF(OR($G864="",$G864=0),"",IFERROR(ROUND($F864*$G864*(1-IF($H864="",0,$H864)),2),""))</f>
        <v/>
      </c>
      <c r="J864" s="9"/>
    </row>
    <row r="865" customFormat="false" ht="21.75" hidden="false" customHeight="true" outlineLevel="0" collapsed="false">
      <c r="B865" s="14" t="n">
        <v>855</v>
      </c>
      <c r="C865" s="7" t="s">
        <v>56</v>
      </c>
      <c r="D865" s="7" t="s">
        <v>73</v>
      </c>
      <c r="E865" s="7" t="s">
        <v>1619</v>
      </c>
      <c r="F865" s="18" t="n">
        <f aca="false">IF('Base de Datos'!AB859="","",'Base de Datos'!AB859)</f>
        <v>60</v>
      </c>
      <c r="G865" s="14"/>
      <c r="H865" s="26"/>
      <c r="I865" s="27" t="str">
        <f aca="false">IF(OR($G865="",$G865=0),"",IFERROR(ROUND($F865*$G865*(1-IF($H865="",0,$H865)),2),""))</f>
        <v/>
      </c>
      <c r="J865" s="7"/>
    </row>
    <row r="866" customFormat="false" ht="21.75" hidden="false" customHeight="true" outlineLevel="0" collapsed="false">
      <c r="B866" s="15" t="n">
        <v>856</v>
      </c>
      <c r="C866" s="9" t="s">
        <v>56</v>
      </c>
      <c r="D866" s="9" t="s">
        <v>73</v>
      </c>
      <c r="E866" s="9" t="s">
        <v>1620</v>
      </c>
      <c r="F866" s="19" t="n">
        <f aca="false">IF('Base de Datos'!AB860="","",'Base de Datos'!AB860)</f>
        <v>95</v>
      </c>
      <c r="G866" s="15"/>
      <c r="H866" s="28"/>
      <c r="I866" s="29" t="str">
        <f aca="false">IF(OR($G866="",$G866=0),"",IFERROR(ROUND($F866*$G866*(1-IF($H866="",0,$H866)),2),""))</f>
        <v/>
      </c>
      <c r="J866" s="9"/>
    </row>
    <row r="867" customFormat="false" ht="21.75" hidden="false" customHeight="true" outlineLevel="0" collapsed="false">
      <c r="B867" s="14" t="n">
        <v>857</v>
      </c>
      <c r="C867" s="7" t="s">
        <v>56</v>
      </c>
      <c r="D867" s="7" t="s">
        <v>73</v>
      </c>
      <c r="E867" s="7" t="s">
        <v>1626</v>
      </c>
      <c r="F867" s="18" t="n">
        <f aca="false">IF('Base de Datos'!AB861="","",'Base de Datos'!AB861)</f>
        <v>135</v>
      </c>
      <c r="G867" s="14"/>
      <c r="H867" s="26"/>
      <c r="I867" s="27" t="str">
        <f aca="false">IF(OR($G867="",$G867=0),"",IFERROR(ROUND($F867*$G867*(1-IF($H867="",0,$H867)),2),""))</f>
        <v/>
      </c>
      <c r="J867" s="7"/>
    </row>
    <row r="868" customFormat="false" ht="21.75" hidden="false" customHeight="true" outlineLevel="0" collapsed="false">
      <c r="B868" s="15" t="n">
        <v>858</v>
      </c>
      <c r="C868" s="9" t="s">
        <v>56</v>
      </c>
      <c r="D868" s="9" t="s">
        <v>74</v>
      </c>
      <c r="E868" s="9" t="s">
        <v>1633</v>
      </c>
      <c r="F868" s="19" t="n">
        <f aca="false">IF('Base de Datos'!AB862="","",'Base de Datos'!AB862)</f>
        <v>25</v>
      </c>
      <c r="G868" s="15"/>
      <c r="H868" s="28"/>
      <c r="I868" s="29" t="str">
        <f aca="false">IF(OR($G868="",$G868=0),"",IFERROR(ROUND($F868*$G868*(1-IF($H868="",0,$H868)),2),""))</f>
        <v/>
      </c>
      <c r="J868" s="9"/>
    </row>
    <row r="869" customFormat="false" ht="21.75" hidden="false" customHeight="true" outlineLevel="0" collapsed="false">
      <c r="B869" s="14" t="n">
        <v>859</v>
      </c>
      <c r="C869" s="7" t="s">
        <v>56</v>
      </c>
      <c r="D869" s="7" t="s">
        <v>74</v>
      </c>
      <c r="E869" s="7" t="s">
        <v>1636</v>
      </c>
      <c r="F869" s="18" t="n">
        <f aca="false">IF('Base de Datos'!AB863="","",'Base de Datos'!AB863)</f>
        <v>25</v>
      </c>
      <c r="G869" s="14"/>
      <c r="H869" s="26"/>
      <c r="I869" s="27" t="str">
        <f aca="false">IF(OR($G869="",$G869=0),"",IFERROR(ROUND($F869*$G869*(1-IF($H869="",0,$H869)),2),""))</f>
        <v/>
      </c>
      <c r="J869" s="7"/>
    </row>
    <row r="870" customFormat="false" ht="21.75" hidden="false" customHeight="true" outlineLevel="0" collapsed="false">
      <c r="B870" s="15" t="n">
        <v>860</v>
      </c>
      <c r="C870" s="9" t="s">
        <v>56</v>
      </c>
      <c r="D870" s="9" t="s">
        <v>74</v>
      </c>
      <c r="E870" s="9" t="s">
        <v>1592</v>
      </c>
      <c r="F870" s="19" t="n">
        <f aca="false">IF('Base de Datos'!AB864="","",'Base de Datos'!AB864)</f>
        <v>35</v>
      </c>
      <c r="G870" s="15"/>
      <c r="H870" s="28"/>
      <c r="I870" s="29" t="str">
        <f aca="false">IF(OR($G870="",$G870=0),"",IFERROR(ROUND($F870*$G870*(1-IF($H870="",0,$H870)),2),""))</f>
        <v/>
      </c>
      <c r="J870" s="9"/>
    </row>
    <row r="871" customFormat="false" ht="21.75" hidden="false" customHeight="true" outlineLevel="0" collapsed="false">
      <c r="B871" s="14" t="n">
        <v>861</v>
      </c>
      <c r="C871" s="7" t="s">
        <v>56</v>
      </c>
      <c r="D871" s="7" t="s">
        <v>74</v>
      </c>
      <c r="E871" s="7" t="s">
        <v>1638</v>
      </c>
      <c r="F871" s="18" t="n">
        <f aca="false">IF('Base de Datos'!AB865="","",'Base de Datos'!AB865)</f>
        <v>50</v>
      </c>
      <c r="G871" s="14"/>
      <c r="H871" s="26"/>
      <c r="I871" s="27" t="str">
        <f aca="false">IF(OR($G871="",$G871=0),"",IFERROR(ROUND($F871*$G871*(1-IF($H871="",0,$H871)),2),""))</f>
        <v/>
      </c>
      <c r="J871" s="7"/>
    </row>
    <row r="872" customFormat="false" ht="21.75" hidden="false" customHeight="true" outlineLevel="0" collapsed="false">
      <c r="B872" s="15" t="n">
        <v>862</v>
      </c>
      <c r="C872" s="9" t="s">
        <v>56</v>
      </c>
      <c r="D872" s="9" t="s">
        <v>74</v>
      </c>
      <c r="E872" s="9" t="s">
        <v>1639</v>
      </c>
      <c r="F872" s="19" t="n">
        <f aca="false">IF('Base de Datos'!AB866="","",'Base de Datos'!AB866)</f>
        <v>75</v>
      </c>
      <c r="G872" s="15"/>
      <c r="H872" s="28"/>
      <c r="I872" s="29" t="str">
        <f aca="false">IF(OR($G872="",$G872=0),"",IFERROR(ROUND($F872*$G872*(1-IF($H872="",0,$H872)),2),""))</f>
        <v/>
      </c>
      <c r="J872" s="9"/>
    </row>
    <row r="873" customFormat="false" ht="21.75" hidden="false" customHeight="true" outlineLevel="0" collapsed="false">
      <c r="B873" s="14" t="n">
        <v>863</v>
      </c>
      <c r="C873" s="7" t="s">
        <v>57</v>
      </c>
      <c r="D873" s="7" t="s">
        <v>61</v>
      </c>
      <c r="E873" s="7" t="s">
        <v>1640</v>
      </c>
      <c r="F873" s="18" t="n">
        <f aca="false">IF('Base de Datos'!AB867="","",'Base de Datos'!AB867)</f>
        <v>50</v>
      </c>
      <c r="G873" s="14"/>
      <c r="H873" s="26"/>
      <c r="I873" s="27" t="str">
        <f aca="false">IF(OR($G873="",$G873=0),"",IFERROR(ROUND($F873*$G873*(1-IF($H873="",0,$H873)),2),""))</f>
        <v/>
      </c>
      <c r="J873" s="7"/>
    </row>
    <row r="874" customFormat="false" ht="21.75" hidden="false" customHeight="true" outlineLevel="0" collapsed="false">
      <c r="B874" s="15" t="n">
        <v>864</v>
      </c>
      <c r="C874" s="9" t="s">
        <v>57</v>
      </c>
      <c r="D874" s="9" t="s">
        <v>61</v>
      </c>
      <c r="E874" s="9" t="s">
        <v>1645</v>
      </c>
      <c r="F874" s="19" t="n">
        <f aca="false">IF('Base de Datos'!AB868="","",'Base de Datos'!AB868)</f>
        <v>80</v>
      </c>
      <c r="G874" s="15"/>
      <c r="H874" s="28"/>
      <c r="I874" s="29" t="str">
        <f aca="false">IF(OR($G874="",$G874=0),"",IFERROR(ROUND($F874*$G874*(1-IF($H874="",0,$H874)),2),""))</f>
        <v/>
      </c>
      <c r="J874" s="9"/>
    </row>
    <row r="875" customFormat="false" ht="21.75" hidden="false" customHeight="true" outlineLevel="0" collapsed="false">
      <c r="B875" s="14" t="n">
        <v>865</v>
      </c>
      <c r="C875" s="7" t="s">
        <v>57</v>
      </c>
      <c r="D875" s="7" t="s">
        <v>61</v>
      </c>
      <c r="E875" s="7" t="s">
        <v>1646</v>
      </c>
      <c r="F875" s="18" t="n">
        <f aca="false">IF('Base de Datos'!AB869="","",'Base de Datos'!AB869)</f>
        <v>105</v>
      </c>
      <c r="G875" s="14"/>
      <c r="H875" s="26"/>
      <c r="I875" s="27" t="str">
        <f aca="false">IF(OR($G875="",$G875=0),"",IFERROR(ROUND($F875*$G875*(1-IF($H875="",0,$H875)),2),""))</f>
        <v/>
      </c>
      <c r="J875" s="7"/>
    </row>
    <row r="876" customFormat="false" ht="21.75" hidden="false" customHeight="true" outlineLevel="0" collapsed="false">
      <c r="B876" s="15" t="n">
        <v>866</v>
      </c>
      <c r="C876" s="9" t="s">
        <v>57</v>
      </c>
      <c r="D876" s="9" t="s">
        <v>61</v>
      </c>
      <c r="E876" s="9" t="s">
        <v>1648</v>
      </c>
      <c r="F876" s="19" t="n">
        <f aca="false">IF('Base de Datos'!AB870="","",'Base de Datos'!AB870)</f>
        <v>160</v>
      </c>
      <c r="G876" s="15"/>
      <c r="H876" s="28"/>
      <c r="I876" s="29" t="str">
        <f aca="false">IF(OR($G876="",$G876=0),"",IFERROR(ROUND($F876*$G876*(1-IF($H876="",0,$H876)),2),""))</f>
        <v/>
      </c>
      <c r="J876" s="9"/>
    </row>
    <row r="877" customFormat="false" ht="21.75" hidden="false" customHeight="true" outlineLevel="0" collapsed="false">
      <c r="B877" s="14" t="n">
        <v>867</v>
      </c>
      <c r="C877" s="7" t="s">
        <v>57</v>
      </c>
      <c r="D877" s="7" t="s">
        <v>61</v>
      </c>
      <c r="E877" s="7" t="s">
        <v>1649</v>
      </c>
      <c r="F877" s="18" t="n">
        <f aca="false">IF('Base de Datos'!AB871="","",'Base de Datos'!AB871)</f>
        <v>230</v>
      </c>
      <c r="G877" s="14"/>
      <c r="H877" s="26"/>
      <c r="I877" s="27" t="str">
        <f aca="false">IF(OR($G877="",$G877=0),"",IFERROR(ROUND($F877*$G877*(1-IF($H877="",0,$H877)),2),""))</f>
        <v/>
      </c>
      <c r="J877" s="7"/>
    </row>
    <row r="878" customFormat="false" ht="21.75" hidden="false" customHeight="true" outlineLevel="0" collapsed="false">
      <c r="B878" s="15" t="n">
        <v>868</v>
      </c>
      <c r="C878" s="9" t="s">
        <v>57</v>
      </c>
      <c r="D878" s="9" t="s">
        <v>62</v>
      </c>
      <c r="E878" s="9" t="s">
        <v>321</v>
      </c>
      <c r="F878" s="19" t="str">
        <f aca="false">IF('Base de Datos'!AB872="","",'Base de Datos'!AB872)</f>
        <v/>
      </c>
      <c r="G878" s="15"/>
      <c r="H878" s="28"/>
      <c r="I878" s="29" t="str">
        <f aca="false">IF(OR($G878="",$G878=0),"",IFERROR(ROUND($F878*$G878*(1-IF($H878="",0,$H878)),2),""))</f>
        <v/>
      </c>
      <c r="J878" s="9"/>
    </row>
    <row r="879" customFormat="false" ht="21.75" hidden="false" customHeight="true" outlineLevel="0" collapsed="false">
      <c r="B879" s="14" t="n">
        <v>869</v>
      </c>
      <c r="C879" s="7" t="s">
        <v>57</v>
      </c>
      <c r="D879" s="7" t="s">
        <v>63</v>
      </c>
      <c r="E879" s="7" t="s">
        <v>1651</v>
      </c>
      <c r="F879" s="18" t="n">
        <f aca="false">IF('Base de Datos'!AB873="","",'Base de Datos'!AB873)</f>
        <v>35</v>
      </c>
      <c r="G879" s="14"/>
      <c r="H879" s="26"/>
      <c r="I879" s="27" t="str">
        <f aca="false">IF(OR($G879="",$G879=0),"",IFERROR(ROUND($F879*$G879*(1-IF($H879="",0,$H879)),2),""))</f>
        <v/>
      </c>
      <c r="J879" s="7"/>
    </row>
    <row r="880" customFormat="false" ht="21.75" hidden="false" customHeight="true" outlineLevel="0" collapsed="false">
      <c r="B880" s="15" t="n">
        <v>870</v>
      </c>
      <c r="C880" s="9" t="s">
        <v>57</v>
      </c>
      <c r="D880" s="9" t="s">
        <v>63</v>
      </c>
      <c r="E880" s="9" t="s">
        <v>1653</v>
      </c>
      <c r="F880" s="19" t="n">
        <f aca="false">IF('Base de Datos'!AB874="","",'Base de Datos'!AB874)</f>
        <v>50</v>
      </c>
      <c r="G880" s="15"/>
      <c r="H880" s="28"/>
      <c r="I880" s="29" t="str">
        <f aca="false">IF(OR($G880="",$G880=0),"",IFERROR(ROUND($F880*$G880*(1-IF($H880="",0,$H880)),2),""))</f>
        <v/>
      </c>
      <c r="J880" s="9"/>
    </row>
    <row r="881" customFormat="false" ht="21.75" hidden="false" customHeight="true" outlineLevel="0" collapsed="false">
      <c r="B881" s="14" t="n">
        <v>871</v>
      </c>
      <c r="C881" s="7" t="s">
        <v>57</v>
      </c>
      <c r="D881" s="7" t="s">
        <v>63</v>
      </c>
      <c r="E881" s="7" t="s">
        <v>1654</v>
      </c>
      <c r="F881" s="18" t="n">
        <f aca="false">IF('Base de Datos'!AB875="","",'Base de Datos'!AB875)</f>
        <v>70</v>
      </c>
      <c r="G881" s="14"/>
      <c r="H881" s="26"/>
      <c r="I881" s="27" t="str">
        <f aca="false">IF(OR($G881="",$G881=0),"",IFERROR(ROUND($F881*$G881*(1-IF($H881="",0,$H881)),2),""))</f>
        <v/>
      </c>
      <c r="J881" s="7"/>
    </row>
    <row r="882" customFormat="false" ht="21.75" hidden="false" customHeight="true" outlineLevel="0" collapsed="false">
      <c r="B882" s="15" t="n">
        <v>872</v>
      </c>
      <c r="C882" s="9" t="s">
        <v>57</v>
      </c>
      <c r="D882" s="9" t="s">
        <v>63</v>
      </c>
      <c r="E882" s="9" t="s">
        <v>1656</v>
      </c>
      <c r="F882" s="19" t="n">
        <f aca="false">IF('Base de Datos'!AB876="","",'Base de Datos'!AB876)</f>
        <v>105</v>
      </c>
      <c r="G882" s="15"/>
      <c r="H882" s="28"/>
      <c r="I882" s="29" t="str">
        <f aca="false">IF(OR($G882="",$G882=0),"",IFERROR(ROUND($F882*$G882*(1-IF($H882="",0,$H882)),2),""))</f>
        <v/>
      </c>
      <c r="J882" s="9"/>
    </row>
    <row r="883" customFormat="false" ht="21.75" hidden="false" customHeight="true" outlineLevel="0" collapsed="false">
      <c r="B883" s="14" t="n">
        <v>873</v>
      </c>
      <c r="C883" s="7" t="s">
        <v>57</v>
      </c>
      <c r="D883" s="7" t="s">
        <v>63</v>
      </c>
      <c r="E883" s="7" t="s">
        <v>1657</v>
      </c>
      <c r="F883" s="18" t="n">
        <f aca="false">IF('Base de Datos'!AB877="","",'Base de Datos'!AB877)</f>
        <v>155</v>
      </c>
      <c r="G883" s="14"/>
      <c r="H883" s="26"/>
      <c r="I883" s="27" t="str">
        <f aca="false">IF(OR($G883="",$G883=0),"",IFERROR(ROUND($F883*$G883*(1-IF($H883="",0,$H883)),2),""))</f>
        <v/>
      </c>
      <c r="J883" s="7"/>
    </row>
    <row r="884" customFormat="false" ht="21.75" hidden="false" customHeight="true" outlineLevel="0" collapsed="false">
      <c r="B884" s="15" t="n">
        <v>874</v>
      </c>
      <c r="C884" s="9" t="s">
        <v>57</v>
      </c>
      <c r="D884" s="9" t="s">
        <v>64</v>
      </c>
      <c r="E884" s="9" t="s">
        <v>1658</v>
      </c>
      <c r="F884" s="19" t="n">
        <f aca="false">IF('Base de Datos'!AB878="","",'Base de Datos'!AB878)</f>
        <v>95</v>
      </c>
      <c r="G884" s="15"/>
      <c r="H884" s="28"/>
      <c r="I884" s="29" t="str">
        <f aca="false">IF(OR($G884="",$G884=0),"",IFERROR(ROUND($F884*$G884*(1-IF($H884="",0,$H884)),2),""))</f>
        <v/>
      </c>
      <c r="J884" s="9"/>
    </row>
    <row r="885" customFormat="false" ht="21.75" hidden="false" customHeight="true" outlineLevel="0" collapsed="false">
      <c r="B885" s="14" t="n">
        <v>875</v>
      </c>
      <c r="C885" s="7" t="s">
        <v>57</v>
      </c>
      <c r="D885" s="7" t="s">
        <v>64</v>
      </c>
      <c r="E885" s="7" t="s">
        <v>1662</v>
      </c>
      <c r="F885" s="18" t="n">
        <f aca="false">IF('Base de Datos'!AB879="","",'Base de Datos'!AB879)</f>
        <v>140</v>
      </c>
      <c r="G885" s="14"/>
      <c r="H885" s="26"/>
      <c r="I885" s="27" t="str">
        <f aca="false">IF(OR($G885="",$G885=0),"",IFERROR(ROUND($F885*$G885*(1-IF($H885="",0,$H885)),2),""))</f>
        <v/>
      </c>
      <c r="J885" s="7"/>
    </row>
    <row r="886" customFormat="false" ht="21.75" hidden="false" customHeight="true" outlineLevel="0" collapsed="false">
      <c r="B886" s="15" t="n">
        <v>876</v>
      </c>
      <c r="C886" s="9" t="s">
        <v>57</v>
      </c>
      <c r="D886" s="9" t="s">
        <v>64</v>
      </c>
      <c r="E886" s="9" t="s">
        <v>1663</v>
      </c>
      <c r="F886" s="19" t="n">
        <f aca="false">IF('Base de Datos'!AB880="","",'Base de Datos'!AB880)</f>
        <v>190</v>
      </c>
      <c r="G886" s="15"/>
      <c r="H886" s="28"/>
      <c r="I886" s="29" t="str">
        <f aca="false">IF(OR($G886="",$G886=0),"",IFERROR(ROUND($F886*$G886*(1-IF($H886="",0,$H886)),2),""))</f>
        <v/>
      </c>
      <c r="J886" s="9"/>
    </row>
    <row r="887" customFormat="false" ht="21.75" hidden="false" customHeight="true" outlineLevel="0" collapsed="false">
      <c r="B887" s="14" t="n">
        <v>877</v>
      </c>
      <c r="C887" s="7" t="s">
        <v>57</v>
      </c>
      <c r="D887" s="7" t="s">
        <v>64</v>
      </c>
      <c r="E887" s="7" t="s">
        <v>1665</v>
      </c>
      <c r="F887" s="18" t="n">
        <f aca="false">IF('Base de Datos'!AB881="","",'Base de Datos'!AB881)</f>
        <v>285</v>
      </c>
      <c r="G887" s="14"/>
      <c r="H887" s="26"/>
      <c r="I887" s="27" t="str">
        <f aca="false">IF(OR($G887="",$G887=0),"",IFERROR(ROUND($F887*$G887*(1-IF($H887="",0,$H887)),2),""))</f>
        <v/>
      </c>
      <c r="J887" s="7"/>
    </row>
    <row r="888" customFormat="false" ht="21.75" hidden="false" customHeight="true" outlineLevel="0" collapsed="false">
      <c r="B888" s="15" t="n">
        <v>878</v>
      </c>
      <c r="C888" s="9" t="s">
        <v>57</v>
      </c>
      <c r="D888" s="9" t="s">
        <v>64</v>
      </c>
      <c r="E888" s="9" t="s">
        <v>1666</v>
      </c>
      <c r="F888" s="19" t="n">
        <f aca="false">IF('Base de Datos'!AB882="","",'Base de Datos'!AB882)</f>
        <v>420</v>
      </c>
      <c r="G888" s="15"/>
      <c r="H888" s="28"/>
      <c r="I888" s="29" t="str">
        <f aca="false">IF(OR($G888="",$G888=0),"",IFERROR(ROUND($F888*$G888*(1-IF($H888="",0,$H888)),2),""))</f>
        <v/>
      </c>
      <c r="J888" s="9"/>
    </row>
    <row r="889" customFormat="false" ht="21.75" hidden="false" customHeight="true" outlineLevel="0" collapsed="false">
      <c r="B889" s="14" t="n">
        <v>879</v>
      </c>
      <c r="C889" s="7" t="s">
        <v>57</v>
      </c>
      <c r="D889" s="7" t="s">
        <v>65</v>
      </c>
      <c r="E889" s="7" t="s">
        <v>321</v>
      </c>
      <c r="F889" s="18" t="str">
        <f aca="false">IF('Base de Datos'!AB883="","",'Base de Datos'!AB883)</f>
        <v/>
      </c>
      <c r="G889" s="14"/>
      <c r="H889" s="26"/>
      <c r="I889" s="27" t="str">
        <f aca="false">IF(OR($G889="",$G889=0),"",IFERROR(ROUND($F889*$G889*(1-IF($H889="",0,$H889)),2),""))</f>
        <v/>
      </c>
      <c r="J889" s="7"/>
    </row>
    <row r="890" customFormat="false" ht="21.75" hidden="false" customHeight="true" outlineLevel="0" collapsed="false">
      <c r="B890" s="15" t="n">
        <v>880</v>
      </c>
      <c r="C890" s="9" t="s">
        <v>57</v>
      </c>
      <c r="D890" s="9" t="s">
        <v>66</v>
      </c>
      <c r="E890" s="9" t="s">
        <v>321</v>
      </c>
      <c r="F890" s="19" t="str">
        <f aca="false">IF('Base de Datos'!AB884="","",'Base de Datos'!AB884)</f>
        <v/>
      </c>
      <c r="G890" s="15"/>
      <c r="H890" s="28"/>
      <c r="I890" s="29" t="str">
        <f aca="false">IF(OR($G890="",$G890=0),"",IFERROR(ROUND($F890*$G890*(1-IF($H890="",0,$H890)),2),""))</f>
        <v/>
      </c>
      <c r="J890" s="9"/>
    </row>
    <row r="891" customFormat="false" ht="21.75" hidden="false" customHeight="true" outlineLevel="0" collapsed="false">
      <c r="B891" s="14" t="n">
        <v>881</v>
      </c>
      <c r="C891" s="7" t="s">
        <v>57</v>
      </c>
      <c r="D891" s="7" t="s">
        <v>67</v>
      </c>
      <c r="E891" s="7" t="s">
        <v>321</v>
      </c>
      <c r="F891" s="18" t="str">
        <f aca="false">IF('Base de Datos'!AB885="","",'Base de Datos'!AB885)</f>
        <v/>
      </c>
      <c r="G891" s="14"/>
      <c r="H891" s="26"/>
      <c r="I891" s="27" t="str">
        <f aca="false">IF(OR($G891="",$G891=0),"",IFERROR(ROUND($F891*$G891*(1-IF($H891="",0,$H891)),2),""))</f>
        <v/>
      </c>
      <c r="J891" s="7"/>
    </row>
    <row r="892" customFormat="false" ht="21.75" hidden="false" customHeight="true" outlineLevel="0" collapsed="false">
      <c r="B892" s="15" t="n">
        <v>882</v>
      </c>
      <c r="C892" s="9" t="s">
        <v>57</v>
      </c>
      <c r="D892" s="9" t="s">
        <v>68</v>
      </c>
      <c r="E892" s="9" t="s">
        <v>321</v>
      </c>
      <c r="F892" s="19" t="str">
        <f aca="false">IF('Base de Datos'!AB886="","",'Base de Datos'!AB886)</f>
        <v/>
      </c>
      <c r="G892" s="15"/>
      <c r="H892" s="28"/>
      <c r="I892" s="29" t="str">
        <f aca="false">IF(OR($G892="",$G892=0),"",IFERROR(ROUND($F892*$G892*(1-IF($H892="",0,$H892)),2),""))</f>
        <v/>
      </c>
      <c r="J892" s="9"/>
    </row>
    <row r="893" customFormat="false" ht="21.75" hidden="false" customHeight="true" outlineLevel="0" collapsed="false">
      <c r="B893" s="14" t="n">
        <v>883</v>
      </c>
      <c r="C893" s="7" t="s">
        <v>57</v>
      </c>
      <c r="D893" s="7" t="s">
        <v>69</v>
      </c>
      <c r="E893" s="7" t="s">
        <v>321</v>
      </c>
      <c r="F893" s="18" t="str">
        <f aca="false">IF('Base de Datos'!AB887="","",'Base de Datos'!AB887)</f>
        <v/>
      </c>
      <c r="G893" s="14"/>
      <c r="H893" s="26"/>
      <c r="I893" s="27" t="str">
        <f aca="false">IF(OR($G893="",$G893=0),"",IFERROR(ROUND($F893*$G893*(1-IF($H893="",0,$H893)),2),""))</f>
        <v/>
      </c>
      <c r="J893" s="7"/>
    </row>
    <row r="894" customFormat="false" ht="21.75" hidden="false" customHeight="true" outlineLevel="0" collapsed="false">
      <c r="B894" s="15" t="n">
        <v>884</v>
      </c>
      <c r="C894" s="9" t="s">
        <v>57</v>
      </c>
      <c r="D894" s="9" t="s">
        <v>70</v>
      </c>
      <c r="E894" s="9" t="s">
        <v>321</v>
      </c>
      <c r="F894" s="19" t="str">
        <f aca="false">IF('Base de Datos'!AB888="","",'Base de Datos'!AB888)</f>
        <v/>
      </c>
      <c r="G894" s="15"/>
      <c r="H894" s="28"/>
      <c r="I894" s="29" t="str">
        <f aca="false">IF(OR($G894="",$G894=0),"",IFERROR(ROUND($F894*$G894*(1-IF($H894="",0,$H894)),2),""))</f>
        <v/>
      </c>
      <c r="J894" s="9"/>
    </row>
    <row r="895" customFormat="false" ht="21.75" hidden="false" customHeight="true" outlineLevel="0" collapsed="false">
      <c r="B895" s="14" t="n">
        <v>885</v>
      </c>
      <c r="C895" s="7" t="s">
        <v>57</v>
      </c>
      <c r="D895" s="7" t="s">
        <v>71</v>
      </c>
      <c r="E895" s="7" t="s">
        <v>321</v>
      </c>
      <c r="F895" s="18" t="str">
        <f aca="false">IF('Base de Datos'!AB889="","",'Base de Datos'!AB889)</f>
        <v/>
      </c>
      <c r="G895" s="14"/>
      <c r="H895" s="26"/>
      <c r="I895" s="27" t="str">
        <f aca="false">IF(OR($G895="",$G895=0),"",IFERROR(ROUND($F895*$G895*(1-IF($H895="",0,$H895)),2),""))</f>
        <v/>
      </c>
      <c r="J895" s="7"/>
    </row>
    <row r="896" customFormat="false" ht="21.75" hidden="false" customHeight="true" outlineLevel="0" collapsed="false">
      <c r="B896" s="15" t="n">
        <v>886</v>
      </c>
      <c r="C896" s="9" t="s">
        <v>57</v>
      </c>
      <c r="D896" s="9" t="s">
        <v>72</v>
      </c>
      <c r="E896" s="9" t="s">
        <v>1674</v>
      </c>
      <c r="F896" s="19" t="n">
        <f aca="false">IF('Base de Datos'!AB890="","",'Base de Datos'!AB890)</f>
        <v>65</v>
      </c>
      <c r="G896" s="15"/>
      <c r="H896" s="28"/>
      <c r="I896" s="29" t="str">
        <f aca="false">IF(OR($G896="",$G896=0),"",IFERROR(ROUND($F896*$G896*(1-IF($H896="",0,$H896)),2),""))</f>
        <v/>
      </c>
      <c r="J896" s="9"/>
    </row>
    <row r="897" customFormat="false" ht="21.75" hidden="false" customHeight="true" outlineLevel="0" collapsed="false">
      <c r="B897" s="14" t="n">
        <v>887</v>
      </c>
      <c r="C897" s="7" t="s">
        <v>57</v>
      </c>
      <c r="D897" s="7" t="s">
        <v>72</v>
      </c>
      <c r="E897" s="7" t="s">
        <v>1678</v>
      </c>
      <c r="F897" s="18" t="n">
        <f aca="false">IF('Base de Datos'!AB891="","",'Base de Datos'!AB891)</f>
        <v>100</v>
      </c>
      <c r="G897" s="14"/>
      <c r="H897" s="26"/>
      <c r="I897" s="27" t="str">
        <f aca="false">IF(OR($G897="",$G897=0),"",IFERROR(ROUND($F897*$G897*(1-IF($H897="",0,$H897)),2),""))</f>
        <v/>
      </c>
      <c r="J897" s="7"/>
    </row>
    <row r="898" customFormat="false" ht="21.75" hidden="false" customHeight="true" outlineLevel="0" collapsed="false">
      <c r="B898" s="15" t="n">
        <v>888</v>
      </c>
      <c r="C898" s="9" t="s">
        <v>57</v>
      </c>
      <c r="D898" s="9" t="s">
        <v>72</v>
      </c>
      <c r="E898" s="9" t="s">
        <v>1679</v>
      </c>
      <c r="F898" s="19" t="n">
        <f aca="false">IF('Base de Datos'!AB892="","",'Base de Datos'!AB892)</f>
        <v>130</v>
      </c>
      <c r="G898" s="15"/>
      <c r="H898" s="28"/>
      <c r="I898" s="29" t="str">
        <f aca="false">IF(OR($G898="",$G898=0),"",IFERROR(ROUND($F898*$G898*(1-IF($H898="",0,$H898)),2),""))</f>
        <v/>
      </c>
      <c r="J898" s="9"/>
    </row>
    <row r="899" customFormat="false" ht="21.75" hidden="false" customHeight="true" outlineLevel="0" collapsed="false">
      <c r="B899" s="14" t="n">
        <v>889</v>
      </c>
      <c r="C899" s="7" t="s">
        <v>57</v>
      </c>
      <c r="D899" s="7" t="s">
        <v>72</v>
      </c>
      <c r="E899" s="7" t="s">
        <v>1681</v>
      </c>
      <c r="F899" s="18" t="n">
        <f aca="false">IF('Base de Datos'!AB893="","",'Base de Datos'!AB893)</f>
        <v>195</v>
      </c>
      <c r="G899" s="14"/>
      <c r="H899" s="26"/>
      <c r="I899" s="27" t="str">
        <f aca="false">IF(OR($G899="",$G899=0),"",IFERROR(ROUND($F899*$G899*(1-IF($H899="",0,$H899)),2),""))</f>
        <v/>
      </c>
      <c r="J899" s="7"/>
    </row>
    <row r="900" customFormat="false" ht="21.75" hidden="false" customHeight="true" outlineLevel="0" collapsed="false">
      <c r="B900" s="15" t="n">
        <v>890</v>
      </c>
      <c r="C900" s="9" t="s">
        <v>57</v>
      </c>
      <c r="D900" s="9" t="s">
        <v>72</v>
      </c>
      <c r="E900" s="9" t="s">
        <v>1682</v>
      </c>
      <c r="F900" s="19" t="n">
        <f aca="false">IF('Base de Datos'!AB894="","",'Base de Datos'!AB894)</f>
        <v>285</v>
      </c>
      <c r="G900" s="15"/>
      <c r="H900" s="28"/>
      <c r="I900" s="29" t="str">
        <f aca="false">IF(OR($G900="",$G900=0),"",IFERROR(ROUND($F900*$G900*(1-IF($H900="",0,$H900)),2),""))</f>
        <v/>
      </c>
      <c r="J900" s="9"/>
    </row>
    <row r="901" customFormat="false" ht="21.75" hidden="false" customHeight="true" outlineLevel="0" collapsed="false">
      <c r="B901" s="14" t="n">
        <v>891</v>
      </c>
      <c r="C901" s="7" t="s">
        <v>57</v>
      </c>
      <c r="D901" s="7" t="s">
        <v>73</v>
      </c>
      <c r="E901" s="7" t="s">
        <v>1651</v>
      </c>
      <c r="F901" s="18" t="n">
        <f aca="false">IF('Base de Datos'!AB895="","",'Base de Datos'!AB895)</f>
        <v>50</v>
      </c>
      <c r="G901" s="14"/>
      <c r="H901" s="26"/>
      <c r="I901" s="27" t="str">
        <f aca="false">IF(OR($G901="",$G901=0),"",IFERROR(ROUND($F901*$G901*(1-IF($H901="",0,$H901)),2),""))</f>
        <v/>
      </c>
      <c r="J901" s="7"/>
    </row>
    <row r="902" customFormat="false" ht="21.75" hidden="false" customHeight="true" outlineLevel="0" collapsed="false">
      <c r="B902" s="15" t="n">
        <v>892</v>
      </c>
      <c r="C902" s="9" t="s">
        <v>57</v>
      </c>
      <c r="D902" s="9" t="s">
        <v>73</v>
      </c>
      <c r="E902" s="9" t="s">
        <v>1653</v>
      </c>
      <c r="F902" s="19" t="n">
        <f aca="false">IF('Base de Datos'!AB896="","",'Base de Datos'!AB896)</f>
        <v>70</v>
      </c>
      <c r="G902" s="15"/>
      <c r="H902" s="28"/>
      <c r="I902" s="29" t="str">
        <f aca="false">IF(OR($G902="",$G902=0),"",IFERROR(ROUND($F902*$G902*(1-IF($H902="",0,$H902)),2),""))</f>
        <v/>
      </c>
      <c r="J902" s="9"/>
    </row>
    <row r="903" customFormat="false" ht="21.75" hidden="false" customHeight="true" outlineLevel="0" collapsed="false">
      <c r="B903" s="14" t="n">
        <v>893</v>
      </c>
      <c r="C903" s="7" t="s">
        <v>57</v>
      </c>
      <c r="D903" s="7" t="s">
        <v>73</v>
      </c>
      <c r="E903" s="7" t="s">
        <v>1656</v>
      </c>
      <c r="F903" s="18" t="n">
        <f aca="false">IF('Base de Datos'!AB897="","",'Base de Datos'!AB897)</f>
        <v>95</v>
      </c>
      <c r="G903" s="14"/>
      <c r="H903" s="26"/>
      <c r="I903" s="27" t="str">
        <f aca="false">IF(OR($G903="",$G903=0),"",IFERROR(ROUND($F903*$G903*(1-IF($H903="",0,$H903)),2),""))</f>
        <v/>
      </c>
      <c r="J903" s="7"/>
    </row>
    <row r="904" customFormat="false" ht="21.75" hidden="false" customHeight="true" outlineLevel="0" collapsed="false">
      <c r="B904" s="15" t="n">
        <v>894</v>
      </c>
      <c r="C904" s="9" t="s">
        <v>57</v>
      </c>
      <c r="D904" s="9" t="s">
        <v>73</v>
      </c>
      <c r="E904" s="9" t="s">
        <v>1657</v>
      </c>
      <c r="F904" s="19" t="n">
        <f aca="false">IF('Base de Datos'!AB898="","",'Base de Datos'!AB898)</f>
        <v>140</v>
      </c>
      <c r="G904" s="15"/>
      <c r="H904" s="28"/>
      <c r="I904" s="29" t="str">
        <f aca="false">IF(OR($G904="",$G904=0),"",IFERROR(ROUND($F904*$G904*(1-IF($H904="",0,$H904)),2),""))</f>
        <v/>
      </c>
      <c r="J904" s="9"/>
    </row>
    <row r="905" customFormat="false" ht="21.75" hidden="false" customHeight="true" outlineLevel="0" collapsed="false">
      <c r="B905" s="14" t="n">
        <v>895</v>
      </c>
      <c r="C905" s="7" t="s">
        <v>57</v>
      </c>
      <c r="D905" s="7" t="s">
        <v>73</v>
      </c>
      <c r="E905" s="7" t="s">
        <v>1663</v>
      </c>
      <c r="F905" s="18" t="n">
        <f aca="false">IF('Base de Datos'!AB899="","",'Base de Datos'!AB899)</f>
        <v>210</v>
      </c>
      <c r="G905" s="14"/>
      <c r="H905" s="26"/>
      <c r="I905" s="27" t="str">
        <f aca="false">IF(OR($G905="",$G905=0),"",IFERROR(ROUND($F905*$G905*(1-IF($H905="",0,$H905)),2),""))</f>
        <v/>
      </c>
      <c r="J905" s="7"/>
    </row>
    <row r="906" customFormat="false" ht="21.75" hidden="false" customHeight="true" outlineLevel="0" collapsed="false">
      <c r="B906" s="15" t="n">
        <v>896</v>
      </c>
      <c r="C906" s="9" t="s">
        <v>57</v>
      </c>
      <c r="D906" s="9" t="s">
        <v>74</v>
      </c>
      <c r="E906" s="9" t="s">
        <v>1686</v>
      </c>
      <c r="F906" s="19" t="n">
        <f aca="false">IF('Base de Datos'!AB900="","",'Base de Datos'!AB900)</f>
        <v>25</v>
      </c>
      <c r="G906" s="15"/>
      <c r="H906" s="28"/>
      <c r="I906" s="29" t="str">
        <f aca="false">IF(OR($G906="",$G906=0),"",IFERROR(ROUND($F906*$G906*(1-IF($H906="",0,$H906)),2),""))</f>
        <v/>
      </c>
      <c r="J906" s="9"/>
    </row>
    <row r="907" customFormat="false" ht="21.75" hidden="false" customHeight="true" outlineLevel="0" collapsed="false">
      <c r="B907" s="14" t="n">
        <v>897</v>
      </c>
      <c r="C907" s="7" t="s">
        <v>57</v>
      </c>
      <c r="D907" s="7" t="s">
        <v>74</v>
      </c>
      <c r="E907" s="7" t="s">
        <v>1690</v>
      </c>
      <c r="F907" s="18" t="n">
        <f aca="false">IF('Base de Datos'!AB901="","",'Base de Datos'!AB901)</f>
        <v>40</v>
      </c>
      <c r="G907" s="14"/>
      <c r="H907" s="26"/>
      <c r="I907" s="27" t="str">
        <f aca="false">IF(OR($G907="",$G907=0),"",IFERROR(ROUND($F907*$G907*(1-IF($H907="",0,$H907)),2),""))</f>
        <v/>
      </c>
      <c r="J907" s="7"/>
    </row>
    <row r="908" customFormat="false" ht="21.75" hidden="false" customHeight="true" outlineLevel="0" collapsed="false">
      <c r="B908" s="15" t="n">
        <v>898</v>
      </c>
      <c r="C908" s="9" t="s">
        <v>57</v>
      </c>
      <c r="D908" s="9" t="s">
        <v>74</v>
      </c>
      <c r="E908" s="9" t="s">
        <v>1691</v>
      </c>
      <c r="F908" s="19" t="n">
        <f aca="false">IF('Base de Datos'!AB902="","",'Base de Datos'!AB902)</f>
        <v>50</v>
      </c>
      <c r="G908" s="15"/>
      <c r="H908" s="28"/>
      <c r="I908" s="29" t="str">
        <f aca="false">IF(OR($G908="",$G908=0),"",IFERROR(ROUND($F908*$G908*(1-IF($H908="",0,$H908)),2),""))</f>
        <v/>
      </c>
      <c r="J908" s="9"/>
    </row>
    <row r="909" customFormat="false" ht="21.75" hidden="false" customHeight="true" outlineLevel="0" collapsed="false">
      <c r="B909" s="14" t="n">
        <v>899</v>
      </c>
      <c r="C909" s="7" t="s">
        <v>57</v>
      </c>
      <c r="D909" s="7" t="s">
        <v>74</v>
      </c>
      <c r="E909" s="7" t="s">
        <v>1693</v>
      </c>
      <c r="F909" s="18" t="n">
        <f aca="false">IF('Base de Datos'!AB903="","",'Base de Datos'!AB903)</f>
        <v>75</v>
      </c>
      <c r="G909" s="14"/>
      <c r="H909" s="26"/>
      <c r="I909" s="27" t="str">
        <f aca="false">IF(OR($G909="",$G909=0),"",IFERROR(ROUND($F909*$G909*(1-IF($H909="",0,$H909)),2),""))</f>
        <v/>
      </c>
      <c r="J909" s="7"/>
    </row>
    <row r="910" customFormat="false" ht="21.75" hidden="false" customHeight="true" outlineLevel="0" collapsed="false">
      <c r="B910" s="15" t="n">
        <v>900</v>
      </c>
      <c r="C910" s="9" t="s">
        <v>57</v>
      </c>
      <c r="D910" s="9" t="s">
        <v>74</v>
      </c>
      <c r="E910" s="9" t="s">
        <v>1694</v>
      </c>
      <c r="F910" s="19" t="n">
        <f aca="false">IF('Base de Datos'!AB904="","",'Base de Datos'!AB904)</f>
        <v>110</v>
      </c>
      <c r="G910" s="15"/>
      <c r="H910" s="28"/>
      <c r="I910" s="29" t="str">
        <f aca="false">IF(OR($G910="",$G910=0),"",IFERROR(ROUND($F910*$G910*(1-IF($H910="",0,$H910)),2),""))</f>
        <v/>
      </c>
      <c r="J910" s="9"/>
    </row>
    <row r="911" customFormat="false" ht="21.75" hidden="false" customHeight="true" outlineLevel="0" collapsed="false">
      <c r="B911" s="14" t="n">
        <v>901</v>
      </c>
      <c r="C911" s="7" t="s">
        <v>58</v>
      </c>
      <c r="D911" s="7" t="s">
        <v>61</v>
      </c>
      <c r="E911" s="7" t="s">
        <v>1695</v>
      </c>
      <c r="F911" s="18" t="n">
        <f aca="false">IF('Base de Datos'!AB905="","",'Base de Datos'!AB905)</f>
        <v>30</v>
      </c>
      <c r="G911" s="14"/>
      <c r="H911" s="26"/>
      <c r="I911" s="27" t="str">
        <f aca="false">IF(OR($G911="",$G911=0),"",IFERROR(ROUND($F911*$G911*(1-IF($H911="",0,$H911)),2),""))</f>
        <v/>
      </c>
      <c r="J911" s="7"/>
    </row>
    <row r="912" customFormat="false" ht="21.75" hidden="false" customHeight="true" outlineLevel="0" collapsed="false">
      <c r="B912" s="15" t="n">
        <v>902</v>
      </c>
      <c r="C912" s="9" t="s">
        <v>58</v>
      </c>
      <c r="D912" s="9" t="s">
        <v>61</v>
      </c>
      <c r="E912" s="9" t="s">
        <v>1696</v>
      </c>
      <c r="F912" s="19" t="n">
        <f aca="false">IF('Base de Datos'!AB906="","",'Base de Datos'!AB906)</f>
        <v>45</v>
      </c>
      <c r="G912" s="15"/>
      <c r="H912" s="28"/>
      <c r="I912" s="29" t="str">
        <f aca="false">IF(OR($G912="",$G912=0),"",IFERROR(ROUND($F912*$G912*(1-IF($H912="",0,$H912)),2),""))</f>
        <v/>
      </c>
      <c r="J912" s="9"/>
    </row>
    <row r="913" customFormat="false" ht="21.75" hidden="false" customHeight="true" outlineLevel="0" collapsed="false">
      <c r="B913" s="14" t="n">
        <v>903</v>
      </c>
      <c r="C913" s="7" t="s">
        <v>58</v>
      </c>
      <c r="D913" s="7" t="s">
        <v>61</v>
      </c>
      <c r="E913" s="7" t="s">
        <v>1697</v>
      </c>
      <c r="F913" s="18" t="n">
        <f aca="false">IF('Base de Datos'!AB907="","",'Base de Datos'!AB907)</f>
        <v>60</v>
      </c>
      <c r="G913" s="14"/>
      <c r="H913" s="26"/>
      <c r="I913" s="27" t="str">
        <f aca="false">IF(OR($G913="",$G913=0),"",IFERROR(ROUND($F913*$G913*(1-IF($H913="",0,$H913)),2),""))</f>
        <v/>
      </c>
      <c r="J913" s="7"/>
    </row>
    <row r="914" customFormat="false" ht="21.75" hidden="false" customHeight="true" outlineLevel="0" collapsed="false">
      <c r="B914" s="15" t="n">
        <v>904</v>
      </c>
      <c r="C914" s="9" t="s">
        <v>58</v>
      </c>
      <c r="D914" s="9" t="s">
        <v>61</v>
      </c>
      <c r="E914" s="9" t="s">
        <v>1699</v>
      </c>
      <c r="F914" s="19" t="n">
        <f aca="false">IF('Base de Datos'!AB908="","",'Base de Datos'!AB908)</f>
        <v>90</v>
      </c>
      <c r="G914" s="15"/>
      <c r="H914" s="28"/>
      <c r="I914" s="29" t="str">
        <f aca="false">IF(OR($G914="",$G914=0),"",IFERROR(ROUND($F914*$G914*(1-IF($H914="",0,$H914)),2),""))</f>
        <v/>
      </c>
      <c r="J914" s="9"/>
    </row>
    <row r="915" customFormat="false" ht="21.75" hidden="false" customHeight="true" outlineLevel="0" collapsed="false">
      <c r="B915" s="14" t="n">
        <v>905</v>
      </c>
      <c r="C915" s="7" t="s">
        <v>58</v>
      </c>
      <c r="D915" s="7" t="s">
        <v>61</v>
      </c>
      <c r="E915" s="7" t="s">
        <v>1700</v>
      </c>
      <c r="F915" s="18" t="n">
        <f aca="false">IF('Base de Datos'!AB909="","",'Base de Datos'!AB909)</f>
        <v>130</v>
      </c>
      <c r="G915" s="14"/>
      <c r="H915" s="26"/>
      <c r="I915" s="27" t="str">
        <f aca="false">IF(OR($G915="",$G915=0),"",IFERROR(ROUND($F915*$G915*(1-IF($H915="",0,$H915)),2),""))</f>
        <v/>
      </c>
      <c r="J915" s="7"/>
    </row>
    <row r="916" customFormat="false" ht="21.75" hidden="false" customHeight="true" outlineLevel="0" collapsed="false">
      <c r="B916" s="15" t="n">
        <v>906</v>
      </c>
      <c r="C916" s="9" t="s">
        <v>58</v>
      </c>
      <c r="D916" s="9" t="s">
        <v>62</v>
      </c>
      <c r="E916" s="9" t="s">
        <v>1701</v>
      </c>
      <c r="F916" s="19" t="n">
        <f aca="false">IF('Base de Datos'!AB910="","",'Base de Datos'!AB910)</f>
        <v>40</v>
      </c>
      <c r="G916" s="15"/>
      <c r="H916" s="28"/>
      <c r="I916" s="29" t="str">
        <f aca="false">IF(OR($G916="",$G916=0),"",IFERROR(ROUND($F916*$G916*(1-IF($H916="",0,$H916)),2),""))</f>
        <v/>
      </c>
      <c r="J916" s="9"/>
    </row>
    <row r="917" customFormat="false" ht="21.75" hidden="false" customHeight="true" outlineLevel="0" collapsed="false">
      <c r="B917" s="14" t="n">
        <v>907</v>
      </c>
      <c r="C917" s="7" t="s">
        <v>58</v>
      </c>
      <c r="D917" s="7" t="s">
        <v>62</v>
      </c>
      <c r="E917" s="7" t="s">
        <v>1704</v>
      </c>
      <c r="F917" s="18" t="n">
        <f aca="false">IF('Base de Datos'!AB911="","",'Base de Datos'!AB911)</f>
        <v>65</v>
      </c>
      <c r="G917" s="14"/>
      <c r="H917" s="26"/>
      <c r="I917" s="27" t="str">
        <f aca="false">IF(OR($G917="",$G917=0),"",IFERROR(ROUND($F917*$G917*(1-IF($H917="",0,$H917)),2),""))</f>
        <v/>
      </c>
      <c r="J917" s="7"/>
    </row>
    <row r="918" customFormat="false" ht="21.75" hidden="false" customHeight="true" outlineLevel="0" collapsed="false">
      <c r="B918" s="15" t="n">
        <v>908</v>
      </c>
      <c r="C918" s="9" t="s">
        <v>58</v>
      </c>
      <c r="D918" s="9" t="s">
        <v>62</v>
      </c>
      <c r="E918" s="9" t="s">
        <v>1705</v>
      </c>
      <c r="F918" s="19" t="n">
        <f aca="false">IF('Base de Datos'!AB912="","",'Base de Datos'!AB912)</f>
        <v>85</v>
      </c>
      <c r="G918" s="15"/>
      <c r="H918" s="28"/>
      <c r="I918" s="29" t="str">
        <f aca="false">IF(OR($G918="",$G918=0),"",IFERROR(ROUND($F918*$G918*(1-IF($H918="",0,$H918)),2),""))</f>
        <v/>
      </c>
      <c r="J918" s="9"/>
    </row>
    <row r="919" customFormat="false" ht="21.75" hidden="false" customHeight="true" outlineLevel="0" collapsed="false">
      <c r="B919" s="14" t="n">
        <v>909</v>
      </c>
      <c r="C919" s="7" t="s">
        <v>58</v>
      </c>
      <c r="D919" s="7" t="s">
        <v>62</v>
      </c>
      <c r="E919" s="7" t="s">
        <v>1700</v>
      </c>
      <c r="F919" s="18" t="n">
        <f aca="false">IF('Base de Datos'!AB913="","",'Base de Datos'!AB913)</f>
        <v>130</v>
      </c>
      <c r="G919" s="14"/>
      <c r="H919" s="26"/>
      <c r="I919" s="27" t="str">
        <f aca="false">IF(OR($G919="",$G919=0),"",IFERROR(ROUND($F919*$G919*(1-IF($H919="",0,$H919)),2),""))</f>
        <v/>
      </c>
      <c r="J919" s="7"/>
    </row>
    <row r="920" customFormat="false" ht="21.75" hidden="false" customHeight="true" outlineLevel="0" collapsed="false">
      <c r="B920" s="15" t="n">
        <v>910</v>
      </c>
      <c r="C920" s="9" t="s">
        <v>58</v>
      </c>
      <c r="D920" s="9" t="s">
        <v>62</v>
      </c>
      <c r="E920" s="9" t="s">
        <v>1707</v>
      </c>
      <c r="F920" s="19" t="n">
        <f aca="false">IF('Base de Datos'!AB914="","",'Base de Datos'!AB914)</f>
        <v>185</v>
      </c>
      <c r="G920" s="15"/>
      <c r="H920" s="28"/>
      <c r="I920" s="29" t="str">
        <f aca="false">IF(OR($G920="",$G920=0),"",IFERROR(ROUND($F920*$G920*(1-IF($H920="",0,$H920)),2),""))</f>
        <v/>
      </c>
      <c r="J920" s="9"/>
    </row>
    <row r="921" customFormat="false" ht="21.75" hidden="false" customHeight="true" outlineLevel="0" collapsed="false">
      <c r="B921" s="14" t="n">
        <v>911</v>
      </c>
      <c r="C921" s="7" t="s">
        <v>58</v>
      </c>
      <c r="D921" s="7" t="s">
        <v>63</v>
      </c>
      <c r="E921" s="7" t="s">
        <v>1708</v>
      </c>
      <c r="F921" s="18" t="n">
        <f aca="false">IF('Base de Datos'!AB915="","",'Base de Datos'!AB915)</f>
        <v>25</v>
      </c>
      <c r="G921" s="14"/>
      <c r="H921" s="26"/>
      <c r="I921" s="27" t="str">
        <f aca="false">IF(OR($G921="",$G921=0),"",IFERROR(ROUND($F921*$G921*(1-IF($H921="",0,$H921)),2),""))</f>
        <v/>
      </c>
      <c r="J921" s="7"/>
    </row>
    <row r="922" customFormat="false" ht="21.75" hidden="false" customHeight="true" outlineLevel="0" collapsed="false">
      <c r="B922" s="15" t="n">
        <v>912</v>
      </c>
      <c r="C922" s="9" t="s">
        <v>58</v>
      </c>
      <c r="D922" s="9" t="s">
        <v>63</v>
      </c>
      <c r="E922" s="9" t="s">
        <v>1710</v>
      </c>
      <c r="F922" s="19" t="n">
        <f aca="false">IF('Base de Datos'!AB916="","",'Base de Datos'!AB916)</f>
        <v>35</v>
      </c>
      <c r="G922" s="15"/>
      <c r="H922" s="28"/>
      <c r="I922" s="29" t="str">
        <f aca="false">IF(OR($G922="",$G922=0),"",IFERROR(ROUND($F922*$G922*(1-IF($H922="",0,$H922)),2),""))</f>
        <v/>
      </c>
      <c r="J922" s="9"/>
    </row>
    <row r="923" customFormat="false" ht="21.75" hidden="false" customHeight="true" outlineLevel="0" collapsed="false">
      <c r="B923" s="14" t="n">
        <v>913</v>
      </c>
      <c r="C923" s="7" t="s">
        <v>58</v>
      </c>
      <c r="D923" s="7" t="s">
        <v>63</v>
      </c>
      <c r="E923" s="7" t="s">
        <v>1711</v>
      </c>
      <c r="F923" s="18" t="n">
        <f aca="false">IF('Base de Datos'!AB917="","",'Base de Datos'!AB917)</f>
        <v>50</v>
      </c>
      <c r="G923" s="14"/>
      <c r="H923" s="26"/>
      <c r="I923" s="27" t="str">
        <f aca="false">IF(OR($G923="",$G923=0),"",IFERROR(ROUND($F923*$G923*(1-IF($H923="",0,$H923)),2),""))</f>
        <v/>
      </c>
      <c r="J923" s="7"/>
    </row>
    <row r="924" customFormat="false" ht="21.75" hidden="false" customHeight="true" outlineLevel="0" collapsed="false">
      <c r="B924" s="15" t="n">
        <v>914</v>
      </c>
      <c r="C924" s="9" t="s">
        <v>58</v>
      </c>
      <c r="D924" s="9" t="s">
        <v>63</v>
      </c>
      <c r="E924" s="9" t="s">
        <v>1713</v>
      </c>
      <c r="F924" s="19" t="n">
        <f aca="false">IF('Base de Datos'!AB918="","",'Base de Datos'!AB918)</f>
        <v>70</v>
      </c>
      <c r="G924" s="15"/>
      <c r="H924" s="28"/>
      <c r="I924" s="29" t="str">
        <f aca="false">IF(OR($G924="",$G924=0),"",IFERROR(ROUND($F924*$G924*(1-IF($H924="",0,$H924)),2),""))</f>
        <v/>
      </c>
      <c r="J924" s="9"/>
    </row>
    <row r="925" customFormat="false" ht="21.75" hidden="false" customHeight="true" outlineLevel="0" collapsed="false">
      <c r="B925" s="14" t="n">
        <v>915</v>
      </c>
      <c r="C925" s="7" t="s">
        <v>58</v>
      </c>
      <c r="D925" s="7" t="s">
        <v>63</v>
      </c>
      <c r="E925" s="7" t="s">
        <v>1714</v>
      </c>
      <c r="F925" s="18" t="n">
        <f aca="false">IF('Base de Datos'!AB919="","",'Base de Datos'!AB919)</f>
        <v>105</v>
      </c>
      <c r="G925" s="14"/>
      <c r="H925" s="26"/>
      <c r="I925" s="27" t="str">
        <f aca="false">IF(OR($G925="",$G925=0),"",IFERROR(ROUND($F925*$G925*(1-IF($H925="",0,$H925)),2),""))</f>
        <v/>
      </c>
      <c r="J925" s="7"/>
    </row>
    <row r="926" customFormat="false" ht="21.75" hidden="false" customHeight="true" outlineLevel="0" collapsed="false">
      <c r="B926" s="15" t="n">
        <v>916</v>
      </c>
      <c r="C926" s="9" t="s">
        <v>58</v>
      </c>
      <c r="D926" s="9" t="s">
        <v>64</v>
      </c>
      <c r="E926" s="9" t="s">
        <v>1715</v>
      </c>
      <c r="F926" s="19" t="n">
        <f aca="false">IF('Base de Datos'!AB920="","",'Base de Datos'!AB920)</f>
        <v>90</v>
      </c>
      <c r="G926" s="15"/>
      <c r="H926" s="28"/>
      <c r="I926" s="29" t="str">
        <f aca="false">IF(OR($G926="",$G926=0),"",IFERROR(ROUND($F926*$G926*(1-IF($H926="",0,$H926)),2),""))</f>
        <v/>
      </c>
      <c r="J926" s="9"/>
    </row>
    <row r="927" customFormat="false" ht="21.75" hidden="false" customHeight="true" outlineLevel="0" collapsed="false">
      <c r="B927" s="14" t="n">
        <v>917</v>
      </c>
      <c r="C927" s="7" t="s">
        <v>58</v>
      </c>
      <c r="D927" s="7" t="s">
        <v>64</v>
      </c>
      <c r="E927" s="7" t="s">
        <v>1717</v>
      </c>
      <c r="F927" s="18" t="n">
        <f aca="false">IF('Base de Datos'!AB921="","",'Base de Datos'!AB921)</f>
        <v>135</v>
      </c>
      <c r="G927" s="14"/>
      <c r="H927" s="26"/>
      <c r="I927" s="27" t="str">
        <f aca="false">IF(OR($G927="",$G927=0),"",IFERROR(ROUND($F927*$G927*(1-IF($H927="",0,$H927)),2),""))</f>
        <v/>
      </c>
      <c r="J927" s="7"/>
    </row>
    <row r="928" customFormat="false" ht="21.75" hidden="false" customHeight="true" outlineLevel="0" collapsed="false">
      <c r="B928" s="15" t="n">
        <v>918</v>
      </c>
      <c r="C928" s="9" t="s">
        <v>58</v>
      </c>
      <c r="D928" s="9" t="s">
        <v>64</v>
      </c>
      <c r="E928" s="9" t="s">
        <v>1718</v>
      </c>
      <c r="F928" s="19" t="n">
        <f aca="false">IF('Base de Datos'!AB922="","",'Base de Datos'!AB922)</f>
        <v>180</v>
      </c>
      <c r="G928" s="15"/>
      <c r="H928" s="28"/>
      <c r="I928" s="29" t="str">
        <f aca="false">IF(OR($G928="",$G928=0),"",IFERROR(ROUND($F928*$G928*(1-IF($H928="",0,$H928)),2),""))</f>
        <v/>
      </c>
      <c r="J928" s="9"/>
    </row>
    <row r="929" customFormat="false" ht="21.75" hidden="false" customHeight="true" outlineLevel="0" collapsed="false">
      <c r="B929" s="14" t="n">
        <v>919</v>
      </c>
      <c r="C929" s="7" t="s">
        <v>58</v>
      </c>
      <c r="D929" s="7" t="s">
        <v>64</v>
      </c>
      <c r="E929" s="7" t="s">
        <v>1720</v>
      </c>
      <c r="F929" s="18" t="n">
        <f aca="false">IF('Base de Datos'!AB923="","",'Base de Datos'!AB923)</f>
        <v>270</v>
      </c>
      <c r="G929" s="14"/>
      <c r="H929" s="26"/>
      <c r="I929" s="27" t="str">
        <f aca="false">IF(OR($G929="",$G929=0),"",IFERROR(ROUND($F929*$G929*(1-IF($H929="",0,$H929)),2),""))</f>
        <v/>
      </c>
      <c r="J929" s="7"/>
    </row>
    <row r="930" customFormat="false" ht="21.75" hidden="false" customHeight="true" outlineLevel="0" collapsed="false">
      <c r="B930" s="15" t="n">
        <v>920</v>
      </c>
      <c r="C930" s="9" t="s">
        <v>58</v>
      </c>
      <c r="D930" s="9" t="s">
        <v>64</v>
      </c>
      <c r="E930" s="9" t="s">
        <v>1721</v>
      </c>
      <c r="F930" s="19" t="n">
        <f aca="false">IF('Base de Datos'!AB924="","",'Base de Datos'!AB924)</f>
        <v>395</v>
      </c>
      <c r="G930" s="15"/>
      <c r="H930" s="28"/>
      <c r="I930" s="29" t="str">
        <f aca="false">IF(OR($G930="",$G930=0),"",IFERROR(ROUND($F930*$G930*(1-IF($H930="",0,$H930)),2),""))</f>
        <v/>
      </c>
      <c r="J930" s="9"/>
    </row>
    <row r="931" customFormat="false" ht="21.75" hidden="false" customHeight="true" outlineLevel="0" collapsed="false">
      <c r="B931" s="14" t="n">
        <v>921</v>
      </c>
      <c r="C931" s="7" t="s">
        <v>58</v>
      </c>
      <c r="D931" s="7" t="s">
        <v>65</v>
      </c>
      <c r="E931" s="7" t="s">
        <v>321</v>
      </c>
      <c r="F931" s="18" t="str">
        <f aca="false">IF('Base de Datos'!AB925="","",'Base de Datos'!AB925)</f>
        <v/>
      </c>
      <c r="G931" s="14"/>
      <c r="H931" s="26"/>
      <c r="I931" s="27" t="str">
        <f aca="false">IF(OR($G931="",$G931=0),"",IFERROR(ROUND($F931*$G931*(1-IF($H931="",0,$H931)),2),""))</f>
        <v/>
      </c>
      <c r="J931" s="7"/>
    </row>
    <row r="932" customFormat="false" ht="21.75" hidden="false" customHeight="true" outlineLevel="0" collapsed="false">
      <c r="B932" s="15" t="n">
        <v>922</v>
      </c>
      <c r="C932" s="9" t="s">
        <v>58</v>
      </c>
      <c r="D932" s="9" t="s">
        <v>66</v>
      </c>
      <c r="E932" s="9" t="s">
        <v>321</v>
      </c>
      <c r="F932" s="19" t="str">
        <f aca="false">IF('Base de Datos'!AB926="","",'Base de Datos'!AB926)</f>
        <v/>
      </c>
      <c r="G932" s="15"/>
      <c r="H932" s="28"/>
      <c r="I932" s="29" t="str">
        <f aca="false">IF(OR($G932="",$G932=0),"",IFERROR(ROUND($F932*$G932*(1-IF($H932="",0,$H932)),2),""))</f>
        <v/>
      </c>
      <c r="J932" s="9"/>
    </row>
    <row r="933" customFormat="false" ht="21.75" hidden="false" customHeight="true" outlineLevel="0" collapsed="false">
      <c r="B933" s="14" t="n">
        <v>923</v>
      </c>
      <c r="C933" s="7" t="s">
        <v>58</v>
      </c>
      <c r="D933" s="7" t="s">
        <v>67</v>
      </c>
      <c r="E933" s="7" t="s">
        <v>321</v>
      </c>
      <c r="F933" s="18" t="str">
        <f aca="false">IF('Base de Datos'!AB927="","",'Base de Datos'!AB927)</f>
        <v/>
      </c>
      <c r="G933" s="14"/>
      <c r="H933" s="26"/>
      <c r="I933" s="27" t="str">
        <f aca="false">IF(OR($G933="",$G933=0),"",IFERROR(ROUND($F933*$G933*(1-IF($H933="",0,$H933)),2),""))</f>
        <v/>
      </c>
      <c r="J933" s="7"/>
    </row>
    <row r="934" customFormat="false" ht="21.75" hidden="false" customHeight="true" outlineLevel="0" collapsed="false">
      <c r="B934" s="15" t="n">
        <v>924</v>
      </c>
      <c r="C934" s="9" t="s">
        <v>58</v>
      </c>
      <c r="D934" s="9" t="s">
        <v>68</v>
      </c>
      <c r="E934" s="9" t="s">
        <v>321</v>
      </c>
      <c r="F934" s="19" t="str">
        <f aca="false">IF('Base de Datos'!AB928="","",'Base de Datos'!AB928)</f>
        <v/>
      </c>
      <c r="G934" s="15"/>
      <c r="H934" s="28"/>
      <c r="I934" s="29" t="str">
        <f aca="false">IF(OR($G934="",$G934=0),"",IFERROR(ROUND($F934*$G934*(1-IF($H934="",0,$H934)),2),""))</f>
        <v/>
      </c>
      <c r="J934" s="9"/>
    </row>
    <row r="935" customFormat="false" ht="21.75" hidden="false" customHeight="true" outlineLevel="0" collapsed="false">
      <c r="B935" s="14" t="n">
        <v>925</v>
      </c>
      <c r="C935" s="7" t="s">
        <v>58</v>
      </c>
      <c r="D935" s="7" t="s">
        <v>69</v>
      </c>
      <c r="E935" s="7" t="s">
        <v>321</v>
      </c>
      <c r="F935" s="18" t="str">
        <f aca="false">IF('Base de Datos'!AB929="","",'Base de Datos'!AB929)</f>
        <v/>
      </c>
      <c r="G935" s="14"/>
      <c r="H935" s="26"/>
      <c r="I935" s="27" t="str">
        <f aca="false">IF(OR($G935="",$G935=0),"",IFERROR(ROUND($F935*$G935*(1-IF($H935="",0,$H935)),2),""))</f>
        <v/>
      </c>
      <c r="J935" s="7"/>
    </row>
    <row r="936" customFormat="false" ht="21.75" hidden="false" customHeight="true" outlineLevel="0" collapsed="false">
      <c r="B936" s="15" t="n">
        <v>926</v>
      </c>
      <c r="C936" s="9" t="s">
        <v>58</v>
      </c>
      <c r="D936" s="9" t="s">
        <v>70</v>
      </c>
      <c r="E936" s="9" t="s">
        <v>321</v>
      </c>
      <c r="F936" s="19" t="str">
        <f aca="false">IF('Base de Datos'!AB930="","",'Base de Datos'!AB930)</f>
        <v/>
      </c>
      <c r="G936" s="15"/>
      <c r="H936" s="28"/>
      <c r="I936" s="29" t="str">
        <f aca="false">IF(OR($G936="",$G936=0),"",IFERROR(ROUND($F936*$G936*(1-IF($H936="",0,$H936)),2),""))</f>
        <v/>
      </c>
      <c r="J936" s="9"/>
    </row>
    <row r="937" customFormat="false" ht="21.75" hidden="false" customHeight="true" outlineLevel="0" collapsed="false">
      <c r="B937" s="14" t="n">
        <v>927</v>
      </c>
      <c r="C937" s="7" t="s">
        <v>58</v>
      </c>
      <c r="D937" s="7" t="s">
        <v>71</v>
      </c>
      <c r="E937" s="7" t="s">
        <v>321</v>
      </c>
      <c r="F937" s="18" t="str">
        <f aca="false">IF('Base de Datos'!AB931="","",'Base de Datos'!AB931)</f>
        <v/>
      </c>
      <c r="G937" s="14"/>
      <c r="H937" s="26"/>
      <c r="I937" s="27" t="str">
        <f aca="false">IF(OR($G937="",$G937=0),"",IFERROR(ROUND($F937*$G937*(1-IF($H937="",0,$H937)),2),""))</f>
        <v/>
      </c>
      <c r="J937" s="7"/>
    </row>
    <row r="938" customFormat="false" ht="21.75" hidden="false" customHeight="true" outlineLevel="0" collapsed="false">
      <c r="B938" s="15" t="n">
        <v>928</v>
      </c>
      <c r="C938" s="9" t="s">
        <v>58</v>
      </c>
      <c r="D938" s="9" t="s">
        <v>72</v>
      </c>
      <c r="E938" s="9" t="s">
        <v>321</v>
      </c>
      <c r="F938" s="19" t="str">
        <f aca="false">IF('Base de Datos'!AB932="","",'Base de Datos'!AB932)</f>
        <v/>
      </c>
      <c r="G938" s="15"/>
      <c r="H938" s="28"/>
      <c r="I938" s="29" t="str">
        <f aca="false">IF(OR($G938="",$G938=0),"",IFERROR(ROUND($F938*$G938*(1-IF($H938="",0,$H938)),2),""))</f>
        <v/>
      </c>
      <c r="J938" s="9"/>
    </row>
    <row r="939" customFormat="false" ht="21.75" hidden="false" customHeight="true" outlineLevel="0" collapsed="false">
      <c r="B939" s="14" t="n">
        <v>929</v>
      </c>
      <c r="C939" s="7" t="s">
        <v>58</v>
      </c>
      <c r="D939" s="7" t="s">
        <v>73</v>
      </c>
      <c r="E939" s="7" t="s">
        <v>1711</v>
      </c>
      <c r="F939" s="18" t="n">
        <f aca="false">IF('Base de Datos'!AB933="","",'Base de Datos'!AB933)</f>
        <v>30</v>
      </c>
      <c r="G939" s="14"/>
      <c r="H939" s="26"/>
      <c r="I939" s="27" t="str">
        <f aca="false">IF(OR($G939="",$G939=0),"",IFERROR(ROUND($F939*$G939*(1-IF($H939="",0,$H939)),2),""))</f>
        <v/>
      </c>
      <c r="J939" s="7"/>
    </row>
    <row r="940" customFormat="false" ht="21.75" hidden="false" customHeight="true" outlineLevel="0" collapsed="false">
      <c r="B940" s="15" t="n">
        <v>930</v>
      </c>
      <c r="C940" s="9" t="s">
        <v>58</v>
      </c>
      <c r="D940" s="9" t="s">
        <v>73</v>
      </c>
      <c r="E940" s="9" t="s">
        <v>1696</v>
      </c>
      <c r="F940" s="19" t="n">
        <f aca="false">IF('Base de Datos'!AB934="","",'Base de Datos'!AB934)</f>
        <v>50</v>
      </c>
      <c r="G940" s="15"/>
      <c r="H940" s="28"/>
      <c r="I940" s="29" t="str">
        <f aca="false">IF(OR($G940="",$G940=0),"",IFERROR(ROUND($F940*$G940*(1-IF($H940="",0,$H940)),2),""))</f>
        <v/>
      </c>
      <c r="J940" s="9"/>
    </row>
    <row r="941" customFormat="false" ht="21.75" hidden="false" customHeight="true" outlineLevel="0" collapsed="false">
      <c r="B941" s="14" t="n">
        <v>931</v>
      </c>
      <c r="C941" s="7" t="s">
        <v>58</v>
      </c>
      <c r="D941" s="7" t="s">
        <v>73</v>
      </c>
      <c r="E941" s="7" t="s">
        <v>1713</v>
      </c>
      <c r="F941" s="18" t="n">
        <f aca="false">IF('Base de Datos'!AB935="","",'Base de Datos'!AB935)</f>
        <v>65</v>
      </c>
      <c r="G941" s="14"/>
      <c r="H941" s="26"/>
      <c r="I941" s="27" t="str">
        <f aca="false">IF(OR($G941="",$G941=0),"",IFERROR(ROUND($F941*$G941*(1-IF($H941="",0,$H941)),2),""))</f>
        <v/>
      </c>
      <c r="J941" s="7"/>
    </row>
    <row r="942" customFormat="false" ht="21.75" hidden="false" customHeight="true" outlineLevel="0" collapsed="false">
      <c r="B942" s="15" t="n">
        <v>932</v>
      </c>
      <c r="C942" s="9" t="s">
        <v>58</v>
      </c>
      <c r="D942" s="9" t="s">
        <v>73</v>
      </c>
      <c r="E942" s="9" t="s">
        <v>1700</v>
      </c>
      <c r="F942" s="19" t="n">
        <f aca="false">IF('Base de Datos'!AB936="","",'Base de Datos'!AB936)</f>
        <v>100</v>
      </c>
      <c r="G942" s="15"/>
      <c r="H942" s="28"/>
      <c r="I942" s="29" t="str">
        <f aca="false">IF(OR($G942="",$G942=0),"",IFERROR(ROUND($F942*$G942*(1-IF($H942="",0,$H942)),2),""))</f>
        <v/>
      </c>
      <c r="J942" s="9"/>
    </row>
    <row r="943" customFormat="false" ht="21.75" hidden="false" customHeight="true" outlineLevel="0" collapsed="false">
      <c r="B943" s="14" t="n">
        <v>933</v>
      </c>
      <c r="C943" s="7" t="s">
        <v>58</v>
      </c>
      <c r="D943" s="7" t="s">
        <v>73</v>
      </c>
      <c r="E943" s="7" t="s">
        <v>1717</v>
      </c>
      <c r="F943" s="18" t="n">
        <f aca="false">IF('Base de Datos'!AB937="","",'Base de Datos'!AB937)</f>
        <v>145</v>
      </c>
      <c r="G943" s="14"/>
      <c r="H943" s="26"/>
      <c r="I943" s="27" t="str">
        <f aca="false">IF(OR($G943="",$G943=0),"",IFERROR(ROUND($F943*$G943*(1-IF($H943="",0,$H943)),2),""))</f>
        <v/>
      </c>
      <c r="J943" s="7"/>
    </row>
    <row r="944" customFormat="false" ht="21.75" hidden="false" customHeight="true" outlineLevel="0" collapsed="false">
      <c r="B944" s="15" t="n">
        <v>934</v>
      </c>
      <c r="C944" s="9" t="s">
        <v>58</v>
      </c>
      <c r="D944" s="9" t="s">
        <v>74</v>
      </c>
      <c r="E944" s="9" t="s">
        <v>321</v>
      </c>
      <c r="F944" s="19" t="str">
        <f aca="false">IF('Base de Datos'!AB938="","",'Base de Datos'!AB938)</f>
        <v/>
      </c>
      <c r="G944" s="15"/>
      <c r="H944" s="28"/>
      <c r="I944" s="29" t="str">
        <f aca="false">IF(OR($G944="",$G944=0),"",IFERROR(ROUND($F944*$G944*(1-IF($H944="",0,$H944)),2),""))</f>
        <v/>
      </c>
      <c r="J944" s="9"/>
    </row>
    <row r="945" customFormat="false" ht="21.75" hidden="false" customHeight="true" outlineLevel="0" collapsed="false">
      <c r="B945" s="14" t="n">
        <v>935</v>
      </c>
      <c r="C945" s="7" t="s">
        <v>59</v>
      </c>
      <c r="D945" s="7" t="s">
        <v>61</v>
      </c>
      <c r="E945" s="7" t="s">
        <v>1733</v>
      </c>
      <c r="F945" s="18" t="n">
        <f aca="false">IF('Base de Datos'!AB939="","",'Base de Datos'!AB939)</f>
        <v>25</v>
      </c>
      <c r="G945" s="14"/>
      <c r="H945" s="26"/>
      <c r="I945" s="27" t="str">
        <f aca="false">IF(OR($G945="",$G945=0),"",IFERROR(ROUND($F945*$G945*(1-IF($H945="",0,$H945)),2),""))</f>
        <v/>
      </c>
      <c r="J945" s="7"/>
    </row>
    <row r="946" customFormat="false" ht="21.75" hidden="false" customHeight="true" outlineLevel="0" collapsed="false">
      <c r="B946" s="15" t="n">
        <v>936</v>
      </c>
      <c r="C946" s="9" t="s">
        <v>59</v>
      </c>
      <c r="D946" s="9" t="s">
        <v>61</v>
      </c>
      <c r="E946" s="9" t="s">
        <v>1737</v>
      </c>
      <c r="F946" s="19" t="n">
        <f aca="false">IF('Base de Datos'!AB940="","",'Base de Datos'!AB940)</f>
        <v>25</v>
      </c>
      <c r="G946" s="15"/>
      <c r="H946" s="28"/>
      <c r="I946" s="29" t="str">
        <f aca="false">IF(OR($G946="",$G946=0),"",IFERROR(ROUND($F946*$G946*(1-IF($H946="",0,$H946)),2),""))</f>
        <v/>
      </c>
      <c r="J946" s="9"/>
    </row>
    <row r="947" customFormat="false" ht="21.75" hidden="false" customHeight="true" outlineLevel="0" collapsed="false">
      <c r="B947" s="14" t="n">
        <v>937</v>
      </c>
      <c r="C947" s="7" t="s">
        <v>59</v>
      </c>
      <c r="D947" s="7" t="s">
        <v>61</v>
      </c>
      <c r="E947" s="7" t="s">
        <v>1738</v>
      </c>
      <c r="F947" s="18" t="n">
        <f aca="false">IF('Base de Datos'!AB941="","",'Base de Datos'!AB941)</f>
        <v>35</v>
      </c>
      <c r="G947" s="14"/>
      <c r="H947" s="26"/>
      <c r="I947" s="27" t="str">
        <f aca="false">IF(OR($G947="",$G947=0),"",IFERROR(ROUND($F947*$G947*(1-IF($H947="",0,$H947)),2),""))</f>
        <v/>
      </c>
      <c r="J947" s="7"/>
    </row>
    <row r="948" customFormat="false" ht="21.75" hidden="false" customHeight="true" outlineLevel="0" collapsed="false">
      <c r="B948" s="15" t="n">
        <v>938</v>
      </c>
      <c r="C948" s="9" t="s">
        <v>59</v>
      </c>
      <c r="D948" s="9" t="s">
        <v>61</v>
      </c>
      <c r="E948" s="9" t="s">
        <v>1740</v>
      </c>
      <c r="F948" s="19" t="n">
        <f aca="false">IF('Base de Datos'!AB942="","",'Base de Datos'!AB942)</f>
        <v>50</v>
      </c>
      <c r="G948" s="15"/>
      <c r="H948" s="28"/>
      <c r="I948" s="29" t="str">
        <f aca="false">IF(OR($G948="",$G948=0),"",IFERROR(ROUND($F948*$G948*(1-IF($H948="",0,$H948)),2),""))</f>
        <v/>
      </c>
      <c r="J948" s="9"/>
    </row>
    <row r="949" customFormat="false" ht="21.75" hidden="false" customHeight="true" outlineLevel="0" collapsed="false">
      <c r="B949" s="14" t="n">
        <v>939</v>
      </c>
      <c r="C949" s="7" t="s">
        <v>59</v>
      </c>
      <c r="D949" s="7" t="s">
        <v>61</v>
      </c>
      <c r="E949" s="7" t="s">
        <v>1741</v>
      </c>
      <c r="F949" s="18" t="n">
        <f aca="false">IF('Base de Datos'!AB943="","",'Base de Datos'!AB943)</f>
        <v>75</v>
      </c>
      <c r="G949" s="14"/>
      <c r="H949" s="26"/>
      <c r="I949" s="27" t="str">
        <f aca="false">IF(OR($G949="",$G949=0),"",IFERROR(ROUND($F949*$G949*(1-IF($H949="",0,$H949)),2),""))</f>
        <v/>
      </c>
      <c r="J949" s="7"/>
    </row>
    <row r="950" customFormat="false" ht="21.75" hidden="false" customHeight="true" outlineLevel="0" collapsed="false">
      <c r="B950" s="15" t="n">
        <v>940</v>
      </c>
      <c r="C950" s="9" t="s">
        <v>59</v>
      </c>
      <c r="D950" s="9" t="s">
        <v>62</v>
      </c>
      <c r="E950" s="9" t="s">
        <v>321</v>
      </c>
      <c r="F950" s="19" t="str">
        <f aca="false">IF('Base de Datos'!AB944="","",'Base de Datos'!AB944)</f>
        <v/>
      </c>
      <c r="G950" s="15"/>
      <c r="H950" s="28"/>
      <c r="I950" s="29" t="str">
        <f aca="false">IF(OR($G950="",$G950=0),"",IFERROR(ROUND($F950*$G950*(1-IF($H950="",0,$H950)),2),""))</f>
        <v/>
      </c>
      <c r="J950" s="9"/>
    </row>
    <row r="951" customFormat="false" ht="21.75" hidden="false" customHeight="true" outlineLevel="0" collapsed="false">
      <c r="B951" s="14" t="n">
        <v>941</v>
      </c>
      <c r="C951" s="7" t="s">
        <v>59</v>
      </c>
      <c r="D951" s="7" t="s">
        <v>63</v>
      </c>
      <c r="E951" s="7" t="s">
        <v>1743</v>
      </c>
      <c r="F951" s="18" t="n">
        <f aca="false">IF('Base de Datos'!AB945="","",'Base de Datos'!AB945)</f>
        <v>25</v>
      </c>
      <c r="G951" s="14"/>
      <c r="H951" s="26"/>
      <c r="I951" s="27" t="str">
        <f aca="false">IF(OR($G951="",$G951=0),"",IFERROR(ROUND($F951*$G951*(1-IF($H951="",0,$H951)),2),""))</f>
        <v/>
      </c>
      <c r="J951" s="7"/>
    </row>
    <row r="952" customFormat="false" ht="21.75" hidden="false" customHeight="true" outlineLevel="0" collapsed="false">
      <c r="B952" s="15" t="n">
        <v>942</v>
      </c>
      <c r="C952" s="9" t="s">
        <v>59</v>
      </c>
      <c r="D952" s="9" t="s">
        <v>63</v>
      </c>
      <c r="E952" s="9" t="s">
        <v>1745</v>
      </c>
      <c r="F952" s="19" t="n">
        <f aca="false">IF('Base de Datos'!AB946="","",'Base de Datos'!AB946)</f>
        <v>30</v>
      </c>
      <c r="G952" s="15"/>
      <c r="H952" s="28"/>
      <c r="I952" s="29" t="str">
        <f aca="false">IF(OR($G952="",$G952=0),"",IFERROR(ROUND($F952*$G952*(1-IF($H952="",0,$H952)),2),""))</f>
        <v/>
      </c>
      <c r="J952" s="9"/>
    </row>
    <row r="953" customFormat="false" ht="21.75" hidden="false" customHeight="true" outlineLevel="0" collapsed="false">
      <c r="B953" s="14" t="n">
        <v>943</v>
      </c>
      <c r="C953" s="7" t="s">
        <v>59</v>
      </c>
      <c r="D953" s="7" t="s">
        <v>63</v>
      </c>
      <c r="E953" s="7" t="s">
        <v>1746</v>
      </c>
      <c r="F953" s="18" t="n">
        <f aca="false">IF('Base de Datos'!AB947="","",'Base de Datos'!AB947)</f>
        <v>40</v>
      </c>
      <c r="G953" s="14"/>
      <c r="H953" s="26"/>
      <c r="I953" s="27" t="str">
        <f aca="false">IF(OR($G953="",$G953=0),"",IFERROR(ROUND($F953*$G953*(1-IF($H953="",0,$H953)),2),""))</f>
        <v/>
      </c>
      <c r="J953" s="7"/>
    </row>
    <row r="954" customFormat="false" ht="21.75" hidden="false" customHeight="true" outlineLevel="0" collapsed="false">
      <c r="B954" s="15" t="n">
        <v>944</v>
      </c>
      <c r="C954" s="9" t="s">
        <v>59</v>
      </c>
      <c r="D954" s="9" t="s">
        <v>63</v>
      </c>
      <c r="E954" s="9" t="s">
        <v>1748</v>
      </c>
      <c r="F954" s="19" t="n">
        <f aca="false">IF('Base de Datos'!AB948="","",'Base de Datos'!AB948)</f>
        <v>65</v>
      </c>
      <c r="G954" s="15"/>
      <c r="H954" s="28"/>
      <c r="I954" s="29" t="str">
        <f aca="false">IF(OR($G954="",$G954=0),"",IFERROR(ROUND($F954*$G954*(1-IF($H954="",0,$H954)),2),""))</f>
        <v/>
      </c>
      <c r="J954" s="9"/>
    </row>
    <row r="955" customFormat="false" ht="21.75" hidden="false" customHeight="true" outlineLevel="0" collapsed="false">
      <c r="B955" s="14" t="n">
        <v>945</v>
      </c>
      <c r="C955" s="7" t="s">
        <v>59</v>
      </c>
      <c r="D955" s="7" t="s">
        <v>63</v>
      </c>
      <c r="E955" s="7" t="s">
        <v>1749</v>
      </c>
      <c r="F955" s="18" t="n">
        <f aca="false">IF('Base de Datos'!AB949="","",'Base de Datos'!AB949)</f>
        <v>90</v>
      </c>
      <c r="G955" s="14"/>
      <c r="H955" s="26"/>
      <c r="I955" s="27" t="str">
        <f aca="false">IF(OR($G955="",$G955=0),"",IFERROR(ROUND($F955*$G955*(1-IF($H955="",0,$H955)),2),""))</f>
        <v/>
      </c>
      <c r="J955" s="7"/>
    </row>
    <row r="956" customFormat="false" ht="21.75" hidden="false" customHeight="true" outlineLevel="0" collapsed="false">
      <c r="B956" s="15" t="n">
        <v>946</v>
      </c>
      <c r="C956" s="9" t="s">
        <v>59</v>
      </c>
      <c r="D956" s="9" t="s">
        <v>64</v>
      </c>
      <c r="E956" s="9" t="s">
        <v>1741</v>
      </c>
      <c r="F956" s="19" t="n">
        <f aca="false">IF('Base de Datos'!AB950="","",'Base de Datos'!AB950)</f>
        <v>30</v>
      </c>
      <c r="G956" s="15"/>
      <c r="H956" s="28"/>
      <c r="I956" s="29" t="str">
        <f aca="false">IF(OR($G956="",$G956=0),"",IFERROR(ROUND($F956*$G956*(1-IF($H956="",0,$H956)),2),""))</f>
        <v/>
      </c>
      <c r="J956" s="9"/>
    </row>
    <row r="957" customFormat="false" ht="21.75" hidden="false" customHeight="true" outlineLevel="0" collapsed="false">
      <c r="B957" s="14" t="n">
        <v>947</v>
      </c>
      <c r="C957" s="7" t="s">
        <v>59</v>
      </c>
      <c r="D957" s="7" t="s">
        <v>64</v>
      </c>
      <c r="E957" s="7" t="s">
        <v>1752</v>
      </c>
      <c r="F957" s="18" t="n">
        <f aca="false">IF('Base de Datos'!AB951="","",'Base de Datos'!AB951)</f>
        <v>40</v>
      </c>
      <c r="G957" s="14"/>
      <c r="H957" s="26"/>
      <c r="I957" s="27" t="str">
        <f aca="false">IF(OR($G957="",$G957=0),"",IFERROR(ROUND($F957*$G957*(1-IF($H957="",0,$H957)),2),""))</f>
        <v/>
      </c>
      <c r="J957" s="7"/>
    </row>
    <row r="958" customFormat="false" ht="21.75" hidden="false" customHeight="true" outlineLevel="0" collapsed="false">
      <c r="B958" s="15" t="n">
        <v>948</v>
      </c>
      <c r="C958" s="9" t="s">
        <v>59</v>
      </c>
      <c r="D958" s="9" t="s">
        <v>64</v>
      </c>
      <c r="E958" s="9" t="s">
        <v>1753</v>
      </c>
      <c r="F958" s="19" t="n">
        <f aca="false">IF('Base de Datos'!AB952="","",'Base de Datos'!AB952)</f>
        <v>55</v>
      </c>
      <c r="G958" s="15"/>
      <c r="H958" s="28"/>
      <c r="I958" s="29" t="str">
        <f aca="false">IF(OR($G958="",$G958=0),"",IFERROR(ROUND($F958*$G958*(1-IF($H958="",0,$H958)),2),""))</f>
        <v/>
      </c>
      <c r="J958" s="9"/>
    </row>
    <row r="959" customFormat="false" ht="21.75" hidden="false" customHeight="true" outlineLevel="0" collapsed="false">
      <c r="B959" s="14" t="n">
        <v>949</v>
      </c>
      <c r="C959" s="7" t="s">
        <v>59</v>
      </c>
      <c r="D959" s="7" t="s">
        <v>64</v>
      </c>
      <c r="E959" s="7" t="s">
        <v>1755</v>
      </c>
      <c r="F959" s="18" t="n">
        <f aca="false">IF('Base de Datos'!AB953="","",'Base de Datos'!AB953)</f>
        <v>80</v>
      </c>
      <c r="G959" s="14"/>
      <c r="H959" s="26"/>
      <c r="I959" s="27" t="str">
        <f aca="false">IF(OR($G959="",$G959=0),"",IFERROR(ROUND($F959*$G959*(1-IF($H959="",0,$H959)),2),""))</f>
        <v/>
      </c>
      <c r="J959" s="7"/>
    </row>
    <row r="960" customFormat="false" ht="21.75" hidden="false" customHeight="true" outlineLevel="0" collapsed="false">
      <c r="B960" s="15" t="n">
        <v>950</v>
      </c>
      <c r="C960" s="9" t="s">
        <v>59</v>
      </c>
      <c r="D960" s="9" t="s">
        <v>64</v>
      </c>
      <c r="E960" s="9" t="s">
        <v>1756</v>
      </c>
      <c r="F960" s="19" t="n">
        <f aca="false">IF('Base de Datos'!AB954="","",'Base de Datos'!AB954)</f>
        <v>120</v>
      </c>
      <c r="G960" s="15"/>
      <c r="H960" s="28"/>
      <c r="I960" s="29" t="str">
        <f aca="false">IF(OR($G960="",$G960=0),"",IFERROR(ROUND($F960*$G960*(1-IF($H960="",0,$H960)),2),""))</f>
        <v/>
      </c>
      <c r="J960" s="9"/>
    </row>
    <row r="961" customFormat="false" ht="21.75" hidden="false" customHeight="true" outlineLevel="0" collapsed="false">
      <c r="B961" s="14" t="n">
        <v>951</v>
      </c>
      <c r="C961" s="7" t="s">
        <v>59</v>
      </c>
      <c r="D961" s="7" t="s">
        <v>65</v>
      </c>
      <c r="E961" s="7" t="s">
        <v>321</v>
      </c>
      <c r="F961" s="18" t="str">
        <f aca="false">IF('Base de Datos'!AB955="","",'Base de Datos'!AB955)</f>
        <v/>
      </c>
      <c r="G961" s="14"/>
      <c r="H961" s="26"/>
      <c r="I961" s="27" t="str">
        <f aca="false">IF(OR($G961="",$G961=0),"",IFERROR(ROUND($F961*$G961*(1-IF($H961="",0,$H961)),2),""))</f>
        <v/>
      </c>
      <c r="J961" s="7"/>
    </row>
    <row r="962" customFormat="false" ht="21.75" hidden="false" customHeight="true" outlineLevel="0" collapsed="false">
      <c r="B962" s="15" t="n">
        <v>952</v>
      </c>
      <c r="C962" s="9" t="s">
        <v>59</v>
      </c>
      <c r="D962" s="9" t="s">
        <v>66</v>
      </c>
      <c r="E962" s="9" t="s">
        <v>321</v>
      </c>
      <c r="F962" s="19" t="str">
        <f aca="false">IF('Base de Datos'!AB956="","",'Base de Datos'!AB956)</f>
        <v/>
      </c>
      <c r="G962" s="15"/>
      <c r="H962" s="28"/>
      <c r="I962" s="29" t="str">
        <f aca="false">IF(OR($G962="",$G962=0),"",IFERROR(ROUND($F962*$G962*(1-IF($H962="",0,$H962)),2),""))</f>
        <v/>
      </c>
      <c r="J962" s="9"/>
    </row>
    <row r="963" customFormat="false" ht="21.75" hidden="false" customHeight="true" outlineLevel="0" collapsed="false">
      <c r="B963" s="14" t="n">
        <v>953</v>
      </c>
      <c r="C963" s="7" t="s">
        <v>59</v>
      </c>
      <c r="D963" s="7" t="s">
        <v>67</v>
      </c>
      <c r="E963" s="7" t="s">
        <v>321</v>
      </c>
      <c r="F963" s="18" t="str">
        <f aca="false">IF('Base de Datos'!AB957="","",'Base de Datos'!AB957)</f>
        <v/>
      </c>
      <c r="G963" s="14"/>
      <c r="H963" s="26"/>
      <c r="I963" s="27" t="str">
        <f aca="false">IF(OR($G963="",$G963=0),"",IFERROR(ROUND($F963*$G963*(1-IF($H963="",0,$H963)),2),""))</f>
        <v/>
      </c>
      <c r="J963" s="7"/>
    </row>
    <row r="964" customFormat="false" ht="21.75" hidden="false" customHeight="true" outlineLevel="0" collapsed="false">
      <c r="B964" s="15" t="n">
        <v>954</v>
      </c>
      <c r="C964" s="9" t="s">
        <v>59</v>
      </c>
      <c r="D964" s="9" t="s">
        <v>68</v>
      </c>
      <c r="E964" s="9" t="s">
        <v>321</v>
      </c>
      <c r="F964" s="19" t="str">
        <f aca="false">IF('Base de Datos'!AB958="","",'Base de Datos'!AB958)</f>
        <v/>
      </c>
      <c r="G964" s="15"/>
      <c r="H964" s="28"/>
      <c r="I964" s="29" t="str">
        <f aca="false">IF(OR($G964="",$G964=0),"",IFERROR(ROUND($F964*$G964*(1-IF($H964="",0,$H964)),2),""))</f>
        <v/>
      </c>
      <c r="J964" s="9"/>
    </row>
    <row r="965" customFormat="false" ht="21.75" hidden="false" customHeight="true" outlineLevel="0" collapsed="false">
      <c r="B965" s="14" t="n">
        <v>955</v>
      </c>
      <c r="C965" s="7" t="s">
        <v>59</v>
      </c>
      <c r="D965" s="7" t="s">
        <v>69</v>
      </c>
      <c r="E965" s="7" t="s">
        <v>321</v>
      </c>
      <c r="F965" s="18" t="str">
        <f aca="false">IF('Base de Datos'!AB959="","",'Base de Datos'!AB959)</f>
        <v/>
      </c>
      <c r="G965" s="14"/>
      <c r="H965" s="26"/>
      <c r="I965" s="27" t="str">
        <f aca="false">IF(OR($G965="",$G965=0),"",IFERROR(ROUND($F965*$G965*(1-IF($H965="",0,$H965)),2),""))</f>
        <v/>
      </c>
      <c r="J965" s="7"/>
    </row>
    <row r="966" customFormat="false" ht="21.75" hidden="false" customHeight="true" outlineLevel="0" collapsed="false">
      <c r="B966" s="15" t="n">
        <v>956</v>
      </c>
      <c r="C966" s="9" t="s">
        <v>59</v>
      </c>
      <c r="D966" s="9" t="s">
        <v>70</v>
      </c>
      <c r="E966" s="9" t="s">
        <v>321</v>
      </c>
      <c r="F966" s="19" t="str">
        <f aca="false">IF('Base de Datos'!AB960="","",'Base de Datos'!AB960)</f>
        <v/>
      </c>
      <c r="G966" s="15"/>
      <c r="H966" s="28"/>
      <c r="I966" s="29" t="str">
        <f aca="false">IF(OR($G966="",$G966=0),"",IFERROR(ROUND($F966*$G966*(1-IF($H966="",0,$H966)),2),""))</f>
        <v/>
      </c>
      <c r="J966" s="9"/>
    </row>
    <row r="967" customFormat="false" ht="21.75" hidden="false" customHeight="true" outlineLevel="0" collapsed="false">
      <c r="B967" s="14" t="n">
        <v>957</v>
      </c>
      <c r="C967" s="7" t="s">
        <v>59</v>
      </c>
      <c r="D967" s="7" t="s">
        <v>71</v>
      </c>
      <c r="E967" s="7" t="s">
        <v>321</v>
      </c>
      <c r="F967" s="18" t="str">
        <f aca="false">IF('Base de Datos'!AB961="","",'Base de Datos'!AB961)</f>
        <v/>
      </c>
      <c r="G967" s="14"/>
      <c r="H967" s="26"/>
      <c r="I967" s="27" t="str">
        <f aca="false">IF(OR($G967="",$G967=0),"",IFERROR(ROUND($F967*$G967*(1-IF($H967="",0,$H967)),2),""))</f>
        <v/>
      </c>
      <c r="J967" s="7"/>
    </row>
    <row r="968" customFormat="false" ht="21.75" hidden="false" customHeight="true" outlineLevel="0" collapsed="false">
      <c r="B968" s="15" t="n">
        <v>958</v>
      </c>
      <c r="C968" s="9" t="s">
        <v>59</v>
      </c>
      <c r="D968" s="9" t="s">
        <v>72</v>
      </c>
      <c r="E968" s="9" t="s">
        <v>321</v>
      </c>
      <c r="F968" s="19" t="str">
        <f aca="false">IF('Base de Datos'!AB962="","",'Base de Datos'!AB962)</f>
        <v/>
      </c>
      <c r="G968" s="15"/>
      <c r="H968" s="28"/>
      <c r="I968" s="29" t="str">
        <f aca="false">IF(OR($G968="",$G968=0),"",IFERROR(ROUND($F968*$G968*(1-IF($H968="",0,$H968)),2),""))</f>
        <v/>
      </c>
      <c r="J968" s="9"/>
    </row>
    <row r="969" customFormat="false" ht="21.75" hidden="false" customHeight="true" outlineLevel="0" collapsed="false">
      <c r="B969" s="14" t="n">
        <v>959</v>
      </c>
      <c r="C969" s="7" t="s">
        <v>59</v>
      </c>
      <c r="D969" s="7" t="s">
        <v>73</v>
      </c>
      <c r="E969" s="7" t="s">
        <v>1737</v>
      </c>
      <c r="F969" s="18" t="n">
        <f aca="false">IF('Base de Datos'!AB963="","",'Base de Datos'!AB963)</f>
        <v>25</v>
      </c>
      <c r="G969" s="14"/>
      <c r="H969" s="26"/>
      <c r="I969" s="27" t="str">
        <f aca="false">IF(OR($G969="",$G969=0),"",IFERROR(ROUND($F969*$G969*(1-IF($H969="",0,$H969)),2),""))</f>
        <v/>
      </c>
      <c r="J969" s="7"/>
    </row>
    <row r="970" customFormat="false" ht="21.75" hidden="false" customHeight="true" outlineLevel="0" collapsed="false">
      <c r="B970" s="15" t="n">
        <v>960</v>
      </c>
      <c r="C970" s="9" t="s">
        <v>59</v>
      </c>
      <c r="D970" s="9" t="s">
        <v>73</v>
      </c>
      <c r="E970" s="9" t="s">
        <v>1741</v>
      </c>
      <c r="F970" s="19" t="n">
        <f aca="false">IF('Base de Datos'!AB964="","",'Base de Datos'!AB964)</f>
        <v>35</v>
      </c>
      <c r="G970" s="15"/>
      <c r="H970" s="28"/>
      <c r="I970" s="29" t="str">
        <f aca="false">IF(OR($G970="",$G970=0),"",IFERROR(ROUND($F970*$G970*(1-IF($H970="",0,$H970)),2),""))</f>
        <v/>
      </c>
      <c r="J970" s="9"/>
    </row>
    <row r="971" customFormat="false" ht="21.75" hidden="false" customHeight="true" outlineLevel="0" collapsed="false">
      <c r="B971" s="14" t="n">
        <v>961</v>
      </c>
      <c r="C971" s="7" t="s">
        <v>59</v>
      </c>
      <c r="D971" s="7" t="s">
        <v>73</v>
      </c>
      <c r="E971" s="7" t="s">
        <v>1753</v>
      </c>
      <c r="F971" s="18" t="n">
        <f aca="false">IF('Base de Datos'!AB965="","",'Base de Datos'!AB965)</f>
        <v>50</v>
      </c>
      <c r="G971" s="14"/>
      <c r="H971" s="26"/>
      <c r="I971" s="27" t="str">
        <f aca="false">IF(OR($G971="",$G971=0),"",IFERROR(ROUND($F971*$G971*(1-IF($H971="",0,$H971)),2),""))</f>
        <v/>
      </c>
      <c r="J971" s="7"/>
    </row>
    <row r="972" customFormat="false" ht="21.75" hidden="false" customHeight="true" outlineLevel="0" collapsed="false">
      <c r="B972" s="15" t="n">
        <v>962</v>
      </c>
      <c r="C972" s="9" t="s">
        <v>59</v>
      </c>
      <c r="D972" s="9" t="s">
        <v>73</v>
      </c>
      <c r="E972" s="9" t="s">
        <v>1749</v>
      </c>
      <c r="F972" s="19" t="n">
        <f aca="false">IF('Base de Datos'!AB966="","",'Base de Datos'!AB966)</f>
        <v>70</v>
      </c>
      <c r="G972" s="15"/>
      <c r="H972" s="28"/>
      <c r="I972" s="29" t="str">
        <f aca="false">IF(OR($G972="",$G972=0),"",IFERROR(ROUND($F972*$G972*(1-IF($H972="",0,$H972)),2),""))</f>
        <v/>
      </c>
      <c r="J972" s="9"/>
    </row>
    <row r="973" customFormat="false" ht="21.75" hidden="false" customHeight="true" outlineLevel="0" collapsed="false">
      <c r="B973" s="14" t="n">
        <v>963</v>
      </c>
      <c r="C973" s="7" t="s">
        <v>59</v>
      </c>
      <c r="D973" s="7" t="s">
        <v>73</v>
      </c>
      <c r="E973" s="7" t="s">
        <v>1756</v>
      </c>
      <c r="F973" s="18" t="n">
        <f aca="false">IF('Base de Datos'!AB967="","",'Base de Datos'!AB967)</f>
        <v>105</v>
      </c>
      <c r="G973" s="14"/>
      <c r="H973" s="26"/>
      <c r="I973" s="27" t="str">
        <f aca="false">IF(OR($G973="",$G973=0),"",IFERROR(ROUND($F973*$G973*(1-IF($H973="",0,$H973)),2),""))</f>
        <v/>
      </c>
      <c r="J973" s="7"/>
    </row>
    <row r="974" customFormat="false" ht="21.75" hidden="false" customHeight="true" outlineLevel="0" collapsed="false">
      <c r="B974" s="15" t="n">
        <v>964</v>
      </c>
      <c r="C974" s="9" t="s">
        <v>59</v>
      </c>
      <c r="D974" s="9" t="s">
        <v>74</v>
      </c>
      <c r="E974" s="9" t="s">
        <v>1733</v>
      </c>
      <c r="F974" s="19" t="n">
        <f aca="false">IF('Base de Datos'!AB968="","",'Base de Datos'!AB968)</f>
        <v>25</v>
      </c>
      <c r="G974" s="15"/>
      <c r="H974" s="28"/>
      <c r="I974" s="29" t="str">
        <f aca="false">IF(OR($G974="",$G974=0),"",IFERROR(ROUND($F974*$G974*(1-IF($H974="",0,$H974)),2),""))</f>
        <v/>
      </c>
      <c r="J974" s="9"/>
    </row>
    <row r="975" customFormat="false" ht="21.75" hidden="false" customHeight="true" outlineLevel="0" collapsed="false">
      <c r="B975" s="14" t="n">
        <v>965</v>
      </c>
      <c r="C975" s="7" t="s">
        <v>59</v>
      </c>
      <c r="D975" s="7" t="s">
        <v>74</v>
      </c>
      <c r="E975" s="7" t="s">
        <v>1768</v>
      </c>
      <c r="F975" s="18" t="n">
        <f aca="false">IF('Base de Datos'!AB969="","",'Base de Datos'!AB969)</f>
        <v>25</v>
      </c>
      <c r="G975" s="14"/>
      <c r="H975" s="26"/>
      <c r="I975" s="27" t="str">
        <f aca="false">IF(OR($G975="",$G975=0),"",IFERROR(ROUND($F975*$G975*(1-IF($H975="",0,$H975)),2),""))</f>
        <v/>
      </c>
      <c r="J975" s="7"/>
    </row>
    <row r="976" customFormat="false" ht="21.75" hidden="false" customHeight="true" outlineLevel="0" collapsed="false">
      <c r="B976" s="15" t="n">
        <v>966</v>
      </c>
      <c r="C976" s="9" t="s">
        <v>59</v>
      </c>
      <c r="D976" s="9" t="s">
        <v>74</v>
      </c>
      <c r="E976" s="9" t="s">
        <v>1737</v>
      </c>
      <c r="F976" s="19" t="n">
        <f aca="false">IF('Base de Datos'!AB970="","",'Base de Datos'!AB970)</f>
        <v>25</v>
      </c>
      <c r="G976" s="15"/>
      <c r="H976" s="28"/>
      <c r="I976" s="29" t="str">
        <f aca="false">IF(OR($G976="",$G976=0),"",IFERROR(ROUND($F976*$G976*(1-IF($H976="",0,$H976)),2),""))</f>
        <v/>
      </c>
      <c r="J976" s="9"/>
    </row>
    <row r="977" customFormat="false" ht="21.75" hidden="false" customHeight="true" outlineLevel="0" collapsed="false">
      <c r="B977" s="14" t="n">
        <v>967</v>
      </c>
      <c r="C977" s="7" t="s">
        <v>59</v>
      </c>
      <c r="D977" s="7" t="s">
        <v>74</v>
      </c>
      <c r="E977" s="7" t="s">
        <v>1769</v>
      </c>
      <c r="F977" s="18" t="n">
        <f aca="false">IF('Base de Datos'!AB971="","",'Base de Datos'!AB971)</f>
        <v>40</v>
      </c>
      <c r="G977" s="14"/>
      <c r="H977" s="26"/>
      <c r="I977" s="27" t="str">
        <f aca="false">IF(OR($G977="",$G977=0),"",IFERROR(ROUND($F977*$G977*(1-IF($H977="",0,$H977)),2),""))</f>
        <v/>
      </c>
      <c r="J977" s="7"/>
    </row>
    <row r="978" customFormat="false" ht="21.75" hidden="false" customHeight="true" outlineLevel="0" collapsed="false">
      <c r="B978" s="15" t="n">
        <v>968</v>
      </c>
      <c r="C978" s="9" t="s">
        <v>59</v>
      </c>
      <c r="D978" s="9" t="s">
        <v>74</v>
      </c>
      <c r="E978" s="9" t="s">
        <v>1741</v>
      </c>
      <c r="F978" s="19" t="n">
        <f aca="false">IF('Base de Datos'!AB972="","",'Base de Datos'!AB972)</f>
        <v>60</v>
      </c>
      <c r="G978" s="15"/>
      <c r="H978" s="28"/>
      <c r="I978" s="29" t="str">
        <f aca="false">IF(OR($G978="",$G978=0),"",IFERROR(ROUND($F978*$G978*(1-IF($H978="",0,$H978)),2),""))</f>
        <v/>
      </c>
      <c r="J978" s="9"/>
    </row>
    <row r="979" customFormat="false" ht="25.5" hidden="false" customHeight="true" outlineLevel="0" collapsed="false">
      <c r="B979" s="16" t="s">
        <v>2361</v>
      </c>
      <c r="C979" s="16"/>
      <c r="D979" s="16"/>
      <c r="E979" s="16"/>
      <c r="F979" s="16"/>
      <c r="G979" s="16"/>
      <c r="H979" s="16"/>
      <c r="I979" s="30" t="n">
        <f aca="false">SUM(I11:I978)</f>
        <v>0</v>
      </c>
      <c r="J979" s="16"/>
    </row>
    <row r="981" customFormat="false" ht="21.75" hidden="false" customHeight="true" outlineLevel="0" collapsed="false">
      <c r="B981" s="22" t="s">
        <v>2362</v>
      </c>
      <c r="C981" s="22"/>
      <c r="D981" s="22"/>
      <c r="E981" s="22"/>
      <c r="F981" s="22"/>
      <c r="G981" s="22"/>
      <c r="H981" s="22"/>
      <c r="I981" s="22"/>
      <c r="J981" s="22"/>
    </row>
    <row r="982" customFormat="false" ht="27.75" hidden="false" customHeight="true" outlineLevel="0" collapsed="false">
      <c r="B982" s="5" t="s">
        <v>108</v>
      </c>
      <c r="C982" s="5" t="s">
        <v>77</v>
      </c>
      <c r="D982" s="5" t="s">
        <v>1771</v>
      </c>
      <c r="E982" s="5" t="s">
        <v>110</v>
      </c>
      <c r="F982" s="5" t="s">
        <v>2356</v>
      </c>
      <c r="G982" s="5" t="s">
        <v>2357</v>
      </c>
      <c r="H982" s="5" t="s">
        <v>2358</v>
      </c>
      <c r="I982" s="5" t="s">
        <v>2359</v>
      </c>
      <c r="J982" s="5" t="s">
        <v>2360</v>
      </c>
    </row>
    <row r="983" customFormat="false" ht="21.75" hidden="false" customHeight="true" outlineLevel="0" collapsed="false">
      <c r="B983" s="14" t="n">
        <v>1</v>
      </c>
      <c r="C983" s="7" t="s">
        <v>40</v>
      </c>
      <c r="D983" s="7" t="s">
        <v>96</v>
      </c>
      <c r="E983" s="7" t="s">
        <v>1778</v>
      </c>
      <c r="F983" s="18" t="n">
        <f aca="false">IF(Equipamiento!O5="","",Equipamiento!O5)</f>
        <v>449</v>
      </c>
      <c r="G983" s="14"/>
      <c r="H983" s="26"/>
      <c r="I983" s="27" t="str">
        <f aca="false">IF(OR($G983="",$G983=0),"",IFERROR(ROUND($F983*$G983*(1-IF($H983="",0,$H983)),2),""))</f>
        <v/>
      </c>
      <c r="J983" s="7"/>
    </row>
    <row r="984" customFormat="false" ht="21.75" hidden="false" customHeight="true" outlineLevel="0" collapsed="false">
      <c r="B984" s="15" t="n">
        <v>2</v>
      </c>
      <c r="C984" s="9" t="s">
        <v>51</v>
      </c>
      <c r="D984" s="9" t="s">
        <v>96</v>
      </c>
      <c r="E984" s="9" t="s">
        <v>1788</v>
      </c>
      <c r="F984" s="19" t="n">
        <f aca="false">IF(Equipamiento!O6="","",Equipamiento!O6)</f>
        <v>289</v>
      </c>
      <c r="G984" s="15"/>
      <c r="H984" s="28"/>
      <c r="I984" s="29" t="str">
        <f aca="false">IF(OR($G984="",$G984=0),"",IFERROR(ROUND($F984*$G984*(1-IF($H984="",0,$H984)),2),""))</f>
        <v/>
      </c>
      <c r="J984" s="9"/>
    </row>
    <row r="985" customFormat="false" ht="21.75" hidden="false" customHeight="true" outlineLevel="0" collapsed="false">
      <c r="B985" s="14" t="n">
        <v>3</v>
      </c>
      <c r="C985" s="7" t="s">
        <v>51</v>
      </c>
      <c r="D985" s="7" t="s">
        <v>96</v>
      </c>
      <c r="E985" s="7" t="s">
        <v>1796</v>
      </c>
      <c r="F985" s="18" t="n">
        <f aca="false">IF(Equipamiento!O7="","",Equipamiento!O7)</f>
        <v>139</v>
      </c>
      <c r="G985" s="14"/>
      <c r="H985" s="26"/>
      <c r="I985" s="27" t="str">
        <f aca="false">IF(OR($G985="",$G985=0),"",IFERROR(ROUND($F985*$G985*(1-IF($H985="",0,$H985)),2),""))</f>
        <v/>
      </c>
      <c r="J985" s="7"/>
    </row>
    <row r="986" customFormat="false" ht="21.75" hidden="false" customHeight="true" outlineLevel="0" collapsed="false">
      <c r="B986" s="15" t="n">
        <v>4</v>
      </c>
      <c r="C986" s="9" t="s">
        <v>52</v>
      </c>
      <c r="D986" s="9" t="s">
        <v>96</v>
      </c>
      <c r="E986" s="9" t="s">
        <v>1804</v>
      </c>
      <c r="F986" s="19" t="n">
        <f aca="false">IF(Equipamiento!O8="","",Equipamiento!O8)</f>
        <v>519</v>
      </c>
      <c r="G986" s="15"/>
      <c r="H986" s="28"/>
      <c r="I986" s="29" t="str">
        <f aca="false">IF(OR($G986="",$G986=0),"",IFERROR(ROUND($F986*$G986*(1-IF($H986="",0,$H986)),2),""))</f>
        <v/>
      </c>
      <c r="J986" s="9"/>
    </row>
    <row r="987" customFormat="false" ht="21.75" hidden="false" customHeight="true" outlineLevel="0" collapsed="false">
      <c r="B987" s="14" t="n">
        <v>5</v>
      </c>
      <c r="C987" s="7" t="s">
        <v>53</v>
      </c>
      <c r="D987" s="7" t="s">
        <v>96</v>
      </c>
      <c r="E987" s="7" t="s">
        <v>1811</v>
      </c>
      <c r="F987" s="18" t="n">
        <f aca="false">IF(Equipamiento!O9="","",Equipamiento!O9)</f>
        <v>379</v>
      </c>
      <c r="G987" s="14"/>
      <c r="H987" s="26"/>
      <c r="I987" s="27" t="str">
        <f aca="false">IF(OR($G987="",$G987=0),"",IFERROR(ROUND($F987*$G987*(1-IF($H987="",0,$H987)),2),""))</f>
        <v/>
      </c>
      <c r="J987" s="7"/>
    </row>
    <row r="988" customFormat="false" ht="21.75" hidden="false" customHeight="true" outlineLevel="0" collapsed="false">
      <c r="B988" s="15" t="n">
        <v>6</v>
      </c>
      <c r="C988" s="9" t="s">
        <v>42</v>
      </c>
      <c r="D988" s="9" t="s">
        <v>96</v>
      </c>
      <c r="E988" s="9" t="s">
        <v>1818</v>
      </c>
      <c r="F988" s="19" t="n">
        <f aca="false">IF(Equipamiento!O10="","",Equipamiento!O10)</f>
        <v>439</v>
      </c>
      <c r="G988" s="15"/>
      <c r="H988" s="28"/>
      <c r="I988" s="29" t="str">
        <f aca="false">IF(OR($G988="",$G988=0),"",IFERROR(ROUND($F988*$G988*(1-IF($H988="",0,$H988)),2),""))</f>
        <v/>
      </c>
      <c r="J988" s="9"/>
    </row>
    <row r="989" customFormat="false" ht="21.75" hidden="false" customHeight="true" outlineLevel="0" collapsed="false">
      <c r="B989" s="14" t="n">
        <v>7</v>
      </c>
      <c r="C989" s="7" t="s">
        <v>57</v>
      </c>
      <c r="D989" s="7" t="s">
        <v>96</v>
      </c>
      <c r="E989" s="7" t="s">
        <v>1826</v>
      </c>
      <c r="F989" s="18" t="n">
        <f aca="false">IF(Equipamiento!O11="","",Equipamiento!O11)</f>
        <v>269</v>
      </c>
      <c r="G989" s="14"/>
      <c r="H989" s="26"/>
      <c r="I989" s="27" t="str">
        <f aca="false">IF(OR($G989="",$G989=0),"",IFERROR(ROUND($F989*$G989*(1-IF($H989="",0,$H989)),2),""))</f>
        <v/>
      </c>
      <c r="J989" s="7"/>
    </row>
    <row r="990" customFormat="false" ht="21.75" hidden="false" customHeight="true" outlineLevel="0" collapsed="false">
      <c r="B990" s="15" t="n">
        <v>8</v>
      </c>
      <c r="C990" s="9" t="s">
        <v>58</v>
      </c>
      <c r="D990" s="9" t="s">
        <v>96</v>
      </c>
      <c r="E990" s="9" t="s">
        <v>1834</v>
      </c>
      <c r="F990" s="19" t="n">
        <f aca="false">IF(Equipamiento!O12="","",Equipamiento!O12)</f>
        <v>159</v>
      </c>
      <c r="G990" s="15"/>
      <c r="H990" s="28"/>
      <c r="I990" s="29" t="str">
        <f aca="false">IF(OR($G990="",$G990=0),"",IFERROR(ROUND($F990*$G990*(1-IF($H990="",0,$H990)),2),""))</f>
        <v/>
      </c>
      <c r="J990" s="9"/>
    </row>
    <row r="991" customFormat="false" ht="21.75" hidden="false" customHeight="true" outlineLevel="0" collapsed="false">
      <c r="B991" s="14" t="n">
        <v>9</v>
      </c>
      <c r="C991" s="7" t="s">
        <v>54</v>
      </c>
      <c r="D991" s="7" t="s">
        <v>96</v>
      </c>
      <c r="E991" s="7" t="s">
        <v>1841</v>
      </c>
      <c r="F991" s="18" t="n">
        <f aca="false">IF(Equipamiento!O13="","",Equipamiento!O13)</f>
        <v>139</v>
      </c>
      <c r="G991" s="14"/>
      <c r="H991" s="26"/>
      <c r="I991" s="27" t="str">
        <f aca="false">IF(OR($G991="",$G991=0),"",IFERROR(ROUND($F991*$G991*(1-IF($H991="",0,$H991)),2),""))</f>
        <v/>
      </c>
      <c r="J991" s="7"/>
    </row>
    <row r="992" customFormat="false" ht="21.75" hidden="false" customHeight="true" outlineLevel="0" collapsed="false">
      <c r="B992" s="15" t="n">
        <v>10</v>
      </c>
      <c r="C992" s="9" t="s">
        <v>55</v>
      </c>
      <c r="D992" s="9" t="s">
        <v>96</v>
      </c>
      <c r="E992" s="9" t="s">
        <v>1848</v>
      </c>
      <c r="F992" s="19" t="n">
        <f aca="false">IF(Equipamiento!O14="","",Equipamiento!O14)</f>
        <v>119</v>
      </c>
      <c r="G992" s="15"/>
      <c r="H992" s="28"/>
      <c r="I992" s="29" t="str">
        <f aca="false">IF(OR($G992="",$G992=0),"",IFERROR(ROUND($F992*$G992*(1-IF($H992="",0,$H992)),2),""))</f>
        <v/>
      </c>
      <c r="J992" s="9"/>
    </row>
    <row r="993" customFormat="false" ht="21.75" hidden="false" customHeight="true" outlineLevel="0" collapsed="false">
      <c r="B993" s="14" t="n">
        <v>11</v>
      </c>
      <c r="C993" s="7" t="s">
        <v>1855</v>
      </c>
      <c r="D993" s="7" t="s">
        <v>97</v>
      </c>
      <c r="E993" s="7" t="s">
        <v>1856</v>
      </c>
      <c r="F993" s="18" t="n">
        <f aca="false">IF(Equipamiento!O15="","",Equipamiento!O15)</f>
        <v>189</v>
      </c>
      <c r="G993" s="14"/>
      <c r="H993" s="26"/>
      <c r="I993" s="27" t="str">
        <f aca="false">IF(OR($G993="",$G993=0),"",IFERROR(ROUND($F993*$G993*(1-IF($H993="",0,$H993)),2),""))</f>
        <v/>
      </c>
      <c r="J993" s="7"/>
    </row>
    <row r="994" customFormat="false" ht="21.75" hidden="false" customHeight="true" outlineLevel="0" collapsed="false">
      <c r="B994" s="15" t="n">
        <v>12</v>
      </c>
      <c r="C994" s="9" t="s">
        <v>1865</v>
      </c>
      <c r="D994" s="9" t="s">
        <v>97</v>
      </c>
      <c r="E994" s="9" t="s">
        <v>1866</v>
      </c>
      <c r="F994" s="19" t="n">
        <f aca="false">IF(Equipamiento!O16="","",Equipamiento!O16)</f>
        <v>185</v>
      </c>
      <c r="G994" s="15"/>
      <c r="H994" s="28"/>
      <c r="I994" s="29" t="str">
        <f aca="false">IF(OR($G994="",$G994=0),"",IFERROR(ROUND($F994*$G994*(1-IF($H994="",0,$H994)),2),""))</f>
        <v/>
      </c>
      <c r="J994" s="9"/>
    </row>
    <row r="995" customFormat="false" ht="21.75" hidden="false" customHeight="true" outlineLevel="0" collapsed="false">
      <c r="B995" s="14" t="n">
        <v>13</v>
      </c>
      <c r="C995" s="7" t="s">
        <v>1872</v>
      </c>
      <c r="D995" s="7" t="s">
        <v>97</v>
      </c>
      <c r="E995" s="7" t="s">
        <v>1873</v>
      </c>
      <c r="F995" s="18" t="n">
        <f aca="false">IF(Equipamiento!O17="","",Equipamiento!O17)</f>
        <v>139</v>
      </c>
      <c r="G995" s="14"/>
      <c r="H995" s="26"/>
      <c r="I995" s="27" t="str">
        <f aca="false">IF(OR($G995="",$G995=0),"",IFERROR(ROUND($F995*$G995*(1-IF($H995="",0,$H995)),2),""))</f>
        <v/>
      </c>
      <c r="J995" s="7"/>
    </row>
    <row r="996" customFormat="false" ht="21.75" hidden="false" customHeight="true" outlineLevel="0" collapsed="false">
      <c r="B996" s="15" t="n">
        <v>14</v>
      </c>
      <c r="C996" s="9" t="s">
        <v>1865</v>
      </c>
      <c r="D996" s="9" t="s">
        <v>97</v>
      </c>
      <c r="E996" s="9" t="s">
        <v>1879</v>
      </c>
      <c r="F996" s="19" t="n">
        <f aca="false">IF(Equipamiento!O18="","",Equipamiento!O18)</f>
        <v>99</v>
      </c>
      <c r="G996" s="15"/>
      <c r="H996" s="28"/>
      <c r="I996" s="29" t="str">
        <f aca="false">IF(OR($G996="",$G996=0),"",IFERROR(ROUND($F996*$G996*(1-IF($H996="",0,$H996)),2),""))</f>
        <v/>
      </c>
      <c r="J996" s="9"/>
    </row>
    <row r="997" customFormat="false" ht="21.75" hidden="false" customHeight="true" outlineLevel="0" collapsed="false">
      <c r="B997" s="14" t="n">
        <v>15</v>
      </c>
      <c r="C997" s="7" t="s">
        <v>1855</v>
      </c>
      <c r="D997" s="7" t="s">
        <v>97</v>
      </c>
      <c r="E997" s="7" t="s">
        <v>1885</v>
      </c>
      <c r="F997" s="18" t="n">
        <f aca="false">IF(Equipamiento!O19="","",Equipamiento!O19)</f>
        <v>95</v>
      </c>
      <c r="G997" s="14"/>
      <c r="H997" s="26"/>
      <c r="I997" s="27" t="str">
        <f aca="false">IF(OR($G997="",$G997=0),"",IFERROR(ROUND($F997*$G997*(1-IF($H997="",0,$H997)),2),""))</f>
        <v/>
      </c>
      <c r="J997" s="7"/>
    </row>
    <row r="998" customFormat="false" ht="21.75" hidden="false" customHeight="true" outlineLevel="0" collapsed="false">
      <c r="B998" s="15" t="n">
        <v>16</v>
      </c>
      <c r="C998" s="9" t="s">
        <v>1889</v>
      </c>
      <c r="D998" s="9" t="s">
        <v>98</v>
      </c>
      <c r="E998" s="9" t="s">
        <v>1890</v>
      </c>
      <c r="F998" s="19" t="n">
        <f aca="false">IF(Equipamiento!O20="","",Equipamiento!O20)</f>
        <v>79</v>
      </c>
      <c r="G998" s="15"/>
      <c r="H998" s="28"/>
      <c r="I998" s="29" t="str">
        <f aca="false">IF(OR($G998="",$G998=0),"",IFERROR(ROUND($F998*$G998*(1-IF($H998="",0,$H998)),2),""))</f>
        <v/>
      </c>
      <c r="J998" s="9"/>
    </row>
    <row r="999" customFormat="false" ht="21.75" hidden="false" customHeight="true" outlineLevel="0" collapsed="false">
      <c r="B999" s="14" t="n">
        <v>17</v>
      </c>
      <c r="C999" s="7" t="s">
        <v>1889</v>
      </c>
      <c r="D999" s="7" t="s">
        <v>98</v>
      </c>
      <c r="E999" s="7" t="s">
        <v>1898</v>
      </c>
      <c r="F999" s="18" t="n">
        <f aca="false">IF(Equipamiento!O21="","",Equipamiento!O21)</f>
        <v>269</v>
      </c>
      <c r="G999" s="14"/>
      <c r="H999" s="26"/>
      <c r="I999" s="27" t="str">
        <f aca="false">IF(OR($G999="",$G999=0),"",IFERROR(ROUND($F999*$G999*(1-IF($H999="",0,$H999)),2),""))</f>
        <v/>
      </c>
      <c r="J999" s="7"/>
    </row>
    <row r="1000" customFormat="false" ht="21.75" hidden="false" customHeight="true" outlineLevel="0" collapsed="false">
      <c r="B1000" s="15" t="n">
        <v>18</v>
      </c>
      <c r="C1000" s="9" t="s">
        <v>1906</v>
      </c>
      <c r="D1000" s="9" t="s">
        <v>98</v>
      </c>
      <c r="E1000" s="9" t="s">
        <v>1907</v>
      </c>
      <c r="F1000" s="19" t="n">
        <f aca="false">IF(Equipamiento!O22="","",Equipamiento!O22)</f>
        <v>109</v>
      </c>
      <c r="G1000" s="15"/>
      <c r="H1000" s="28"/>
      <c r="I1000" s="29" t="str">
        <f aca="false">IF(OR($G1000="",$G1000=0),"",IFERROR(ROUND($F1000*$G1000*(1-IF($H1000="",0,$H1000)),2),""))</f>
        <v/>
      </c>
      <c r="J1000" s="9"/>
    </row>
    <row r="1001" customFormat="false" ht="21.75" hidden="false" customHeight="true" outlineLevel="0" collapsed="false">
      <c r="B1001" s="14" t="n">
        <v>19</v>
      </c>
      <c r="C1001" s="7" t="s">
        <v>1906</v>
      </c>
      <c r="D1001" s="7" t="s">
        <v>98</v>
      </c>
      <c r="E1001" s="7" t="s">
        <v>1915</v>
      </c>
      <c r="F1001" s="18" t="n">
        <f aca="false">IF(Equipamiento!O23="","",Equipamiento!O23)</f>
        <v>599</v>
      </c>
      <c r="G1001" s="14"/>
      <c r="H1001" s="26"/>
      <c r="I1001" s="27" t="str">
        <f aca="false">IF(OR($G1001="",$G1001=0),"",IFERROR(ROUND($F1001*$G1001*(1-IF($H1001="",0,$H1001)),2),""))</f>
        <v/>
      </c>
      <c r="J1001" s="7"/>
    </row>
    <row r="1002" customFormat="false" ht="21.75" hidden="false" customHeight="true" outlineLevel="0" collapsed="false">
      <c r="B1002" s="15" t="n">
        <v>20</v>
      </c>
      <c r="C1002" s="9" t="s">
        <v>51</v>
      </c>
      <c r="D1002" s="9" t="s">
        <v>98</v>
      </c>
      <c r="E1002" s="9" t="s">
        <v>1923</v>
      </c>
      <c r="F1002" s="19" t="n">
        <f aca="false">IF(Equipamiento!O24="","",Equipamiento!O24)</f>
        <v>159</v>
      </c>
      <c r="G1002" s="15"/>
      <c r="H1002" s="28"/>
      <c r="I1002" s="29" t="str">
        <f aca="false">IF(OR($G1002="",$G1002=0),"",IFERROR(ROUND($F1002*$G1002*(1-IF($H1002="",0,$H1002)),2),""))</f>
        <v/>
      </c>
      <c r="J1002" s="9"/>
    </row>
    <row r="1003" customFormat="false" ht="21.75" hidden="false" customHeight="true" outlineLevel="0" collapsed="false">
      <c r="B1003" s="14" t="n">
        <v>21</v>
      </c>
      <c r="C1003" s="7" t="s">
        <v>52</v>
      </c>
      <c r="D1003" s="7" t="s">
        <v>98</v>
      </c>
      <c r="E1003" s="7" t="s">
        <v>1931</v>
      </c>
      <c r="F1003" s="18" t="n">
        <f aca="false">IF(Equipamiento!O25="","",Equipamiento!O25)</f>
        <v>189</v>
      </c>
      <c r="G1003" s="14"/>
      <c r="H1003" s="26"/>
      <c r="I1003" s="27" t="str">
        <f aca="false">IF(OR($G1003="",$G1003=0),"",IFERROR(ROUND($F1003*$G1003*(1-IF($H1003="",0,$H1003)),2),""))</f>
        <v/>
      </c>
      <c r="J1003" s="7"/>
    </row>
    <row r="1004" customFormat="false" ht="21.75" hidden="false" customHeight="true" outlineLevel="0" collapsed="false">
      <c r="B1004" s="15" t="n">
        <v>22</v>
      </c>
      <c r="C1004" s="9" t="s">
        <v>1938</v>
      </c>
      <c r="D1004" s="9" t="s">
        <v>98</v>
      </c>
      <c r="E1004" s="9" t="s">
        <v>1939</v>
      </c>
      <c r="F1004" s="19" t="n">
        <f aca="false">IF(Equipamiento!O26="","",Equipamiento!O26)</f>
        <v>329</v>
      </c>
      <c r="G1004" s="15"/>
      <c r="H1004" s="28"/>
      <c r="I1004" s="29" t="str">
        <f aca="false">IF(OR($G1004="",$G1004=0),"",IFERROR(ROUND($F1004*$G1004*(1-IF($H1004="",0,$H1004)),2),""))</f>
        <v/>
      </c>
      <c r="J1004" s="9"/>
    </row>
    <row r="1005" customFormat="false" ht="21.75" hidden="false" customHeight="true" outlineLevel="0" collapsed="false">
      <c r="B1005" s="14" t="n">
        <v>23</v>
      </c>
      <c r="C1005" s="7" t="s">
        <v>1947</v>
      </c>
      <c r="D1005" s="7" t="s">
        <v>99</v>
      </c>
      <c r="E1005" s="7" t="s">
        <v>1948</v>
      </c>
      <c r="F1005" s="18" t="n">
        <f aca="false">IF(Equipamiento!O27="","",Equipamiento!O27)</f>
        <v>79</v>
      </c>
      <c r="G1005" s="14"/>
      <c r="H1005" s="26"/>
      <c r="I1005" s="27" t="str">
        <f aca="false">IF(OR($G1005="",$G1005=0),"",IFERROR(ROUND($F1005*$G1005*(1-IF($H1005="",0,$H1005)),2),""))</f>
        <v/>
      </c>
      <c r="J1005" s="7"/>
    </row>
    <row r="1006" customFormat="false" ht="21.75" hidden="false" customHeight="true" outlineLevel="0" collapsed="false">
      <c r="B1006" s="15" t="n">
        <v>24</v>
      </c>
      <c r="C1006" s="9" t="s">
        <v>1958</v>
      </c>
      <c r="D1006" s="9" t="s">
        <v>99</v>
      </c>
      <c r="E1006" s="9" t="s">
        <v>1959</v>
      </c>
      <c r="F1006" s="19" t="n">
        <f aca="false">IF(Equipamiento!O28="","",Equipamiento!O28)</f>
        <v>149</v>
      </c>
      <c r="G1006" s="15"/>
      <c r="H1006" s="28"/>
      <c r="I1006" s="29" t="str">
        <f aca="false">IF(OR($G1006="",$G1006=0),"",IFERROR(ROUND($F1006*$G1006*(1-IF($H1006="",0,$H1006)),2),""))</f>
        <v/>
      </c>
      <c r="J1006" s="9"/>
    </row>
    <row r="1007" customFormat="false" ht="21.75" hidden="false" customHeight="true" outlineLevel="0" collapsed="false">
      <c r="B1007" s="14" t="n">
        <v>25</v>
      </c>
      <c r="C1007" s="7" t="s">
        <v>1967</v>
      </c>
      <c r="D1007" s="7" t="s">
        <v>99</v>
      </c>
      <c r="E1007" s="7" t="s">
        <v>1968</v>
      </c>
      <c r="F1007" s="18" t="n">
        <f aca="false">IF(Equipamiento!O29="","",Equipamiento!O29)</f>
        <v>199</v>
      </c>
      <c r="G1007" s="14"/>
      <c r="H1007" s="26"/>
      <c r="I1007" s="27" t="str">
        <f aca="false">IF(OR($G1007="",$G1007=0),"",IFERROR(ROUND($F1007*$G1007*(1-IF($H1007="",0,$H1007)),2),""))</f>
        <v/>
      </c>
      <c r="J1007" s="7"/>
    </row>
    <row r="1008" customFormat="false" ht="21.75" hidden="false" customHeight="true" outlineLevel="0" collapsed="false">
      <c r="B1008" s="15" t="n">
        <v>26</v>
      </c>
      <c r="C1008" s="9" t="s">
        <v>1977</v>
      </c>
      <c r="D1008" s="9" t="s">
        <v>99</v>
      </c>
      <c r="E1008" s="9" t="s">
        <v>1978</v>
      </c>
      <c r="F1008" s="19" t="n">
        <f aca="false">IF(Equipamiento!O30="","",Equipamiento!O30)</f>
        <v>179</v>
      </c>
      <c r="G1008" s="15"/>
      <c r="H1008" s="28"/>
      <c r="I1008" s="29" t="str">
        <f aca="false">IF(OR($G1008="",$G1008=0),"",IFERROR(ROUND($F1008*$G1008*(1-IF($H1008="",0,$H1008)),2),""))</f>
        <v/>
      </c>
      <c r="J1008" s="9"/>
    </row>
    <row r="1009" customFormat="false" ht="21.75" hidden="false" customHeight="true" outlineLevel="0" collapsed="false">
      <c r="B1009" s="14" t="n">
        <v>27</v>
      </c>
      <c r="C1009" s="7" t="s">
        <v>1947</v>
      </c>
      <c r="D1009" s="7" t="s">
        <v>99</v>
      </c>
      <c r="E1009" s="7" t="s">
        <v>1983</v>
      </c>
      <c r="F1009" s="18" t="n">
        <f aca="false">IF(Equipamiento!O31="","",Equipamiento!O31)</f>
        <v>549</v>
      </c>
      <c r="G1009" s="14"/>
      <c r="H1009" s="26"/>
      <c r="I1009" s="27" t="str">
        <f aca="false">IF(OR($G1009="",$G1009=0),"",IFERROR(ROUND($F1009*$G1009*(1-IF($H1009="",0,$H1009)),2),""))</f>
        <v/>
      </c>
      <c r="J1009" s="7"/>
    </row>
    <row r="1010" customFormat="false" ht="21.75" hidden="false" customHeight="true" outlineLevel="0" collapsed="false">
      <c r="B1010" s="15" t="n">
        <v>28</v>
      </c>
      <c r="C1010" s="9" t="s">
        <v>1947</v>
      </c>
      <c r="D1010" s="9" t="s">
        <v>99</v>
      </c>
      <c r="E1010" s="9" t="s">
        <v>1992</v>
      </c>
      <c r="F1010" s="19" t="n">
        <f aca="false">IF(Equipamiento!O32="","",Equipamiento!O32)</f>
        <v>2999</v>
      </c>
      <c r="G1010" s="15"/>
      <c r="H1010" s="28"/>
      <c r="I1010" s="29" t="str">
        <f aca="false">IF(OR($G1010="",$G1010=0),"",IFERROR(ROUND($F1010*$G1010*(1-IF($H1010="",0,$H1010)),2),""))</f>
        <v/>
      </c>
      <c r="J1010" s="9"/>
    </row>
    <row r="1011" customFormat="false" ht="21.75" hidden="false" customHeight="true" outlineLevel="0" collapsed="false">
      <c r="B1011" s="14" t="n">
        <v>29</v>
      </c>
      <c r="C1011" s="7" t="s">
        <v>2002</v>
      </c>
      <c r="D1011" s="7" t="s">
        <v>100</v>
      </c>
      <c r="E1011" s="7" t="s">
        <v>2003</v>
      </c>
      <c r="F1011" s="18" t="n">
        <f aca="false">IF(Equipamiento!O33="","",Equipamiento!O33)</f>
        <v>99</v>
      </c>
      <c r="G1011" s="14"/>
      <c r="H1011" s="26"/>
      <c r="I1011" s="27" t="str">
        <f aca="false">IF(OR($G1011="",$G1011=0),"",IFERROR(ROUND($F1011*$G1011*(1-IF($H1011="",0,$H1011)),2),""))</f>
        <v/>
      </c>
      <c r="J1011" s="7"/>
    </row>
    <row r="1012" customFormat="false" ht="21.75" hidden="false" customHeight="true" outlineLevel="0" collapsed="false">
      <c r="B1012" s="15" t="n">
        <v>30</v>
      </c>
      <c r="C1012" s="9" t="s">
        <v>2011</v>
      </c>
      <c r="D1012" s="9" t="s">
        <v>100</v>
      </c>
      <c r="E1012" s="9" t="s">
        <v>2012</v>
      </c>
      <c r="F1012" s="19" t="n">
        <f aca="false">IF(Equipamiento!O34="","",Equipamiento!O34)</f>
        <v>109</v>
      </c>
      <c r="G1012" s="15"/>
      <c r="H1012" s="28"/>
      <c r="I1012" s="29" t="str">
        <f aca="false">IF(OR($G1012="",$G1012=0),"",IFERROR(ROUND($F1012*$G1012*(1-IF($H1012="",0,$H1012)),2),""))</f>
        <v/>
      </c>
      <c r="J1012" s="9"/>
    </row>
    <row r="1013" customFormat="false" ht="21.75" hidden="false" customHeight="true" outlineLevel="0" collapsed="false">
      <c r="B1013" s="14" t="n">
        <v>31</v>
      </c>
      <c r="C1013" s="7" t="s">
        <v>2016</v>
      </c>
      <c r="D1013" s="7" t="s">
        <v>100</v>
      </c>
      <c r="E1013" s="7" t="s">
        <v>2017</v>
      </c>
      <c r="F1013" s="18" t="n">
        <f aca="false">IF(Equipamiento!O35="","",Equipamiento!O35)</f>
        <v>139</v>
      </c>
      <c r="G1013" s="14"/>
      <c r="H1013" s="26"/>
      <c r="I1013" s="27" t="str">
        <f aca="false">IF(OR($G1013="",$G1013=0),"",IFERROR(ROUND($F1013*$G1013*(1-IF($H1013="",0,$H1013)),2),""))</f>
        <v/>
      </c>
      <c r="J1013" s="7"/>
    </row>
    <row r="1014" customFormat="false" ht="21.75" hidden="false" customHeight="true" outlineLevel="0" collapsed="false">
      <c r="B1014" s="15" t="n">
        <v>32</v>
      </c>
      <c r="C1014" s="9" t="s">
        <v>2022</v>
      </c>
      <c r="D1014" s="9" t="s">
        <v>100</v>
      </c>
      <c r="E1014" s="9" t="s">
        <v>2023</v>
      </c>
      <c r="F1014" s="19" t="n">
        <f aca="false">IF(Equipamiento!O36="","",Equipamiento!O36)</f>
        <v>189</v>
      </c>
      <c r="G1014" s="15"/>
      <c r="H1014" s="28"/>
      <c r="I1014" s="29" t="str">
        <f aca="false">IF(OR($G1014="",$G1014=0),"",IFERROR(ROUND($F1014*$G1014*(1-IF($H1014="",0,$H1014)),2),""))</f>
        <v/>
      </c>
      <c r="J1014" s="9"/>
    </row>
    <row r="1015" customFormat="false" ht="21.75" hidden="false" customHeight="true" outlineLevel="0" collapsed="false">
      <c r="B1015" s="14" t="n">
        <v>33</v>
      </c>
      <c r="C1015" s="7" t="s">
        <v>2031</v>
      </c>
      <c r="D1015" s="7" t="s">
        <v>100</v>
      </c>
      <c r="E1015" s="7" t="s">
        <v>2032</v>
      </c>
      <c r="F1015" s="18" t="n">
        <f aca="false">IF(Equipamiento!O37="","",Equipamiento!O37)</f>
        <v>249</v>
      </c>
      <c r="G1015" s="14"/>
      <c r="H1015" s="26"/>
      <c r="I1015" s="27" t="str">
        <f aca="false">IF(OR($G1015="",$G1015=0),"",IFERROR(ROUND($F1015*$G1015*(1-IF($H1015="",0,$H1015)),2),""))</f>
        <v/>
      </c>
      <c r="J1015" s="7"/>
    </row>
    <row r="1016" customFormat="false" ht="21.75" hidden="false" customHeight="true" outlineLevel="0" collapsed="false">
      <c r="B1016" s="15" t="n">
        <v>34</v>
      </c>
      <c r="C1016" s="9" t="s">
        <v>1947</v>
      </c>
      <c r="D1016" s="9" t="s">
        <v>101</v>
      </c>
      <c r="E1016" s="9" t="s">
        <v>2038</v>
      </c>
      <c r="F1016" s="19" t="n">
        <f aca="false">IF(Equipamiento!O38="","",Equipamiento!O38)</f>
        <v>299</v>
      </c>
      <c r="G1016" s="15"/>
      <c r="H1016" s="28"/>
      <c r="I1016" s="29" t="str">
        <f aca="false">IF(OR($G1016="",$G1016=0),"",IFERROR(ROUND($F1016*$G1016*(1-IF($H1016="",0,$H1016)),2),""))</f>
        <v/>
      </c>
      <c r="J1016" s="9"/>
    </row>
    <row r="1017" customFormat="false" ht="21.75" hidden="false" customHeight="true" outlineLevel="0" collapsed="false">
      <c r="B1017" s="14" t="n">
        <v>35</v>
      </c>
      <c r="C1017" s="7" t="s">
        <v>2047</v>
      </c>
      <c r="D1017" s="7" t="s">
        <v>101</v>
      </c>
      <c r="E1017" s="7" t="s">
        <v>2048</v>
      </c>
      <c r="F1017" s="18" t="n">
        <f aca="false">IF(Equipamiento!O39="","",Equipamiento!O39)</f>
        <v>259</v>
      </c>
      <c r="G1017" s="14"/>
      <c r="H1017" s="26"/>
      <c r="I1017" s="27" t="str">
        <f aca="false">IF(OR($G1017="",$G1017=0),"",IFERROR(ROUND($F1017*$G1017*(1-IF($H1017="",0,$H1017)),2),""))</f>
        <v/>
      </c>
      <c r="J1017" s="7"/>
    </row>
    <row r="1018" customFormat="false" ht="21.75" hidden="false" customHeight="true" outlineLevel="0" collapsed="false">
      <c r="B1018" s="15" t="n">
        <v>36</v>
      </c>
      <c r="C1018" s="9" t="s">
        <v>2055</v>
      </c>
      <c r="D1018" s="9" t="s">
        <v>101</v>
      </c>
      <c r="E1018" s="9" t="s">
        <v>2056</v>
      </c>
      <c r="F1018" s="19" t="n">
        <f aca="false">IF(Equipamiento!O40="","",Equipamiento!O40)</f>
        <v>189</v>
      </c>
      <c r="G1018" s="15"/>
      <c r="H1018" s="28"/>
      <c r="I1018" s="29" t="str">
        <f aca="false">IF(OR($G1018="",$G1018=0),"",IFERROR(ROUND($F1018*$G1018*(1-IF($H1018="",0,$H1018)),2),""))</f>
        <v/>
      </c>
      <c r="J1018" s="9"/>
    </row>
    <row r="1019" customFormat="false" ht="21.75" hidden="false" customHeight="true" outlineLevel="0" collapsed="false">
      <c r="B1019" s="14" t="n">
        <v>37</v>
      </c>
      <c r="C1019" s="7" t="s">
        <v>2064</v>
      </c>
      <c r="D1019" s="7" t="s">
        <v>101</v>
      </c>
      <c r="E1019" s="7" t="s">
        <v>2065</v>
      </c>
      <c r="F1019" s="18" t="n">
        <f aca="false">IF(Equipamiento!O41="","",Equipamiento!O41)</f>
        <v>179</v>
      </c>
      <c r="G1019" s="14"/>
      <c r="H1019" s="26"/>
      <c r="I1019" s="27" t="str">
        <f aca="false">IF(OR($G1019="",$G1019=0),"",IFERROR(ROUND($F1019*$G1019*(1-IF($H1019="",0,$H1019)),2),""))</f>
        <v/>
      </c>
      <c r="J1019" s="7"/>
    </row>
    <row r="1020" customFormat="false" ht="21.75" hidden="false" customHeight="true" outlineLevel="0" collapsed="false">
      <c r="B1020" s="15" t="n">
        <v>38</v>
      </c>
      <c r="C1020" s="9" t="s">
        <v>2074</v>
      </c>
      <c r="D1020" s="9" t="s">
        <v>101</v>
      </c>
      <c r="E1020" s="9" t="s">
        <v>2075</v>
      </c>
      <c r="F1020" s="19" t="n">
        <f aca="false">IF(Equipamiento!O42="","",Equipamiento!O42)</f>
        <v>1149</v>
      </c>
      <c r="G1020" s="15"/>
      <c r="H1020" s="28"/>
      <c r="I1020" s="29" t="str">
        <f aca="false">IF(OR($G1020="",$G1020=0),"",IFERROR(ROUND($F1020*$G1020*(1-IF($H1020="",0,$H1020)),2),""))</f>
        <v/>
      </c>
      <c r="J1020" s="9"/>
    </row>
    <row r="1021" customFormat="false" ht="21.75" hidden="false" customHeight="true" outlineLevel="0" collapsed="false">
      <c r="B1021" s="14" t="n">
        <v>39</v>
      </c>
      <c r="C1021" s="7" t="s">
        <v>2084</v>
      </c>
      <c r="D1021" s="7" t="s">
        <v>102</v>
      </c>
      <c r="E1021" s="7" t="s">
        <v>2085</v>
      </c>
      <c r="F1021" s="18" t="n">
        <f aca="false">IF(Equipamiento!O43="","",Equipamiento!O43)</f>
        <v>189</v>
      </c>
      <c r="G1021" s="14"/>
      <c r="H1021" s="26"/>
      <c r="I1021" s="27" t="str">
        <f aca="false">IF(OR($G1021="",$G1021=0),"",IFERROR(ROUND($F1021*$G1021*(1-IF($H1021="",0,$H1021)),2),""))</f>
        <v/>
      </c>
      <c r="J1021" s="7"/>
    </row>
    <row r="1022" customFormat="false" ht="21.75" hidden="false" customHeight="true" outlineLevel="0" collapsed="false">
      <c r="B1022" s="15" t="n">
        <v>40</v>
      </c>
      <c r="C1022" s="9" t="s">
        <v>2064</v>
      </c>
      <c r="D1022" s="9" t="s">
        <v>102</v>
      </c>
      <c r="E1022" s="9" t="s">
        <v>2093</v>
      </c>
      <c r="F1022" s="19" t="n">
        <f aca="false">IF(Equipamiento!O44="","",Equipamiento!O44)</f>
        <v>79</v>
      </c>
      <c r="G1022" s="15"/>
      <c r="H1022" s="28"/>
      <c r="I1022" s="29" t="str">
        <f aca="false">IF(OR($G1022="",$G1022=0),"",IFERROR(ROUND($F1022*$G1022*(1-IF($H1022="",0,$H1022)),2),""))</f>
        <v/>
      </c>
      <c r="J1022" s="9"/>
    </row>
    <row r="1023" customFormat="false" ht="21.75" hidden="false" customHeight="true" outlineLevel="0" collapsed="false">
      <c r="B1023" s="14" t="n">
        <v>41</v>
      </c>
      <c r="C1023" s="7" t="s">
        <v>2064</v>
      </c>
      <c r="D1023" s="7" t="s">
        <v>102</v>
      </c>
      <c r="E1023" s="7" t="s">
        <v>2101</v>
      </c>
      <c r="F1023" s="18" t="n">
        <f aca="false">IF(Equipamiento!O45="","",Equipamiento!O45)</f>
        <v>89</v>
      </c>
      <c r="G1023" s="14"/>
      <c r="H1023" s="26"/>
      <c r="I1023" s="27" t="str">
        <f aca="false">IF(OR($G1023="",$G1023=0),"",IFERROR(ROUND($F1023*$G1023*(1-IF($H1023="",0,$H1023)),2),""))</f>
        <v/>
      </c>
      <c r="J1023" s="7"/>
    </row>
    <row r="1024" customFormat="false" ht="21.75" hidden="false" customHeight="true" outlineLevel="0" collapsed="false">
      <c r="B1024" s="15" t="n">
        <v>42</v>
      </c>
      <c r="C1024" s="9" t="s">
        <v>1889</v>
      </c>
      <c r="D1024" s="9" t="s">
        <v>102</v>
      </c>
      <c r="E1024" s="9" t="s">
        <v>2108</v>
      </c>
      <c r="F1024" s="19" t="n">
        <f aca="false">IF(Equipamiento!O46="","",Equipamiento!O46)</f>
        <v>49</v>
      </c>
      <c r="G1024" s="15"/>
      <c r="H1024" s="28"/>
      <c r="I1024" s="29" t="str">
        <f aca="false">IF(OR($G1024="",$G1024=0),"",IFERROR(ROUND($F1024*$G1024*(1-IF($H1024="",0,$H1024)),2),""))</f>
        <v/>
      </c>
      <c r="J1024" s="9"/>
    </row>
    <row r="1025" customFormat="false" ht="21.75" hidden="false" customHeight="true" outlineLevel="0" collapsed="false">
      <c r="B1025" s="14" t="n">
        <v>43</v>
      </c>
      <c r="C1025" s="7" t="s">
        <v>2117</v>
      </c>
      <c r="D1025" s="7" t="s">
        <v>102</v>
      </c>
      <c r="E1025" s="7" t="s">
        <v>2118</v>
      </c>
      <c r="F1025" s="18" t="n">
        <f aca="false">IF(Equipamiento!O47="","",Equipamiento!O47)</f>
        <v>59</v>
      </c>
      <c r="G1025" s="14"/>
      <c r="H1025" s="26"/>
      <c r="I1025" s="27" t="str">
        <f aca="false">IF(OR($G1025="",$G1025=0),"",IFERROR(ROUND($F1025*$G1025*(1-IF($H1025="",0,$H1025)),2),""))</f>
        <v/>
      </c>
      <c r="J1025" s="7"/>
    </row>
    <row r="1026" customFormat="false" ht="21.75" hidden="false" customHeight="true" outlineLevel="0" collapsed="false">
      <c r="B1026" s="15" t="n">
        <v>44</v>
      </c>
      <c r="C1026" s="9" t="s">
        <v>2064</v>
      </c>
      <c r="D1026" s="9" t="s">
        <v>102</v>
      </c>
      <c r="E1026" s="9" t="s">
        <v>2125</v>
      </c>
      <c r="F1026" s="19" t="n">
        <f aca="false">IF(Equipamiento!O48="","",Equipamiento!O48)</f>
        <v>19</v>
      </c>
      <c r="G1026" s="15"/>
      <c r="H1026" s="28"/>
      <c r="I1026" s="29" t="str">
        <f aca="false">IF(OR($G1026="",$G1026=0),"",IFERROR(ROUND($F1026*$G1026*(1-IF($H1026="",0,$H1026)),2),""))</f>
        <v/>
      </c>
      <c r="J1026" s="9"/>
    </row>
    <row r="1027" customFormat="false" ht="21.75" hidden="false" customHeight="true" outlineLevel="0" collapsed="false">
      <c r="B1027" s="14" t="n">
        <v>45</v>
      </c>
      <c r="C1027" s="7" t="s">
        <v>51</v>
      </c>
      <c r="D1027" s="7" t="s">
        <v>103</v>
      </c>
      <c r="E1027" s="7" t="s">
        <v>2132</v>
      </c>
      <c r="F1027" s="18" t="n">
        <f aca="false">IF(Equipamiento!O49="","",Equipamiento!O49)</f>
        <v>12</v>
      </c>
      <c r="G1027" s="14"/>
      <c r="H1027" s="26"/>
      <c r="I1027" s="27" t="str">
        <f aca="false">IF(OR($G1027="",$G1027=0),"",IFERROR(ROUND($F1027*$G1027*(1-IF($H1027="",0,$H1027)),2),""))</f>
        <v/>
      </c>
      <c r="J1027" s="7"/>
    </row>
    <row r="1028" customFormat="false" ht="21.75" hidden="false" customHeight="true" outlineLevel="0" collapsed="false">
      <c r="B1028" s="15" t="n">
        <v>46</v>
      </c>
      <c r="C1028" s="9" t="s">
        <v>52</v>
      </c>
      <c r="D1028" s="9" t="s">
        <v>103</v>
      </c>
      <c r="E1028" s="9" t="s">
        <v>2141</v>
      </c>
      <c r="F1028" s="19" t="n">
        <f aca="false">IF(Equipamiento!O50="","",Equipamiento!O50)</f>
        <v>15</v>
      </c>
      <c r="G1028" s="15"/>
      <c r="H1028" s="28"/>
      <c r="I1028" s="29" t="str">
        <f aca="false">IF(OR($G1028="",$G1028=0),"",IFERROR(ROUND($F1028*$G1028*(1-IF($H1028="",0,$H1028)),2),""))</f>
        <v/>
      </c>
      <c r="J1028" s="9"/>
    </row>
    <row r="1029" customFormat="false" ht="21.75" hidden="false" customHeight="true" outlineLevel="0" collapsed="false">
      <c r="B1029" s="14" t="n">
        <v>47</v>
      </c>
      <c r="C1029" s="7" t="s">
        <v>40</v>
      </c>
      <c r="D1029" s="7" t="s">
        <v>103</v>
      </c>
      <c r="E1029" s="7" t="s">
        <v>2148</v>
      </c>
      <c r="F1029" s="18" t="n">
        <f aca="false">IF(Equipamiento!O51="","",Equipamiento!O51)</f>
        <v>39</v>
      </c>
      <c r="G1029" s="14"/>
      <c r="H1029" s="26"/>
      <c r="I1029" s="27" t="str">
        <f aca="false">IF(OR($G1029="",$G1029=0),"",IFERROR(ROUND($F1029*$G1029*(1-IF($H1029="",0,$H1029)),2),""))</f>
        <v/>
      </c>
      <c r="J1029" s="7"/>
    </row>
    <row r="1030" customFormat="false" ht="21.75" hidden="false" customHeight="true" outlineLevel="0" collapsed="false">
      <c r="B1030" s="15" t="n">
        <v>48</v>
      </c>
      <c r="C1030" s="9" t="s">
        <v>40</v>
      </c>
      <c r="D1030" s="9" t="s">
        <v>103</v>
      </c>
      <c r="E1030" s="9" t="s">
        <v>2156</v>
      </c>
      <c r="F1030" s="19" t="n">
        <f aca="false">IF(Equipamiento!O52="","",Equipamiento!O52)</f>
        <v>229</v>
      </c>
      <c r="G1030" s="15"/>
      <c r="H1030" s="28"/>
      <c r="I1030" s="29" t="str">
        <f aca="false">IF(OR($G1030="",$G1030=0),"",IFERROR(ROUND($F1030*$G1030*(1-IF($H1030="",0,$H1030)),2),""))</f>
        <v/>
      </c>
      <c r="J1030" s="9"/>
    </row>
    <row r="1031" customFormat="false" ht="21.75" hidden="false" customHeight="true" outlineLevel="0" collapsed="false">
      <c r="B1031" s="14" t="n">
        <v>49</v>
      </c>
      <c r="C1031" s="7" t="s">
        <v>2064</v>
      </c>
      <c r="D1031" s="7" t="s">
        <v>103</v>
      </c>
      <c r="E1031" s="7" t="s">
        <v>2166</v>
      </c>
      <c r="F1031" s="18" t="n">
        <f aca="false">IF(Equipamiento!O53="","",Equipamiento!O53)</f>
        <v>29</v>
      </c>
      <c r="G1031" s="14"/>
      <c r="H1031" s="26"/>
      <c r="I1031" s="27" t="str">
        <f aca="false">IF(OR($G1031="",$G1031=0),"",IFERROR(ROUND($F1031*$G1031*(1-IF($H1031="",0,$H1031)),2),""))</f>
        <v/>
      </c>
      <c r="J1031" s="7"/>
    </row>
    <row r="1032" customFormat="false" ht="21.75" hidden="false" customHeight="true" outlineLevel="0" collapsed="false">
      <c r="B1032" s="15" t="n">
        <v>50</v>
      </c>
      <c r="C1032" s="9" t="s">
        <v>2175</v>
      </c>
      <c r="D1032" s="9" t="s">
        <v>103</v>
      </c>
      <c r="E1032" s="9" t="s">
        <v>2176</v>
      </c>
      <c r="F1032" s="19" t="n">
        <f aca="false">IF(Equipamiento!O54="","",Equipamiento!O54)</f>
        <v>99</v>
      </c>
      <c r="G1032" s="15"/>
      <c r="H1032" s="28"/>
      <c r="I1032" s="29" t="str">
        <f aca="false">IF(OR($G1032="",$G1032=0),"",IFERROR(ROUND($F1032*$G1032*(1-IF($H1032="",0,$H1032)),2),""))</f>
        <v/>
      </c>
      <c r="J1032" s="9"/>
    </row>
    <row r="1033" customFormat="false" ht="21.75" hidden="false" customHeight="true" outlineLevel="0" collapsed="false">
      <c r="B1033" s="14" t="n">
        <v>51</v>
      </c>
      <c r="C1033" s="7" t="s">
        <v>2064</v>
      </c>
      <c r="D1033" s="7" t="s">
        <v>103</v>
      </c>
      <c r="E1033" s="7" t="s">
        <v>2185</v>
      </c>
      <c r="F1033" s="18" t="n">
        <f aca="false">IF(Equipamiento!O55="","",Equipamiento!O55)</f>
        <v>35</v>
      </c>
      <c r="G1033" s="14"/>
      <c r="H1033" s="26"/>
      <c r="I1033" s="27" t="str">
        <f aca="false">IF(OR($G1033="",$G1033=0),"",IFERROR(ROUND($F1033*$G1033*(1-IF($H1033="",0,$H1033)),2),""))</f>
        <v/>
      </c>
      <c r="J1033" s="7"/>
    </row>
    <row r="1034" customFormat="false" ht="21.75" hidden="false" customHeight="true" outlineLevel="0" collapsed="false">
      <c r="B1034" s="15" t="n">
        <v>52</v>
      </c>
      <c r="C1034" s="9" t="s">
        <v>2064</v>
      </c>
      <c r="D1034" s="9" t="s">
        <v>104</v>
      </c>
      <c r="E1034" s="9" t="s">
        <v>2193</v>
      </c>
      <c r="F1034" s="19" t="n">
        <f aca="false">IF(Equipamiento!O56="","",Equipamiento!O56)</f>
        <v>19</v>
      </c>
      <c r="G1034" s="15"/>
      <c r="H1034" s="28"/>
      <c r="I1034" s="29" t="str">
        <f aca="false">IF(OR($G1034="",$G1034=0),"",IFERROR(ROUND($F1034*$G1034*(1-IF($H1034="",0,$H1034)),2),""))</f>
        <v/>
      </c>
      <c r="J1034" s="9"/>
    </row>
    <row r="1035" customFormat="false" ht="21.75" hidden="false" customHeight="true" outlineLevel="0" collapsed="false">
      <c r="B1035" s="14" t="n">
        <v>53</v>
      </c>
      <c r="C1035" s="7" t="s">
        <v>2064</v>
      </c>
      <c r="D1035" s="7" t="s">
        <v>104</v>
      </c>
      <c r="E1035" s="7" t="s">
        <v>2203</v>
      </c>
      <c r="F1035" s="18" t="n">
        <f aca="false">IF(Equipamiento!O57="","",Equipamiento!O57)</f>
        <v>29</v>
      </c>
      <c r="G1035" s="14"/>
      <c r="H1035" s="26"/>
      <c r="I1035" s="27" t="str">
        <f aca="false">IF(OR($G1035="",$G1035=0),"",IFERROR(ROUND($F1035*$G1035*(1-IF($H1035="",0,$H1035)),2),""))</f>
        <v/>
      </c>
      <c r="J1035" s="7"/>
    </row>
    <row r="1036" customFormat="false" ht="21.75" hidden="false" customHeight="true" outlineLevel="0" collapsed="false">
      <c r="B1036" s="15" t="n">
        <v>54</v>
      </c>
      <c r="C1036" s="9" t="s">
        <v>1906</v>
      </c>
      <c r="D1036" s="9" t="s">
        <v>104</v>
      </c>
      <c r="E1036" s="9" t="s">
        <v>2210</v>
      </c>
      <c r="F1036" s="19" t="n">
        <f aca="false">IF(Equipamiento!O58="","",Equipamiento!O58)</f>
        <v>29</v>
      </c>
      <c r="G1036" s="15"/>
      <c r="H1036" s="28"/>
      <c r="I1036" s="29" t="str">
        <f aca="false">IF(OR($G1036="",$G1036=0),"",IFERROR(ROUND($F1036*$G1036*(1-IF($H1036="",0,$H1036)),2),""))</f>
        <v/>
      </c>
      <c r="J1036" s="9"/>
    </row>
    <row r="1037" customFormat="false" ht="21.75" hidden="false" customHeight="true" outlineLevel="0" collapsed="false">
      <c r="B1037" s="14" t="n">
        <v>55</v>
      </c>
      <c r="C1037" s="7" t="s">
        <v>52</v>
      </c>
      <c r="D1037" s="7" t="s">
        <v>104</v>
      </c>
      <c r="E1037" s="7" t="s">
        <v>2219</v>
      </c>
      <c r="F1037" s="18" t="n">
        <f aca="false">IF(Equipamiento!O59="","",Equipamiento!O59)</f>
        <v>29</v>
      </c>
      <c r="G1037" s="14"/>
      <c r="H1037" s="26"/>
      <c r="I1037" s="27" t="str">
        <f aca="false">IF(OR($G1037="",$G1037=0),"",IFERROR(ROUND($F1037*$G1037*(1-IF($H1037="",0,$H1037)),2),""))</f>
        <v/>
      </c>
      <c r="J1037" s="7"/>
    </row>
    <row r="1038" customFormat="false" ht="21.75" hidden="false" customHeight="true" outlineLevel="0" collapsed="false">
      <c r="B1038" s="15" t="n">
        <v>56</v>
      </c>
      <c r="C1038" s="9" t="s">
        <v>1889</v>
      </c>
      <c r="D1038" s="9" t="s">
        <v>104</v>
      </c>
      <c r="E1038" s="9" t="s">
        <v>2229</v>
      </c>
      <c r="F1038" s="19" t="n">
        <f aca="false">IF(Equipamiento!O60="","",Equipamiento!O60)</f>
        <v>19</v>
      </c>
      <c r="G1038" s="15"/>
      <c r="H1038" s="28"/>
      <c r="I1038" s="29" t="str">
        <f aca="false">IF(OR($G1038="",$G1038=0),"",IFERROR(ROUND($F1038*$G1038*(1-IF($H1038="",0,$H1038)),2),""))</f>
        <v/>
      </c>
      <c r="J1038" s="9"/>
    </row>
    <row r="1039" customFormat="false" ht="21.75" hidden="false" customHeight="true" outlineLevel="0" collapsed="false">
      <c r="B1039" s="14" t="n">
        <v>57</v>
      </c>
      <c r="C1039" s="7" t="s">
        <v>2236</v>
      </c>
      <c r="D1039" s="7" t="s">
        <v>105</v>
      </c>
      <c r="E1039" s="7" t="s">
        <v>2237</v>
      </c>
      <c r="F1039" s="18" t="n">
        <f aca="false">IF(Equipamiento!O61="","",Equipamiento!O61)</f>
        <v>79</v>
      </c>
      <c r="G1039" s="14"/>
      <c r="H1039" s="26"/>
      <c r="I1039" s="27" t="str">
        <f aca="false">IF(OR($G1039="",$G1039=0),"",IFERROR(ROUND($F1039*$G1039*(1-IF($H1039="",0,$H1039)),2),""))</f>
        <v/>
      </c>
      <c r="J1039" s="7"/>
    </row>
    <row r="1040" customFormat="false" ht="21.75" hidden="false" customHeight="true" outlineLevel="0" collapsed="false">
      <c r="B1040" s="15" t="n">
        <v>58</v>
      </c>
      <c r="C1040" s="9" t="s">
        <v>2236</v>
      </c>
      <c r="D1040" s="9" t="s">
        <v>105</v>
      </c>
      <c r="E1040" s="9" t="s">
        <v>2245</v>
      </c>
      <c r="F1040" s="19" t="n">
        <f aca="false">IF(Equipamiento!O62="","",Equipamiento!O62)</f>
        <v>129</v>
      </c>
      <c r="G1040" s="15"/>
      <c r="H1040" s="28"/>
      <c r="I1040" s="29" t="str">
        <f aca="false">IF(OR($G1040="",$G1040=0),"",IFERROR(ROUND($F1040*$G1040*(1-IF($H1040="",0,$H1040)),2),""))</f>
        <v/>
      </c>
      <c r="J1040" s="9"/>
    </row>
    <row r="1041" customFormat="false" ht="21.75" hidden="false" customHeight="true" outlineLevel="0" collapsed="false">
      <c r="B1041" s="14" t="n">
        <v>59</v>
      </c>
      <c r="C1041" s="7" t="s">
        <v>40</v>
      </c>
      <c r="D1041" s="7" t="s">
        <v>105</v>
      </c>
      <c r="E1041" s="7" t="s">
        <v>2250</v>
      </c>
      <c r="F1041" s="18" t="n">
        <f aca="false">IF(Equipamiento!O63="","",Equipamiento!O63)</f>
        <v>99</v>
      </c>
      <c r="G1041" s="14"/>
      <c r="H1041" s="26"/>
      <c r="I1041" s="27" t="str">
        <f aca="false">IF(OR($G1041="",$G1041=0),"",IFERROR(ROUND($F1041*$G1041*(1-IF($H1041="",0,$H1041)),2),""))</f>
        <v/>
      </c>
      <c r="J1041" s="7"/>
    </row>
    <row r="1042" customFormat="false" ht="21.75" hidden="false" customHeight="true" outlineLevel="0" collapsed="false">
      <c r="B1042" s="15" t="n">
        <v>60</v>
      </c>
      <c r="C1042" s="9" t="s">
        <v>42</v>
      </c>
      <c r="D1042" s="9" t="s">
        <v>105</v>
      </c>
      <c r="E1042" s="9" t="s">
        <v>2256</v>
      </c>
      <c r="F1042" s="19" t="n">
        <f aca="false">IF(Equipamiento!O64="","",Equipamiento!O64)</f>
        <v>99</v>
      </c>
      <c r="G1042" s="15"/>
      <c r="H1042" s="28"/>
      <c r="I1042" s="29" t="str">
        <f aca="false">IF(OR($G1042="",$G1042=0),"",IFERROR(ROUND($F1042*$G1042*(1-IF($H1042="",0,$H1042)),2),""))</f>
        <v/>
      </c>
      <c r="J1042" s="9"/>
    </row>
    <row r="1043" customFormat="false" ht="21.75" hidden="false" customHeight="true" outlineLevel="0" collapsed="false">
      <c r="B1043" s="14" t="n">
        <v>61</v>
      </c>
      <c r="C1043" s="7" t="s">
        <v>51</v>
      </c>
      <c r="D1043" s="7" t="s">
        <v>105</v>
      </c>
      <c r="E1043" s="7" t="s">
        <v>2263</v>
      </c>
      <c r="F1043" s="18" t="n">
        <f aca="false">IF(Equipamiento!O65="","",Equipamiento!O65)</f>
        <v>549</v>
      </c>
      <c r="G1043" s="14"/>
      <c r="H1043" s="26"/>
      <c r="I1043" s="27" t="str">
        <f aca="false">IF(OR($G1043="",$G1043=0),"",IFERROR(ROUND($F1043*$G1043*(1-IF($H1043="",0,$H1043)),2),""))</f>
        <v/>
      </c>
      <c r="J1043" s="7"/>
    </row>
    <row r="1044" customFormat="false" ht="21.75" hidden="false" customHeight="true" outlineLevel="0" collapsed="false">
      <c r="B1044" s="15" t="n">
        <v>62</v>
      </c>
      <c r="C1044" s="9" t="s">
        <v>2269</v>
      </c>
      <c r="D1044" s="9" t="s">
        <v>105</v>
      </c>
      <c r="E1044" s="9" t="s">
        <v>2270</v>
      </c>
      <c r="F1044" s="19" t="n">
        <f aca="false">IF(Equipamiento!O66="","",Equipamiento!O66)</f>
        <v>70</v>
      </c>
      <c r="G1044" s="15"/>
      <c r="H1044" s="28"/>
      <c r="I1044" s="29" t="str">
        <f aca="false">IF(OR($G1044="",$G1044=0),"",IFERROR(ROUND($F1044*$G1044*(1-IF($H1044="",0,$H1044)),2),""))</f>
        <v/>
      </c>
      <c r="J1044" s="9"/>
    </row>
    <row r="1045" customFormat="false" ht="25.5" hidden="false" customHeight="true" outlineLevel="0" collapsed="false">
      <c r="B1045" s="16" t="s">
        <v>2363</v>
      </c>
      <c r="C1045" s="16"/>
      <c r="D1045" s="16"/>
      <c r="E1045" s="16"/>
      <c r="F1045" s="16"/>
      <c r="G1045" s="16"/>
      <c r="H1045" s="16"/>
      <c r="I1045" s="30" t="n">
        <f aca="false">SUM(I983:I1044)</f>
        <v>0</v>
      </c>
      <c r="J1045" s="16"/>
    </row>
    <row r="1047" customFormat="false" ht="24" hidden="false" customHeight="true" outlineLevel="0" collapsed="false">
      <c r="B1047" s="16" t="s">
        <v>2364</v>
      </c>
      <c r="C1047" s="16"/>
      <c r="D1047" s="16"/>
      <c r="E1047" s="16"/>
      <c r="F1047" s="16"/>
      <c r="G1047" s="16"/>
      <c r="H1047" s="16"/>
      <c r="I1047" s="30" t="n">
        <f aca="false">I979+I1045</f>
        <v>0</v>
      </c>
      <c r="J1047" s="16"/>
    </row>
    <row r="1049" customFormat="false" ht="15" hidden="false" customHeight="false" outlineLevel="0" collapsed="false">
      <c r="B1049" s="10" t="s">
        <v>2365</v>
      </c>
      <c r="D1049" s="31" t="n">
        <f aca="false">COUNTIF(G11:G978,"&gt;0")+COUNTIF(G983:G1044,"&gt;0")</f>
        <v>0</v>
      </c>
    </row>
    <row r="1050" customFormat="false" ht="15" hidden="false" customHeight="false" outlineLevel="0" collapsed="false">
      <c r="B1050" s="10" t="s">
        <v>2366</v>
      </c>
      <c r="D1050" s="32" t="n">
        <f aca="false">I1047</f>
        <v>0</v>
      </c>
    </row>
    <row r="1052" customFormat="false" ht="42" hidden="false" customHeight="true" outlineLevel="0" collapsed="false">
      <c r="B1052" s="33" t="s">
        <v>2367</v>
      </c>
      <c r="C1052" s="33"/>
      <c r="D1052" s="33"/>
      <c r="E1052" s="33"/>
      <c r="F1052" s="33"/>
      <c r="G1052" s="33"/>
      <c r="H1052" s="33"/>
      <c r="I1052" s="33"/>
      <c r="J1052" s="33"/>
    </row>
  </sheetData>
  <mergeCells count="8">
    <mergeCell ref="B2:J2"/>
    <mergeCell ref="C4:F4"/>
    <mergeCell ref="C5:F5"/>
    <mergeCell ref="C6:F6"/>
    <mergeCell ref="C7:F7"/>
    <mergeCell ref="B9:J9"/>
    <mergeCell ref="B981:J981"/>
    <mergeCell ref="B1052:J1052"/>
  </mergeCells>
  <dataValidations count="1">
    <dataValidation allowBlank="true" error="Ingrese un valor entre 0% y 90%" errorStyle="stop" errorTitle="Descuento inválido" operator="between" showDropDown="false" showErrorMessage="false" showInputMessage="false" sqref="G11:H978 G983:H1044" type="decimal">
      <formula1>0</formula1>
      <formula2>0.9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2026-09-26T20:34:10Z</dcterms:created>
  <dc:creator>Z.ai</dc:creator>
  <dc:description/>
  <dc:language>en-US</dc:language>
  <cp:lastModifiedBy/>
  <dcterms:modified xsi:type="dcterms:W3CDTF">2026-09-26T20:34:12Z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